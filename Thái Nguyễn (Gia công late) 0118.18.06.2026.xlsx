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Hường\KH chốt\"/>
    </mc:Choice>
  </mc:AlternateContent>
  <xr:revisionPtr revIDLastSave="0" documentId="13_ncr:1_{FEFDD55E-37A5-4F26-8ED1-9F3EA85888A6}" xr6:coauthVersionLast="47" xr6:coauthVersionMax="47" xr10:uidLastSave="{00000000-0000-0000-0000-000000000000}"/>
  <bookViews>
    <workbookView xWindow="-120" yWindow="-120" windowWidth="29040" windowHeight="15840" tabRatio="895" xr2:uid="{00000000-000D-0000-FFFF-FFFF00000000}"/>
  </bookViews>
  <sheets>
    <sheet name="GIA CONG LAMINATE" sheetId="18" r:id="rId1"/>
    <sheet name="LENH GIA CONG TAM" sheetId="21" r:id="rId2"/>
    <sheet name="DH" sheetId="22" r:id="rId3"/>
  </sheets>
  <definedNames>
    <definedName name="_xlnm.Print_Area" localSheetId="1">'LENH GIA CONG TAM'!$A$1:$J$33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18" l="1"/>
  <c r="H24" i="18"/>
  <c r="S22" i="18" l="1"/>
  <c r="P22" i="18"/>
  <c r="O22" i="18"/>
  <c r="N22" i="18"/>
  <c r="M22" i="18"/>
  <c r="Q22" i="18" s="1"/>
  <c r="H22" i="18"/>
  <c r="S21" i="18"/>
  <c r="Q21" i="18"/>
  <c r="P21" i="18"/>
  <c r="O21" i="18"/>
  <c r="N21" i="18"/>
  <c r="M21" i="18"/>
  <c r="H21" i="18"/>
  <c r="S20" i="18"/>
  <c r="P20" i="18"/>
  <c r="O20" i="18"/>
  <c r="N20" i="18"/>
  <c r="M20" i="18"/>
  <c r="Q20" i="18" s="1"/>
  <c r="H20" i="18"/>
  <c r="S19" i="18"/>
  <c r="P19" i="18"/>
  <c r="O19" i="18"/>
  <c r="N19" i="18"/>
  <c r="M19" i="18"/>
  <c r="Q19" i="18" s="1"/>
  <c r="H19" i="18"/>
  <c r="H17" i="18"/>
  <c r="H18" i="18"/>
  <c r="H25" i="18"/>
  <c r="H26" i="18"/>
  <c r="H27" i="18"/>
  <c r="H15" i="18"/>
  <c r="L30" i="18"/>
  <c r="G14" i="18"/>
  <c r="G13" i="18" s="1"/>
  <c r="S25" i="18"/>
  <c r="P25" i="18"/>
  <c r="O25" i="18"/>
  <c r="N25" i="18"/>
  <c r="M25" i="18"/>
  <c r="Q25" i="18" s="1"/>
  <c r="S24" i="18"/>
  <c r="P24" i="18"/>
  <c r="O24" i="18"/>
  <c r="N24" i="18"/>
  <c r="M24" i="18"/>
  <c r="Q24" i="18" s="1"/>
  <c r="S23" i="18"/>
  <c r="P23" i="18"/>
  <c r="O23" i="18"/>
  <c r="N23" i="18"/>
  <c r="M23" i="18"/>
  <c r="Q23" i="18" s="1"/>
  <c r="S18" i="18"/>
  <c r="P18" i="18"/>
  <c r="O18" i="18"/>
  <c r="N18" i="18"/>
  <c r="M18" i="18"/>
  <c r="Q18" i="18" s="1"/>
  <c r="S17" i="18"/>
  <c r="P17" i="18"/>
  <c r="O17" i="18"/>
  <c r="N17" i="18"/>
  <c r="M17" i="18"/>
  <c r="Q17" i="18" s="1"/>
  <c r="S16" i="18"/>
  <c r="P16" i="18"/>
  <c r="O16" i="18"/>
  <c r="N16" i="18"/>
  <c r="M16" i="18"/>
  <c r="Q16" i="18" s="1"/>
  <c r="S27" i="18"/>
  <c r="P27" i="18"/>
  <c r="O27" i="18"/>
  <c r="N27" i="18"/>
  <c r="M27" i="18"/>
  <c r="Q27" i="18" s="1"/>
  <c r="S26" i="18"/>
  <c r="P26" i="18"/>
  <c r="O26" i="18"/>
  <c r="N26" i="18"/>
  <c r="M26" i="18"/>
  <c r="Q26" i="18" s="1"/>
  <c r="R34" i="18"/>
  <c r="A13" i="21" l="1"/>
  <c r="B13" i="21"/>
  <c r="C13" i="21"/>
  <c r="A14" i="21"/>
  <c r="B14" i="21"/>
  <c r="C14" i="21"/>
  <c r="A15" i="21"/>
  <c r="B15" i="21"/>
  <c r="C15" i="21"/>
  <c r="A16" i="21"/>
  <c r="B16" i="21"/>
  <c r="C16" i="21"/>
  <c r="S15" i="18" l="1"/>
  <c r="R30" i="18" l="1"/>
  <c r="L33" i="18" l="1"/>
  <c r="R33" i="18" s="1"/>
  <c r="F13" i="21"/>
  <c r="F16" i="21" l="1"/>
  <c r="A15" i="22"/>
  <c r="B15" i="22"/>
  <c r="C15" i="22"/>
  <c r="D15" i="22"/>
  <c r="E15" i="22"/>
  <c r="F15" i="22"/>
  <c r="H15" i="22"/>
  <c r="I15" i="22"/>
  <c r="J15" i="22"/>
  <c r="K15" i="22"/>
  <c r="M15" i="22"/>
  <c r="N15" i="22"/>
  <c r="O15" i="22"/>
  <c r="Q15" i="22"/>
  <c r="R15" i="22"/>
  <c r="T15" i="22"/>
  <c r="U15" i="22"/>
  <c r="A16" i="22"/>
  <c r="B16" i="22"/>
  <c r="C16" i="22"/>
  <c r="D16" i="22"/>
  <c r="E16" i="22"/>
  <c r="F16" i="22"/>
  <c r="H16" i="22"/>
  <c r="I16" i="22"/>
  <c r="J16" i="22"/>
  <c r="K16" i="22"/>
  <c r="M16" i="22"/>
  <c r="N16" i="22"/>
  <c r="O16" i="22"/>
  <c r="Q16" i="22"/>
  <c r="R16" i="22"/>
  <c r="T16" i="22"/>
  <c r="U16" i="22"/>
  <c r="A17" i="22"/>
  <c r="B17" i="22"/>
  <c r="C17" i="22"/>
  <c r="D17" i="22"/>
  <c r="E17" i="22"/>
  <c r="F17" i="22"/>
  <c r="H17" i="22"/>
  <c r="I17" i="22"/>
  <c r="J17" i="22"/>
  <c r="K17" i="22"/>
  <c r="M17" i="22"/>
  <c r="N17" i="22"/>
  <c r="O17" i="22"/>
  <c r="Q17" i="22"/>
  <c r="R17" i="22"/>
  <c r="T17" i="22"/>
  <c r="U17" i="22"/>
  <c r="A18" i="22"/>
  <c r="B18" i="22"/>
  <c r="C18" i="22"/>
  <c r="D18" i="22"/>
  <c r="E18" i="22"/>
  <c r="F18" i="22"/>
  <c r="H18" i="22"/>
  <c r="I18" i="22"/>
  <c r="J18" i="22"/>
  <c r="K18" i="22"/>
  <c r="M18" i="22"/>
  <c r="N18" i="22"/>
  <c r="O18" i="22"/>
  <c r="Q18" i="22"/>
  <c r="R18" i="22"/>
  <c r="T18" i="22"/>
  <c r="U18" i="22"/>
  <c r="A19" i="22"/>
  <c r="B19" i="22"/>
  <c r="C19" i="22"/>
  <c r="D19" i="22"/>
  <c r="E19" i="22"/>
  <c r="F19" i="22"/>
  <c r="H19" i="22"/>
  <c r="I19" i="22"/>
  <c r="J19" i="22"/>
  <c r="K19" i="22"/>
  <c r="M19" i="22"/>
  <c r="N19" i="22"/>
  <c r="O19" i="22"/>
  <c r="Q19" i="22"/>
  <c r="R19" i="22"/>
  <c r="T19" i="22"/>
  <c r="U19" i="22"/>
  <c r="A20" i="22"/>
  <c r="B20" i="22"/>
  <c r="C20" i="22"/>
  <c r="D20" i="22"/>
  <c r="E20" i="22"/>
  <c r="F20" i="22"/>
  <c r="H20" i="22"/>
  <c r="I20" i="22"/>
  <c r="J20" i="22"/>
  <c r="K20" i="22"/>
  <c r="M20" i="22"/>
  <c r="N20" i="22"/>
  <c r="O20" i="22"/>
  <c r="Q20" i="22"/>
  <c r="R20" i="22"/>
  <c r="T20" i="22"/>
  <c r="U20" i="22"/>
  <c r="A21" i="22"/>
  <c r="B21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Q21" i="22"/>
  <c r="R21" i="22"/>
  <c r="T21" i="22"/>
  <c r="U21" i="22"/>
  <c r="A22" i="22"/>
  <c r="B22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Q22" i="22"/>
  <c r="R22" i="22"/>
  <c r="T22" i="22"/>
  <c r="U22" i="22"/>
  <c r="A23" i="22"/>
  <c r="B23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T23" i="22"/>
  <c r="U23" i="22"/>
  <c r="A24" i="22"/>
  <c r="B24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T24" i="22"/>
  <c r="U24" i="22"/>
  <c r="A25" i="22"/>
  <c r="B25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Q25" i="22"/>
  <c r="R25" i="22"/>
  <c r="T25" i="22"/>
  <c r="U25" i="22"/>
  <c r="A26" i="22"/>
  <c r="B26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T26" i="22"/>
  <c r="U26" i="22"/>
  <c r="A27" i="22"/>
  <c r="B27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T27" i="22"/>
  <c r="U27" i="22"/>
  <c r="A28" i="22"/>
  <c r="B28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T28" i="22"/>
  <c r="U28" i="22"/>
  <c r="A29" i="22"/>
  <c r="B29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T29" i="22"/>
  <c r="U29" i="22"/>
  <c r="A30" i="22"/>
  <c r="B30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T30" i="22"/>
  <c r="U30" i="22"/>
  <c r="A31" i="22"/>
  <c r="B31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T31" i="22"/>
  <c r="U31" i="22"/>
  <c r="A32" i="22"/>
  <c r="B32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T32" i="22"/>
  <c r="U32" i="22"/>
  <c r="P21" i="22" l="1"/>
  <c r="P20" i="22" l="1"/>
  <c r="L20" i="22"/>
  <c r="G20" i="22"/>
  <c r="U14" i="22" l="1"/>
  <c r="U33" i="22"/>
  <c r="U34" i="22"/>
  <c r="U35" i="22"/>
  <c r="U36" i="22"/>
  <c r="U37" i="22"/>
  <c r="U38" i="22"/>
  <c r="U13" i="22"/>
  <c r="T33" i="22"/>
  <c r="T34" i="22"/>
  <c r="T35" i="22"/>
  <c r="T36" i="22"/>
  <c r="T37" i="22"/>
  <c r="T38" i="22"/>
  <c r="T14" i="22"/>
  <c r="T13" i="22"/>
  <c r="R38" i="22"/>
  <c r="R8" i="18"/>
  <c r="V16" i="22" l="1"/>
  <c r="V18" i="22"/>
  <c r="V21" i="22"/>
  <c r="V28" i="22"/>
  <c r="V32" i="22"/>
  <c r="V15" i="22"/>
  <c r="V19" i="22"/>
  <c r="V24" i="22"/>
  <c r="V20" i="22"/>
  <c r="V27" i="22"/>
  <c r="V31" i="22"/>
  <c r="V23" i="22"/>
  <c r="V17" i="22"/>
  <c r="V26" i="22"/>
  <c r="V30" i="22"/>
  <c r="V22" i="22"/>
  <c r="V25" i="22"/>
  <c r="V29" i="22"/>
  <c r="V13" i="22"/>
  <c r="V38" i="22"/>
  <c r="V14" i="22"/>
  <c r="V37" i="22"/>
  <c r="V36" i="22"/>
  <c r="V35" i="22"/>
  <c r="V34" i="22"/>
  <c r="V33" i="22"/>
  <c r="A33" i="22"/>
  <c r="B33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A34" i="22"/>
  <c r="B34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P15" i="22" l="1"/>
  <c r="G15" i="22"/>
  <c r="L15" i="22"/>
  <c r="D29" i="18"/>
  <c r="P15" i="18" l="1"/>
  <c r="P14" i="18" s="1"/>
  <c r="P13" i="18" s="1"/>
  <c r="G17" i="22" l="1"/>
  <c r="L17" i="22"/>
  <c r="P17" i="22"/>
  <c r="A14" i="22"/>
  <c r="B14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Q14" i="22"/>
  <c r="R14" i="22"/>
  <c r="A35" i="22"/>
  <c r="B35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A36" i="22"/>
  <c r="B36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A37" i="22"/>
  <c r="B37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A38" i="22"/>
  <c r="B38" i="22"/>
  <c r="C38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G13" i="22" l="1"/>
  <c r="A13" i="22" l="1"/>
  <c r="B13" i="22"/>
  <c r="C13" i="22"/>
  <c r="D13" i="22"/>
  <c r="E13" i="22"/>
  <c r="F13" i="22"/>
  <c r="H13" i="22"/>
  <c r="I13" i="22"/>
  <c r="J13" i="22"/>
  <c r="K13" i="22"/>
  <c r="L13" i="22"/>
  <c r="M13" i="22"/>
  <c r="N13" i="22"/>
  <c r="O13" i="22"/>
  <c r="P13" i="22"/>
  <c r="Q13" i="22"/>
  <c r="R13" i="22"/>
  <c r="A12" i="21" l="1"/>
  <c r="C12" i="21"/>
  <c r="F12" i="21"/>
  <c r="B12" i="21" l="1"/>
  <c r="O15" i="18" l="1"/>
  <c r="O14" i="18" s="1"/>
  <c r="O13" i="18" s="1"/>
  <c r="M15" i="18"/>
  <c r="M14" i="18" s="1"/>
  <c r="M13" i="18" s="1"/>
  <c r="Q15" i="18" l="1"/>
  <c r="Q14" i="18" s="1"/>
  <c r="Q13" i="18" s="1"/>
  <c r="L31" i="18" l="1"/>
  <c r="R31" i="18" s="1"/>
  <c r="L18" i="22"/>
  <c r="G18" i="22"/>
  <c r="P18" i="22"/>
  <c r="R29" i="18"/>
  <c r="F14" i="21" l="1"/>
  <c r="G16" i="22"/>
  <c r="L16" i="22"/>
  <c r="P14" i="22"/>
  <c r="A11" i="21"/>
  <c r="B11" i="21"/>
  <c r="C11" i="21"/>
  <c r="F11" i="21"/>
  <c r="B9" i="21"/>
  <c r="B8" i="21"/>
  <c r="E7" i="21"/>
  <c r="D7" i="21"/>
  <c r="D6" i="21"/>
  <c r="P16" i="22" l="1"/>
  <c r="N15" i="18"/>
  <c r="N14" i="18" l="1"/>
  <c r="N13" i="18" s="1"/>
  <c r="AE54" i="18"/>
  <c r="AF54" i="18" s="1"/>
  <c r="AO55" i="18" s="1"/>
  <c r="L32" i="18" l="1"/>
  <c r="R32" i="18" s="1"/>
  <c r="R35" i="18" s="1"/>
  <c r="R38" i="18" s="1"/>
  <c r="AL55" i="18"/>
  <c r="AR55" i="18"/>
  <c r="AJ55" i="18"/>
  <c r="AP55" i="18"/>
  <c r="AH55" i="18"/>
  <c r="AG55" i="18"/>
  <c r="AN55" i="18"/>
  <c r="AM55" i="18"/>
  <c r="AK55" i="18"/>
  <c r="AQ55" i="18"/>
  <c r="AI55" i="18"/>
  <c r="F15" i="21" l="1"/>
  <c r="L19" i="22"/>
  <c r="G19" i="22"/>
  <c r="P19" i="22"/>
  <c r="P22" i="22"/>
  <c r="P25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TQC</author>
  </authors>
  <commentList>
    <comment ref="Q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TQC:</t>
        </r>
        <r>
          <rPr>
            <sz val="9"/>
            <color indexed="81"/>
            <rFont val="Tahoma"/>
            <family val="2"/>
          </rPr>
          <t xml:space="preserve">
XÉT THEO KÍCH THƯỚC GIỐNG PHÀO</t>
        </r>
      </text>
    </comment>
  </commentList>
</comments>
</file>

<file path=xl/sharedStrings.xml><?xml version="1.0" encoding="utf-8"?>
<sst xmlns="http://schemas.openxmlformats.org/spreadsheetml/2006/main" count="223" uniqueCount="116">
  <si>
    <t>THÀNH TIỀN</t>
  </si>
  <si>
    <t>XÁC NHẬN BÊN MUA HÀNG</t>
  </si>
  <si>
    <t>(Ký, ghi rõ họ tên)</t>
  </si>
  <si>
    <t>Quý khách có thể thanh toán bằng tiền mặt hoặc chuyển khoản vào một trong các tài khoản sau:</t>
  </si>
  <si>
    <t>BÁO GIÁ KIÊM ĐƠN ĐẶT HÀNG</t>
  </si>
  <si>
    <t>Công ty TNHH Gỗ GERVIN xin cảm ơn quý khách hàng đã tin dùng sản phẩm của chúng tôi và xin được báo giá như sau:</t>
  </si>
  <si>
    <t>I</t>
  </si>
  <si>
    <t>Tính giá bán sản phẩm, dịch vụ:</t>
  </si>
  <si>
    <t>LỆNH GIA CÔNG TẤM</t>
  </si>
  <si>
    <t xml:space="preserve">          </t>
  </si>
  <si>
    <t>Đề nghị BP Kỹ thuật gia công các sản phẩm dưới đây:</t>
  </si>
  <si>
    <t>Số lượng</t>
  </si>
  <si>
    <t xml:space="preserve">Ứng trước 50% tiền đơn hàng gia công, thanh toán 50% còn lại trước khi lấy hàng tại kho, giao hàng tại nhà máy bên bán sau 2 đến 3 ngày. </t>
  </si>
  <si>
    <t>Đơn vị</t>
  </si>
  <si>
    <t>NGƯỜI CHÀO GIÁ</t>
  </si>
  <si>
    <t>Stt</t>
  </si>
  <si>
    <t>Tên hàng hóa, dịch vụ</t>
  </si>
  <si>
    <t xml:space="preserve"> Kích thước (mm) </t>
  </si>
  <si>
    <t>Rộng</t>
  </si>
  <si>
    <t>Dán cạnh</t>
  </si>
  <si>
    <t xml:space="preserve">Ghi chú: </t>
  </si>
  <si>
    <t>- Dán cạnh thẳng tích chữ "T", dán cạnh vát 45 độ tích chữ "V" vào ô dán cạnh tương ứng.</t>
  </si>
  <si>
    <t>Cao</t>
  </si>
  <si>
    <t>Khi mua tấm Quý khách vui lòng thanh toán 100% tiền hàng trước khi chuyển hàng ra khỏi kho bên bán.</t>
  </si>
  <si>
    <t>Bảo hành cong vênh, bong tróc 12 tháng, bảo trì vĩnh viễn. Không bảo hành mối và ngập nước.</t>
  </si>
  <si>
    <t>- Chiều  vân ván điền vào cột "CAO" ở bảng trên.</t>
  </si>
  <si>
    <t>Số mét dán thẳng</t>
  </si>
  <si>
    <t>VẬT TƯ</t>
  </si>
  <si>
    <t/>
  </si>
  <si>
    <t xml:space="preserve">Số phiếu: </t>
  </si>
  <si>
    <t>Ghi chú</t>
  </si>
  <si>
    <t>Đơn giá</t>
  </si>
  <si>
    <t>m</t>
  </si>
  <si>
    <t>Đơn giá chỉ</t>
  </si>
  <si>
    <t xml:space="preserve"> Bên giao lệnh          </t>
  </si>
  <si>
    <t>Kế toán</t>
  </si>
  <si>
    <t>Kỹ thuật</t>
  </si>
  <si>
    <t>Quản đốc/P.QĐ</t>
  </si>
  <si>
    <t xml:space="preserve">(Ký, ghi rõ họ tên)   </t>
  </si>
  <si>
    <t>Số mét dán thẳng bản nhỏ từ 17- 39mm</t>
  </si>
  <si>
    <t>Chiều vân</t>
  </si>
  <si>
    <t>Cạnh Vát</t>
  </si>
  <si>
    <t xml:space="preserve">Cao (chiều vân gỗ) </t>
  </si>
  <si>
    <t xml:space="preserve">Vát </t>
  </si>
  <si>
    <t>Số mét dán vát</t>
  </si>
  <si>
    <t>T</t>
  </si>
  <si>
    <t>A</t>
  </si>
  <si>
    <t>B</t>
  </si>
  <si>
    <t>Đơn giá trên chưa bao gồm VAT.Đúng sai ±1 mm.</t>
  </si>
  <si>
    <t>Ngày 10 tháng 07 năm 2024</t>
  </si>
  <si>
    <r>
      <t xml:space="preserve">Khách hàng: </t>
    </r>
    <r>
      <rPr>
        <b/>
        <sz val="11"/>
        <color theme="1"/>
        <rFont val="Times New Roman"/>
        <family val="1"/>
      </rPr>
      <t>Orient 37 Gia công</t>
    </r>
  </si>
  <si>
    <r>
      <t xml:space="preserve">Địa chỉ: </t>
    </r>
    <r>
      <rPr>
        <b/>
        <sz val="11"/>
        <color theme="1"/>
        <rFont val="Times New Roman"/>
        <family val="1"/>
      </rPr>
      <t>Đường Lê Ngọc Hân, Nghi Đức, TP.Vinh, Nghệ An (SĐT: A Vinh: 0973362984) - Giao cùng đơn bảo hành</t>
    </r>
  </si>
  <si>
    <t>Chi tiết</t>
  </si>
  <si>
    <t>CT</t>
  </si>
  <si>
    <t>Mã hàng</t>
  </si>
  <si>
    <t>GC</t>
  </si>
  <si>
    <t>SODONHANG</t>
  </si>
  <si>
    <t>STT</t>
  </si>
  <si>
    <t>MAHANGHOA</t>
  </si>
  <si>
    <t>TENHANGHOA</t>
  </si>
  <si>
    <t>CHIEUDAI</t>
  </si>
  <si>
    <t>CHIEURONG</t>
  </si>
  <si>
    <t>SOLUONG</t>
  </si>
  <si>
    <t>CANHVAT</t>
  </si>
  <si>
    <t>SOMETDANTHANG</t>
  </si>
  <si>
    <t>SOMETDANVAT</t>
  </si>
  <si>
    <t>KHOILUONG</t>
  </si>
  <si>
    <t>DONGIA</t>
  </si>
  <si>
    <t>DONGIACHI</t>
  </si>
  <si>
    <t>SOTIENVND</t>
  </si>
  <si>
    <t>GHICHUND</t>
  </si>
  <si>
    <t>CHIEUVAN</t>
  </si>
  <si>
    <t>CANH</t>
  </si>
  <si>
    <t>THANHPHAO</t>
  </si>
  <si>
    <t>DONGIAGIANTHANG</t>
  </si>
  <si>
    <t>DONGIAGIANVAT</t>
  </si>
  <si>
    <t>SOMETDANMOI</t>
  </si>
  <si>
    <t>SOMETDANBR1759</t>
  </si>
  <si>
    <t>SOMETDANBR2535</t>
  </si>
  <si>
    <t>CONGDAN</t>
  </si>
  <si>
    <t>SOVATTAYNAMAM</t>
  </si>
  <si>
    <t>SOTAMCNC</t>
  </si>
  <si>
    <t>Đơn hàng</t>
  </si>
  <si>
    <t>KẾ TOÁN XÁC NHẬN</t>
  </si>
  <si>
    <t>Số mét dán bản rộng 25-35mm</t>
  </si>
  <si>
    <t>Đã CK:</t>
  </si>
  <si>
    <t>Còn lại:</t>
  </si>
  <si>
    <t>Cạnh vát</t>
  </si>
  <si>
    <t>Công cắt tấm</t>
  </si>
  <si>
    <t>tấm</t>
  </si>
  <si>
    <t>TỔNG TIỀN HÀNG:</t>
  </si>
  <si>
    <t>Số mét dán ván chiều rộng 40-59mm</t>
  </si>
  <si>
    <t>lần</t>
  </si>
  <si>
    <t>Số mét dán bản rộng 17-39mm</t>
  </si>
  <si>
    <t>Ngày giờ chốt đơn:</t>
  </si>
  <si>
    <t>Số ngày phải giao từ lúc chốt đơn:</t>
  </si>
  <si>
    <t>Ngày giờ phải giao hàng:</t>
  </si>
  <si>
    <t>NGAYCHOTDON</t>
  </si>
  <si>
    <t>SONGAY</t>
  </si>
  <si>
    <t>NGAYGIAO</t>
  </si>
  <si>
    <t>V</t>
  </si>
  <si>
    <t>Nhân công và vật liệu đóng gói melamin, laminate</t>
  </si>
  <si>
    <t>Dán cạnh thẳng laminate, melamine sử dụng keo chống thấm nước PUR:
Áp dụng cho tấm ván có chiều rộng từ 60mm trở lên, độ dày ván 9-21mm, sử dụng máy dán Homag, Cộng hòa LB Đức.</t>
  </si>
  <si>
    <t>Dán cạnh Vát sử dụng máy dán acrylic:
Áp dụng cho tấm ván có chiều rộng từ 60mm trở lên, độ dày ván 9-21mm + Công hoàn thiện sản phẩm</t>
  </si>
  <si>
    <t>Trả ván DC và chỉ thừa cho khách</t>
  </si>
  <si>
    <t xml:space="preserve">Giao hàng tại Vinh </t>
  </si>
  <si>
    <r>
      <t xml:space="preserve">Địa chỉ: </t>
    </r>
    <r>
      <rPr>
        <b/>
        <sz val="11"/>
        <color theme="1"/>
        <rFont val="Times New Roman"/>
        <family val="1"/>
      </rPr>
      <t>TP.Vinh, Nghệ An (0948.993.337)</t>
    </r>
  </si>
  <si>
    <t>Công nợ:</t>
  </si>
  <si>
    <t xml:space="preserve">Chỉ Laminate </t>
  </si>
  <si>
    <t xml:space="preserve"> bản rộng 21mm</t>
  </si>
  <si>
    <t xml:space="preserve"> bản rộng 44mm</t>
  </si>
  <si>
    <t>Kính đố 70 hèm s5r10</t>
  </si>
  <si>
    <r>
      <t>Khách hàng:</t>
    </r>
    <r>
      <rPr>
        <b/>
        <sz val="11"/>
        <color theme="1"/>
        <rFont val="Times New Roman"/>
        <family val="1"/>
      </rPr>
      <t xml:space="preserve"> KH1188 - Thái Nguyễn</t>
    </r>
  </si>
  <si>
    <t>Tấm PLYWOOD (Foil, ván, chỉ khách mang đến) màu 613 vân gỗ, keo PUR (Gervin) = 1 tấm</t>
  </si>
  <si>
    <t>Ngày 18 tháng 6 năm 2026</t>
  </si>
  <si>
    <t>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</si>
</sst>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[$-409]m/d/yy\ h:mm\ AM/PM;@"/>
    <numFmt numFmtId="167" formatCode="0.0000"/>
    <numFmt numFmtId="168" formatCode="0.00;[Red]0.00"/>
    <numFmt numFmtId="169" formatCode="dd/mm/yyyy\ h:mm:ss"/>
  </numFmts>
  <fonts count="38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11"/>
      <name val="VNI-Times"/>
    </font>
    <font>
      <b/>
      <sz val="9"/>
      <color theme="1"/>
      <name val=".VnTime"/>
      <family val="2"/>
    </font>
    <font>
      <sz val="10"/>
      <name val="VNI-Times"/>
    </font>
    <font>
      <b/>
      <sz val="9"/>
      <name val=".VnTime"/>
      <family val="2"/>
    </font>
    <font>
      <sz val="9"/>
      <color theme="1"/>
      <name val=".VnTime"/>
      <family val="2"/>
    </font>
    <font>
      <sz val="9"/>
      <name val=".VnTime"/>
      <family val="2"/>
    </font>
    <font>
      <sz val="11"/>
      <color theme="1"/>
      <name val="Times New Roman"/>
      <family val="2"/>
    </font>
    <font>
      <b/>
      <i/>
      <sz val="11"/>
      <name val=".VnTime"/>
      <family val="2"/>
    </font>
    <font>
      <b/>
      <sz val="18"/>
      <color theme="1"/>
      <name val="Times New Roman"/>
      <family val="1"/>
    </font>
    <font>
      <b/>
      <i/>
      <sz val="11"/>
      <color rgb="FFFF0000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1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b/>
      <sz val="12"/>
      <color theme="1"/>
      <name val="Times New Roman"/>
      <family val="1"/>
    </font>
    <font>
      <sz val="11"/>
      <color rgb="FFFF0000"/>
      <name val="Times New Roman"/>
      <family val="2"/>
    </font>
    <font>
      <sz val="11"/>
      <name val="Times New Roman"/>
      <family val="2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20"/>
      <color theme="1"/>
      <name val="Times New Roman"/>
      <family val="1"/>
    </font>
    <font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/>
    <xf numFmtId="0" fontId="13" fillId="0" borderId="0"/>
    <xf numFmtId="0" fontId="25" fillId="0" borderId="0"/>
    <xf numFmtId="164" fontId="26" fillId="0" borderId="0" applyFont="0" applyFill="0" applyBorder="0" applyAlignment="0" applyProtection="0"/>
    <xf numFmtId="0" fontId="34" fillId="0" borderId="0"/>
  </cellStyleXfs>
  <cellXfs count="159">
    <xf numFmtId="0" fontId="0" fillId="0" borderId="0" xfId="0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5" fontId="3" fillId="0" borderId="0" xfId="3" applyNumberFormat="1" applyFont="1" applyAlignment="1">
      <alignment vertical="center"/>
    </xf>
    <xf numFmtId="0" fontId="9" fillId="0" borderId="0" xfId="0" applyFont="1" applyAlignment="1">
      <alignment vertical="center"/>
    </xf>
    <xf numFmtId="43" fontId="3" fillId="0" borderId="0" xfId="3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6" fontId="10" fillId="0" borderId="0" xfId="3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41" fontId="3" fillId="0" borderId="0" xfId="0" applyNumberFormat="1" applyFont="1" applyAlignment="1">
      <alignment vertical="center"/>
    </xf>
    <xf numFmtId="43" fontId="3" fillId="2" borderId="1" xfId="3" applyFont="1" applyFill="1" applyBorder="1" applyAlignment="1" applyProtection="1">
      <alignment horizontal="center" vertical="center" wrapText="1"/>
      <protection locked="0"/>
    </xf>
    <xf numFmtId="165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65" fontId="5" fillId="2" borderId="0" xfId="3" applyNumberFormat="1" applyFont="1" applyFill="1" applyBorder="1" applyAlignment="1" applyProtection="1">
      <alignment vertical="center"/>
      <protection locked="0"/>
    </xf>
    <xf numFmtId="165" fontId="5" fillId="2" borderId="0" xfId="3" applyNumberFormat="1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18" fillId="2" borderId="0" xfId="0" applyFont="1" applyFill="1" applyAlignment="1" applyProtection="1">
      <alignment horizontal="center" vertical="center" wrapText="1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4" fillId="2" borderId="1" xfId="3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43" fontId="3" fillId="2" borderId="1" xfId="3" applyFont="1" applyFill="1" applyBorder="1" applyAlignment="1" applyProtection="1">
      <alignment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0" xfId="0" applyFont="1" applyFill="1" applyAlignment="1" applyProtection="1">
      <alignment horizontal="left" vertical="center"/>
      <protection locked="0"/>
    </xf>
    <xf numFmtId="0" fontId="17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0" fillId="2" borderId="0" xfId="0" applyFill="1"/>
    <xf numFmtId="0" fontId="4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20" fillId="2" borderId="0" xfId="0" applyFont="1" applyFill="1" applyAlignment="1" applyProtection="1">
      <alignment horizontal="left" vertical="center"/>
      <protection locked="0"/>
    </xf>
    <xf numFmtId="0" fontId="20" fillId="2" borderId="0" xfId="0" quotePrefix="1" applyFont="1" applyFill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165" fontId="3" fillId="2" borderId="0" xfId="3" applyNumberFormat="1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165" fontId="12" fillId="2" borderId="0" xfId="4" applyNumberFormat="1" applyFont="1" applyFill="1" applyAlignment="1" applyProtection="1">
      <alignment vertical="center"/>
      <protection locked="0"/>
    </xf>
    <xf numFmtId="0" fontId="12" fillId="2" borderId="0" xfId="5" applyFont="1" applyFill="1" applyAlignment="1" applyProtection="1">
      <alignment horizontal="center" vertical="center"/>
      <protection locked="0"/>
    </xf>
    <xf numFmtId="0" fontId="14" fillId="2" borderId="0" xfId="5" applyFont="1" applyFill="1" applyAlignment="1" applyProtection="1">
      <alignment horizontal="center" vertical="center"/>
      <protection locked="0"/>
    </xf>
    <xf numFmtId="0" fontId="15" fillId="2" borderId="0" xfId="4" applyFont="1" applyFill="1" applyAlignment="1" applyProtection="1">
      <alignment vertical="center"/>
      <protection locked="0"/>
    </xf>
    <xf numFmtId="0" fontId="15" fillId="2" borderId="0" xfId="5" applyFont="1" applyFill="1" applyAlignment="1" applyProtection="1">
      <alignment vertical="center"/>
      <protection locked="0"/>
    </xf>
    <xf numFmtId="0" fontId="16" fillId="2" borderId="0" xfId="5" applyFont="1" applyFill="1" applyAlignment="1" applyProtection="1">
      <alignment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vertical="center"/>
      <protection locked="0"/>
    </xf>
    <xf numFmtId="0" fontId="5" fillId="4" borderId="0" xfId="0" applyFont="1" applyFill="1" applyAlignment="1" applyProtection="1">
      <alignment vertical="center"/>
      <protection locked="0"/>
    </xf>
    <xf numFmtId="0" fontId="5" fillId="5" borderId="1" xfId="0" applyFont="1" applyFill="1" applyBorder="1" applyAlignment="1" applyProtection="1">
      <alignment vertical="center"/>
      <protection locked="0"/>
    </xf>
    <xf numFmtId="165" fontId="27" fillId="5" borderId="1" xfId="3" applyNumberFormat="1" applyFont="1" applyFill="1" applyBorder="1" applyAlignment="1" applyProtection="1">
      <alignment horizontal="center" vertical="center" wrapText="1"/>
      <protection locked="0"/>
    </xf>
    <xf numFmtId="165" fontId="5" fillId="5" borderId="1" xfId="3" applyNumberFormat="1" applyFont="1" applyFill="1" applyBorder="1" applyAlignment="1" applyProtection="1">
      <alignment horizontal="center" vertical="center"/>
      <protection locked="0"/>
    </xf>
    <xf numFmtId="165" fontId="5" fillId="5" borderId="1" xfId="3" applyNumberFormat="1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left" vertical="center"/>
      <protection locked="0"/>
    </xf>
    <xf numFmtId="2" fontId="10" fillId="3" borderId="1" xfId="1" applyNumberFormat="1" applyFont="1" applyFill="1" applyBorder="1" applyAlignment="1" applyProtection="1">
      <alignment horizontal="center" vertical="center" wrapText="1"/>
      <protection locked="0"/>
    </xf>
    <xf numFmtId="165" fontId="23" fillId="0" borderId="0" xfId="3" applyNumberFormat="1" applyFont="1" applyAlignment="1" applyProtection="1">
      <alignment horizontal="center" vertical="center"/>
    </xf>
    <xf numFmtId="165" fontId="21" fillId="0" borderId="0" xfId="3" applyNumberFormat="1" applyFont="1" applyAlignment="1" applyProtection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17" fillId="2" borderId="1" xfId="0" applyFont="1" applyFill="1" applyBorder="1"/>
    <xf numFmtId="0" fontId="5" fillId="3" borderId="1" xfId="0" applyFont="1" applyFill="1" applyBorder="1" applyAlignment="1" applyProtection="1">
      <alignment horizontal="left" vertical="center"/>
      <protection locked="0"/>
    </xf>
    <xf numFmtId="0" fontId="17" fillId="2" borderId="0" xfId="0" quotePrefix="1" applyFont="1" applyFill="1" applyAlignment="1" applyProtection="1">
      <alignment horizontal="center" vertical="center"/>
      <protection locked="0"/>
    </xf>
    <xf numFmtId="43" fontId="29" fillId="0" borderId="1" xfId="3" applyFont="1" applyFill="1" applyBorder="1" applyAlignment="1" applyProtection="1">
      <alignment horizontal="center" vertical="center" wrapText="1"/>
      <protection locked="0"/>
    </xf>
    <xf numFmtId="0" fontId="30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31" fillId="2" borderId="1" xfId="0" applyFont="1" applyFill="1" applyBorder="1" applyAlignment="1" applyProtection="1">
      <alignment vertical="center"/>
      <protection locked="0"/>
    </xf>
    <xf numFmtId="0" fontId="17" fillId="0" borderId="1" xfId="0" applyFont="1" applyBorder="1"/>
    <xf numFmtId="0" fontId="31" fillId="4" borderId="0" xfId="0" applyFont="1" applyFill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167" fontId="4" fillId="6" borderId="1" xfId="3" applyNumberFormat="1" applyFont="1" applyFill="1" applyBorder="1" applyAlignment="1" applyProtection="1">
      <alignment horizontal="center" vertical="center"/>
      <protection locked="0"/>
    </xf>
    <xf numFmtId="43" fontId="4" fillId="7" borderId="1" xfId="3" applyFont="1" applyFill="1" applyBorder="1" applyAlignment="1" applyProtection="1">
      <alignment horizontal="center" vertical="center"/>
      <protection locked="0"/>
    </xf>
    <xf numFmtId="1" fontId="4" fillId="7" borderId="1" xfId="3" applyNumberFormat="1" applyFont="1" applyFill="1" applyBorder="1" applyAlignment="1" applyProtection="1">
      <alignment horizontal="center" vertical="center"/>
      <protection locked="0"/>
    </xf>
    <xf numFmtId="168" fontId="4" fillId="7" borderId="1" xfId="0" applyNumberFormat="1" applyFont="1" applyFill="1" applyBorder="1" applyAlignment="1" applyProtection="1">
      <alignment horizontal="center" vertical="center"/>
      <protection locked="0"/>
    </xf>
    <xf numFmtId="2" fontId="4" fillId="7" borderId="1" xfId="3" applyNumberFormat="1" applyFont="1" applyFill="1" applyBorder="1" applyAlignment="1" applyProtection="1">
      <alignment horizontal="center" vertical="center"/>
      <protection locked="0"/>
    </xf>
    <xf numFmtId="43" fontId="5" fillId="0" borderId="1" xfId="3" applyFont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vertical="center" wrapText="1"/>
    </xf>
    <xf numFmtId="0" fontId="5" fillId="5" borderId="0" xfId="0" applyFont="1" applyFill="1" applyBorder="1" applyAlignment="1" applyProtection="1">
      <alignment vertical="center"/>
      <protection locked="0"/>
    </xf>
    <xf numFmtId="165" fontId="27" fillId="5" borderId="0" xfId="3" applyNumberFormat="1" applyFont="1" applyFill="1" applyBorder="1" applyAlignment="1" applyProtection="1">
      <alignment horizontal="center" vertical="center" wrapText="1"/>
      <protection locked="0"/>
    </xf>
    <xf numFmtId="165" fontId="5" fillId="5" borderId="0" xfId="3" applyNumberFormat="1" applyFont="1" applyFill="1" applyBorder="1" applyAlignment="1" applyProtection="1">
      <alignment horizontal="center" vertical="center"/>
      <protection locked="0"/>
    </xf>
    <xf numFmtId="165" fontId="5" fillId="5" borderId="0" xfId="3" applyNumberFormat="1" applyFont="1" applyFill="1" applyBorder="1" applyAlignment="1" applyProtection="1">
      <alignment vertical="center"/>
      <protection locked="0"/>
    </xf>
    <xf numFmtId="165" fontId="5" fillId="5" borderId="4" xfId="3" applyNumberFormat="1" applyFont="1" applyFill="1" applyBorder="1" applyAlignment="1" applyProtection="1">
      <alignment vertical="center"/>
      <protection locked="0"/>
    </xf>
    <xf numFmtId="165" fontId="5" fillId="5" borderId="1" xfId="3" applyNumberFormat="1" applyFont="1" applyFill="1" applyBorder="1" applyAlignment="1" applyProtection="1">
      <alignment horizontal="right" vertical="center"/>
      <protection locked="0"/>
    </xf>
    <xf numFmtId="165" fontId="5" fillId="8" borderId="1" xfId="3" applyNumberFormat="1" applyFont="1" applyFill="1" applyBorder="1" applyAlignment="1" applyProtection="1">
      <alignment horizontal="center" vertical="center"/>
      <protection locked="0"/>
    </xf>
    <xf numFmtId="165" fontId="5" fillId="8" borderId="1" xfId="3" applyNumberFormat="1" applyFont="1" applyFill="1" applyBorder="1" applyAlignment="1" applyProtection="1">
      <alignment horizontal="right" vertical="center"/>
      <protection locked="0"/>
    </xf>
    <xf numFmtId="165" fontId="3" fillId="2" borderId="4" xfId="3" applyNumberFormat="1" applyFont="1" applyFill="1" applyBorder="1" applyAlignment="1" applyProtection="1">
      <alignment horizontal="center" vertical="center" wrapText="1"/>
      <protection locked="0"/>
    </xf>
    <xf numFmtId="165" fontId="27" fillId="5" borderId="1" xfId="3" applyNumberFormat="1" applyFont="1" applyFill="1" applyBorder="1" applyAlignment="1" applyProtection="1">
      <alignment horizontal="right" vertical="center"/>
      <protection locked="0"/>
    </xf>
    <xf numFmtId="0" fontId="27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 applyProtection="1">
      <alignment vertical="center" wrapText="1"/>
      <protection locked="0"/>
    </xf>
    <xf numFmtId="43" fontId="17" fillId="5" borderId="1" xfId="3" applyFont="1" applyFill="1" applyBorder="1" applyAlignment="1" applyProtection="1">
      <alignment horizontal="center" vertical="center"/>
      <protection locked="0"/>
    </xf>
    <xf numFmtId="165" fontId="17" fillId="5" borderId="1" xfId="3" applyNumberFormat="1" applyFont="1" applyFill="1" applyBorder="1" applyAlignment="1" applyProtection="1">
      <alignment horizontal="center" vertical="center"/>
      <protection locked="0"/>
    </xf>
    <xf numFmtId="165" fontId="17" fillId="5" borderId="1" xfId="3" applyNumberFormat="1" applyFont="1" applyFill="1" applyBorder="1" applyAlignment="1" applyProtection="1">
      <alignment horizontal="right" vertical="center"/>
      <protection locked="0"/>
    </xf>
    <xf numFmtId="169" fontId="35" fillId="3" borderId="5" xfId="8" applyNumberFormat="1" applyFont="1" applyFill="1" applyBorder="1" applyAlignment="1">
      <alignment horizontal="center" vertical="center"/>
    </xf>
    <xf numFmtId="169" fontId="35" fillId="3" borderId="6" xfId="8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vertical="center"/>
      <protection locked="0"/>
    </xf>
    <xf numFmtId="2" fontId="2" fillId="3" borderId="1" xfId="0" applyNumberFormat="1" applyFont="1" applyFill="1" applyBorder="1" applyAlignment="1" applyProtection="1">
      <alignment vertical="center"/>
      <protection locked="0"/>
    </xf>
    <xf numFmtId="165" fontId="37" fillId="2" borderId="1" xfId="3" applyNumberFormat="1" applyFont="1" applyFill="1" applyBorder="1" applyAlignment="1" applyProtection="1">
      <alignment horizontal="center" vertical="center" wrapText="1"/>
      <protection locked="0"/>
    </xf>
    <xf numFmtId="2" fontId="5" fillId="3" borderId="1" xfId="0" applyNumberFormat="1" applyFont="1" applyFill="1" applyBorder="1" applyAlignment="1" applyProtection="1">
      <alignment horizontal="center" vertical="center"/>
      <protection locked="0"/>
    </xf>
    <xf numFmtId="0" fontId="3" fillId="5" borderId="1" xfId="1" applyFont="1" applyFill="1" applyBorder="1" applyAlignment="1" applyProtection="1">
      <alignment horizontal="center" vertical="center" wrapText="1"/>
      <protection locked="0"/>
    </xf>
    <xf numFmtId="0" fontId="17" fillId="5" borderId="1" xfId="0" applyFont="1" applyFill="1" applyBorder="1" applyAlignment="1">
      <alignment horizontal="center" vertical="center"/>
    </xf>
    <xf numFmtId="0" fontId="36" fillId="2" borderId="4" xfId="0" applyFont="1" applyFill="1" applyBorder="1" applyAlignment="1" applyProtection="1">
      <alignment horizontal="center" vertical="center"/>
      <protection locked="0"/>
    </xf>
    <xf numFmtId="0" fontId="36" fillId="2" borderId="7" xfId="0" applyFont="1" applyFill="1" applyBorder="1" applyAlignment="1" applyProtection="1">
      <alignment horizontal="center" vertical="center"/>
      <protection locked="0"/>
    </xf>
    <xf numFmtId="0" fontId="36" fillId="2" borderId="8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43" fontId="5" fillId="2" borderId="3" xfId="3" applyFont="1" applyFill="1" applyBorder="1" applyAlignment="1" applyProtection="1">
      <alignment horizontal="center" vertical="center" wrapText="1"/>
      <protection locked="0"/>
    </xf>
    <xf numFmtId="43" fontId="5" fillId="2" borderId="2" xfId="3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31" fillId="2" borderId="3" xfId="0" applyFont="1" applyFill="1" applyBorder="1" applyAlignment="1" applyProtection="1">
      <alignment horizontal="center" vertical="center" wrapText="1" shrinkToFit="1"/>
      <protection locked="0"/>
    </xf>
    <xf numFmtId="0" fontId="31" fillId="2" borderId="2" xfId="0" applyFont="1" applyFill="1" applyBorder="1" applyAlignment="1" applyProtection="1">
      <alignment horizontal="center" vertical="center" wrapText="1" shrinkToFit="1"/>
      <protection locked="0"/>
    </xf>
    <xf numFmtId="43" fontId="5" fillId="2" borderId="1" xfId="3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 applyProtection="1">
      <alignment horizontal="center" vertical="center"/>
      <protection locked="0"/>
    </xf>
    <xf numFmtId="0" fontId="31" fillId="2" borderId="2" xfId="0" applyFont="1" applyFill="1" applyBorder="1" applyAlignment="1" applyProtection="1">
      <alignment horizontal="center" vertical="center"/>
      <protection locked="0"/>
    </xf>
    <xf numFmtId="0" fontId="17" fillId="5" borderId="1" xfId="0" applyFont="1" applyFill="1" applyBorder="1" applyAlignment="1" applyProtection="1">
      <alignment horizontal="center" vertical="center"/>
      <protection locked="0"/>
    </xf>
    <xf numFmtId="0" fontId="28" fillId="2" borderId="0" xfId="0" quotePrefix="1" applyFont="1" applyFill="1" applyAlignment="1" applyProtection="1">
      <alignment horizontal="center" vertical="center"/>
      <protection locked="0"/>
    </xf>
  </cellXfs>
  <cellStyles count="9">
    <cellStyle name="Comma" xfId="3" builtinId="3"/>
    <cellStyle name="Comma 2" xfId="2" xr:uid="{00000000-0005-0000-0000-000001000000}"/>
    <cellStyle name="Comma 3" xfId="7" xr:uid="{00000000-0005-0000-0000-000002000000}"/>
    <cellStyle name="Normal" xfId="0" builtinId="0"/>
    <cellStyle name="Normal 10" xfId="6" xr:uid="{00000000-0005-0000-0000-000004000000}"/>
    <cellStyle name="Normal 2" xfId="1" xr:uid="{00000000-0005-0000-0000-000005000000}"/>
    <cellStyle name="Normal 3" xfId="8" xr:uid="{00000000-0005-0000-0000-000006000000}"/>
    <cellStyle name="Normal_DocSoUnicode" xfId="5" xr:uid="{00000000-0005-0000-0000-000007000000}"/>
    <cellStyle name="Normal_NhatKy0403" xfId="4" xr:uid="{00000000-0005-0000-0000-00000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2057400</xdr:colOff>
      <xdr:row>0</xdr:row>
      <xdr:rowOff>0</xdr:rowOff>
    </xdr:from>
    <xdr:ext cx="5156200" cy="1419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463800" y="0"/>
          <a:ext cx="5156200" cy="1419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1">
              <a:latin typeface="Times New Roman" panose="02020603050405020304" pitchFamily="18" charset="0"/>
              <a:cs typeface="Times New Roman" panose="02020603050405020304" pitchFamily="18" charset="0"/>
            </a:rPr>
            <a:t>CÔNG TY TNHH GỖ GERVIN</a:t>
          </a: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Địa chỉ: Xóm 3, Hưng Thịnh, Hưng Nguyên, Nghệ An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Điện thoại: 0967.181.786 - Email: contact@gervinwood.com</a:t>
          </a:r>
          <a:r>
            <a:rPr lang="en-US" sz="1400"/>
            <a:t> </a:t>
          </a: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WWW.GERVINWOOD.COM</a:t>
          </a:r>
        </a:p>
      </xdr:txBody>
    </xdr:sp>
    <xdr:clientData/>
  </xdr:oneCellAnchor>
  <xdr:twoCellAnchor editAs="oneCell">
    <xdr:from>
      <xdr:col>3</xdr:col>
      <xdr:colOff>60324</xdr:colOff>
      <xdr:row>0</xdr:row>
      <xdr:rowOff>158749</xdr:rowOff>
    </xdr:from>
    <xdr:to>
      <xdr:col>3</xdr:col>
      <xdr:colOff>1803400</xdr:colOff>
      <xdr:row>5</xdr:row>
      <xdr:rowOff>44450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158749"/>
          <a:ext cx="1743076" cy="1739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714375</xdr:colOff>
          <xdr:row>42</xdr:row>
          <xdr:rowOff>28575</xdr:rowOff>
        </xdr:from>
        <xdr:to>
          <xdr:col>16</xdr:col>
          <xdr:colOff>257175</xdr:colOff>
          <xdr:row>48</xdr:row>
          <xdr:rowOff>0</xdr:rowOff>
        </xdr:to>
        <xdr:sp macro="" textlink="">
          <xdr:nvSpPr>
            <xdr:cNvPr id="22534" name="Object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id="{00000000-0008-0000-00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144858</xdr:colOff>
      <xdr:row>2</xdr:row>
      <xdr:rowOff>317500</xdr:rowOff>
    </xdr:from>
    <xdr:to>
      <xdr:col>24</xdr:col>
      <xdr:colOff>423332</xdr:colOff>
      <xdr:row>33</xdr:row>
      <xdr:rowOff>232831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36571-18D0-4D6B-EDC8-3D01F5B72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72775" y="1270000"/>
          <a:ext cx="4331890" cy="93979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296394</xdr:colOff>
      <xdr:row>0</xdr:row>
      <xdr:rowOff>167713</xdr:rowOff>
    </xdr:from>
    <xdr:to>
      <xdr:col>1</xdr:col>
      <xdr:colOff>1897529</xdr:colOff>
      <xdr:row>4</xdr:row>
      <xdr:rowOff>134470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169" y="167713"/>
          <a:ext cx="1601135" cy="153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2755900</xdr:colOff>
      <xdr:row>0</xdr:row>
      <xdr:rowOff>0</xdr:rowOff>
    </xdr:from>
    <xdr:ext cx="5222687" cy="1419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41675" y="0"/>
          <a:ext cx="5222687" cy="1419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1">
              <a:latin typeface="Times New Roman" panose="02020603050405020304" pitchFamily="18" charset="0"/>
              <a:cs typeface="Times New Roman" panose="02020603050405020304" pitchFamily="18" charset="0"/>
            </a:rPr>
            <a:t>CÔNG TY TNHH GỖ GERVIN</a:t>
          </a: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Địa chỉ: Xóm 3, Hưng Thịnh, Hưng Nguyên, Nghệ An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Điện thoại: 0967.181.786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Email: contact@gervinwood.com</a:t>
          </a:r>
          <a:r>
            <a:rPr lang="en-US" sz="1400"/>
            <a:t> </a:t>
          </a: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WWW.GERVINWOOD.COM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79"/>
  <sheetViews>
    <sheetView tabSelected="1" topLeftCell="A32" zoomScale="90" zoomScaleNormal="90" zoomScaleSheetLayoutView="85" workbookViewId="0">
      <selection activeCell="D49" sqref="D49"/>
    </sheetView>
  </sheetViews>
  <sheetFormatPr defaultColWidth="9" defaultRowHeight="15"/>
  <cols>
    <col min="1" max="1" width="4.625" style="19" customWidth="1"/>
    <col min="2" max="2" width="6.375" style="21" customWidth="1"/>
    <col min="3" max="3" width="11.25" style="21" customWidth="1"/>
    <col min="4" max="4" width="47.375" style="35" customWidth="1"/>
    <col min="5" max="6" width="6.75" style="21" customWidth="1"/>
    <col min="7" max="7" width="7.875" style="21" customWidth="1"/>
    <col min="8" max="8" width="11.25" style="21" customWidth="1"/>
    <col min="9" max="11" width="7.375" style="21" customWidth="1"/>
    <col min="12" max="12" width="7.375" style="19" customWidth="1"/>
    <col min="13" max="17" width="10.625" style="19" customWidth="1"/>
    <col min="18" max="18" width="23.75" style="21" customWidth="1"/>
    <col min="19" max="19" width="8" style="19" customWidth="1"/>
    <col min="20" max="16384" width="9" style="19"/>
  </cols>
  <sheetData>
    <row r="1" spans="1:20" ht="37.5" customHeight="1">
      <c r="D1" s="34"/>
      <c r="R1" s="19"/>
    </row>
    <row r="2" spans="1:20" ht="37.5" customHeight="1">
      <c r="O2" s="135" t="s">
        <v>104</v>
      </c>
      <c r="P2" s="136"/>
      <c r="Q2" s="136"/>
      <c r="R2" s="137"/>
    </row>
    <row r="3" spans="1:20" ht="37.5" customHeight="1">
      <c r="R3" s="19"/>
    </row>
    <row r="4" spans="1:20" ht="11.25" customHeight="1">
      <c r="R4" s="19"/>
    </row>
    <row r="5" spans="1:20" ht="22.5">
      <c r="D5" s="34"/>
      <c r="E5" s="36"/>
      <c r="F5" s="36"/>
      <c r="I5" s="27" t="s">
        <v>4</v>
      </c>
      <c r="J5" s="27"/>
      <c r="K5" s="27"/>
      <c r="L5" s="37"/>
      <c r="M5" s="27"/>
      <c r="N5" s="27"/>
      <c r="O5" s="27"/>
      <c r="P5" s="27"/>
      <c r="Q5" s="27"/>
      <c r="R5" s="36"/>
    </row>
    <row r="6" spans="1:20" ht="15.75">
      <c r="I6" s="21" t="s">
        <v>114</v>
      </c>
      <c r="M6" s="21"/>
      <c r="N6" s="21"/>
      <c r="O6" s="124"/>
      <c r="P6" s="125"/>
      <c r="Q6" s="126" t="s">
        <v>94</v>
      </c>
      <c r="R6" s="127">
        <v>46191.699305555558</v>
      </c>
    </row>
    <row r="7" spans="1:20" ht="15.75">
      <c r="I7" s="21" t="s">
        <v>29</v>
      </c>
      <c r="J7" s="158" t="s">
        <v>115</v>
      </c>
      <c r="M7" s="21"/>
      <c r="N7" s="21"/>
      <c r="O7" s="124"/>
      <c r="P7" s="125"/>
      <c r="Q7" s="126" t="s">
        <v>95</v>
      </c>
      <c r="R7" s="130">
        <v>5</v>
      </c>
    </row>
    <row r="8" spans="1:20" ht="15.75">
      <c r="D8" s="72" t="s">
        <v>112</v>
      </c>
      <c r="O8" s="124"/>
      <c r="P8" s="125"/>
      <c r="Q8" s="126" t="s">
        <v>96</v>
      </c>
      <c r="R8" s="127">
        <f>R6+R7</f>
        <v>46196.699305555558</v>
      </c>
    </row>
    <row r="9" spans="1:20">
      <c r="D9" s="72" t="s">
        <v>106</v>
      </c>
      <c r="R9" s="19"/>
    </row>
    <row r="10" spans="1:20">
      <c r="D10" s="35" t="s">
        <v>5</v>
      </c>
      <c r="R10" s="19"/>
    </row>
    <row r="11" spans="1:20" s="21" customFormat="1" ht="32.1" customHeight="1">
      <c r="A11" s="138" t="s">
        <v>52</v>
      </c>
      <c r="B11" s="142" t="s">
        <v>15</v>
      </c>
      <c r="C11" s="139" t="s">
        <v>54</v>
      </c>
      <c r="D11" s="142" t="s">
        <v>16</v>
      </c>
      <c r="E11" s="143" t="s">
        <v>17</v>
      </c>
      <c r="F11" s="143"/>
      <c r="G11" s="143" t="s">
        <v>11</v>
      </c>
      <c r="H11" s="144" t="s">
        <v>87</v>
      </c>
      <c r="I11" s="143" t="s">
        <v>19</v>
      </c>
      <c r="J11" s="143"/>
      <c r="K11" s="143"/>
      <c r="L11" s="143"/>
      <c r="M11" s="144" t="s">
        <v>26</v>
      </c>
      <c r="N11" s="144" t="s">
        <v>44</v>
      </c>
      <c r="O11" s="146" t="s">
        <v>84</v>
      </c>
      <c r="P11" s="146" t="s">
        <v>91</v>
      </c>
      <c r="Q11" s="148" t="s">
        <v>93</v>
      </c>
      <c r="R11" s="140" t="s">
        <v>30</v>
      </c>
      <c r="S11" s="89"/>
    </row>
    <row r="12" spans="1:20" s="21" customFormat="1" ht="45" customHeight="1">
      <c r="A12" s="138"/>
      <c r="B12" s="142"/>
      <c r="C12" s="139"/>
      <c r="D12" s="142"/>
      <c r="E12" s="82" t="s">
        <v>42</v>
      </c>
      <c r="F12" s="38" t="s">
        <v>18</v>
      </c>
      <c r="G12" s="143"/>
      <c r="H12" s="145"/>
      <c r="I12" s="70" t="s">
        <v>22</v>
      </c>
      <c r="J12" s="70" t="s">
        <v>22</v>
      </c>
      <c r="K12" s="38" t="s">
        <v>18</v>
      </c>
      <c r="L12" s="38" t="s">
        <v>18</v>
      </c>
      <c r="M12" s="145"/>
      <c r="N12" s="145"/>
      <c r="O12" s="147"/>
      <c r="P12" s="147"/>
      <c r="Q12" s="149"/>
      <c r="R12" s="141"/>
      <c r="S12" s="90" t="s">
        <v>40</v>
      </c>
    </row>
    <row r="13" spans="1:20" s="39" customFormat="1" ht="22.5" customHeight="1">
      <c r="A13" s="96" t="s">
        <v>53</v>
      </c>
      <c r="B13" s="60" t="s">
        <v>46</v>
      </c>
      <c r="C13" s="60"/>
      <c r="D13" s="79" t="s">
        <v>27</v>
      </c>
      <c r="E13" s="61"/>
      <c r="F13" s="61"/>
      <c r="G13" s="61">
        <f>G14</f>
        <v>24</v>
      </c>
      <c r="H13" s="61"/>
      <c r="I13" s="61"/>
      <c r="J13" s="61"/>
      <c r="K13" s="61"/>
      <c r="L13" s="61"/>
      <c r="M13" s="73">
        <f>M14</f>
        <v>45.101999999999997</v>
      </c>
      <c r="N13" s="73">
        <f>N14</f>
        <v>8.0339999999999989</v>
      </c>
      <c r="O13" s="73">
        <f>O14</f>
        <v>0</v>
      </c>
      <c r="P13" s="73">
        <f>P14</f>
        <v>0</v>
      </c>
      <c r="Q13" s="73">
        <f>Q14</f>
        <v>0</v>
      </c>
      <c r="R13" s="61"/>
      <c r="S13" s="90" t="s">
        <v>43</v>
      </c>
      <c r="T13" s="21"/>
    </row>
    <row r="14" spans="1:20" s="39" customFormat="1" ht="22.5" customHeight="1">
      <c r="A14" s="96" t="s">
        <v>53</v>
      </c>
      <c r="B14" s="83" t="s">
        <v>6</v>
      </c>
      <c r="C14" s="83"/>
      <c r="D14" s="84" t="s">
        <v>113</v>
      </c>
      <c r="E14" s="60"/>
      <c r="F14" s="60"/>
      <c r="G14" s="60">
        <f>SUM(G15:G27)</f>
        <v>24</v>
      </c>
      <c r="H14" s="60"/>
      <c r="I14" s="60"/>
      <c r="J14" s="60"/>
      <c r="K14" s="60"/>
      <c r="L14" s="62"/>
      <c r="M14" s="132">
        <f t="shared" ref="M14:Q14" si="0">SUM(M15:M27)</f>
        <v>45.101999999999997</v>
      </c>
      <c r="N14" s="132">
        <f t="shared" si="0"/>
        <v>8.0339999999999989</v>
      </c>
      <c r="O14" s="132">
        <f t="shared" si="0"/>
        <v>0</v>
      </c>
      <c r="P14" s="132">
        <f t="shared" si="0"/>
        <v>0</v>
      </c>
      <c r="Q14" s="132">
        <f t="shared" si="0"/>
        <v>0</v>
      </c>
      <c r="R14" s="62"/>
      <c r="S14" s="91" t="s">
        <v>28</v>
      </c>
    </row>
    <row r="15" spans="1:20" s="39" customFormat="1" ht="17.25" customHeight="1">
      <c r="A15" s="96" t="s">
        <v>53</v>
      </c>
      <c r="B15" s="76">
        <v>1</v>
      </c>
      <c r="C15" s="76"/>
      <c r="D15" s="78"/>
      <c r="E15" s="71">
        <v>753</v>
      </c>
      <c r="F15" s="71">
        <v>347</v>
      </c>
      <c r="G15" s="71">
        <v>2</v>
      </c>
      <c r="H15" s="71" t="str">
        <f>$S$13&amp;F15</f>
        <v>Vát 347</v>
      </c>
      <c r="I15" s="77" t="s">
        <v>45</v>
      </c>
      <c r="J15" s="77" t="s">
        <v>45</v>
      </c>
      <c r="K15" s="77" t="s">
        <v>45</v>
      </c>
      <c r="L15" s="77" t="s">
        <v>100</v>
      </c>
      <c r="M15" s="15">
        <f>(IF(I15="T", E15,0)+IF(J15="T", E15,0)+IF(K15="T", F15,0)+IF(L15="T", F15,0))/1000*G15</f>
        <v>3.706</v>
      </c>
      <c r="N15" s="81">
        <f>(IF(I15="V", E15,0)+IF(J15="V", E15,0)+IF(K15="V", F15,0)+IF(L15="V", F15,0))/1000*G15</f>
        <v>0.69399999999999995</v>
      </c>
      <c r="O15" s="81">
        <f>(IF(I15="T42", E15,0)+IF(J15="T42", E15,0)+IF(K15="T42", F15,0)+IF(L15="T42", F15,0))/1000*G15</f>
        <v>0</v>
      </c>
      <c r="P15" s="81">
        <f>IF(OR(AND(E15&gt;=40,E15&lt;=59),AND(F15&gt;=40,F15&lt;=59)),M15,0)</f>
        <v>0</v>
      </c>
      <c r="Q15" s="81">
        <f>IF(OR(E15&lt;=39,F15 &lt;= 39), M15,0)</f>
        <v>0</v>
      </c>
      <c r="R15" s="76"/>
      <c r="S15" s="78">
        <f>F15</f>
        <v>347</v>
      </c>
    </row>
    <row r="16" spans="1:20" s="39" customFormat="1" ht="17.25" customHeight="1">
      <c r="A16" s="96" t="s">
        <v>53</v>
      </c>
      <c r="B16" s="76">
        <v>2</v>
      </c>
      <c r="C16" s="76"/>
      <c r="D16" s="78"/>
      <c r="E16" s="71">
        <v>361</v>
      </c>
      <c r="F16" s="71">
        <v>780</v>
      </c>
      <c r="G16" s="71">
        <v>2</v>
      </c>
      <c r="H16" s="71" t="str">
        <f>$S$13&amp;F16</f>
        <v>Vát 780</v>
      </c>
      <c r="I16" s="77" t="s">
        <v>100</v>
      </c>
      <c r="J16" s="77" t="s">
        <v>45</v>
      </c>
      <c r="K16" s="77" t="s">
        <v>45</v>
      </c>
      <c r="L16" s="77" t="s">
        <v>45</v>
      </c>
      <c r="M16" s="15">
        <f t="shared" ref="M16:M25" si="1">(IF(I16="T", E16,0)+IF(J16="T", E16,0)+IF(K16="T", F16,0)+IF(L16="T", F16,0))/1000*G16</f>
        <v>3.8420000000000001</v>
      </c>
      <c r="N16" s="81">
        <f t="shared" ref="N16:N25" si="2">(IF(I16="V", E16,0)+IF(J16="V", E16,0)+IF(K16="V", F16,0)+IF(L16="V", F16,0))/1000*G16</f>
        <v>0.72199999999999998</v>
      </c>
      <c r="O16" s="81">
        <f t="shared" ref="O16:O25" si="3">(IF(I16="T42", E16,0)+IF(J16="T42", E16,0)+IF(K16="T42", F16,0)+IF(L16="T42", F16,0))/1000*G16</f>
        <v>0</v>
      </c>
      <c r="P16" s="81">
        <f t="shared" ref="P16:P25" si="4">IF(OR(AND(E16&gt;=40,E16&lt;=59),AND(F16&gt;=40,F16&lt;=59)),M16,0)</f>
        <v>0</v>
      </c>
      <c r="Q16" s="81">
        <f t="shared" ref="Q16:Q25" si="5">IF(OR(E16&lt;=39,F16 &lt;= 39), M16,0)</f>
        <v>0</v>
      </c>
      <c r="R16" s="76"/>
      <c r="S16" s="78">
        <f t="shared" ref="S16:S23" si="6">F16</f>
        <v>780</v>
      </c>
    </row>
    <row r="17" spans="1:22" s="39" customFormat="1" ht="17.25" customHeight="1">
      <c r="A17" s="96" t="s">
        <v>53</v>
      </c>
      <c r="B17" s="76">
        <v>3</v>
      </c>
      <c r="C17" s="76"/>
      <c r="D17" s="78"/>
      <c r="E17" s="71">
        <v>753</v>
      </c>
      <c r="F17" s="71">
        <v>300</v>
      </c>
      <c r="G17" s="71">
        <v>1</v>
      </c>
      <c r="H17" s="71" t="str">
        <f t="shared" ref="H17:H27" si="7">$S$13&amp;F17</f>
        <v>Vát 300</v>
      </c>
      <c r="I17" s="77" t="s">
        <v>45</v>
      </c>
      <c r="J17" s="77" t="s">
        <v>45</v>
      </c>
      <c r="K17" s="77" t="s">
        <v>45</v>
      </c>
      <c r="L17" s="77" t="s">
        <v>100</v>
      </c>
      <c r="M17" s="15">
        <f t="shared" si="1"/>
        <v>1.806</v>
      </c>
      <c r="N17" s="81">
        <f t="shared" si="2"/>
        <v>0.3</v>
      </c>
      <c r="O17" s="81">
        <f t="shared" si="3"/>
        <v>0</v>
      </c>
      <c r="P17" s="81">
        <f t="shared" si="4"/>
        <v>0</v>
      </c>
      <c r="Q17" s="81">
        <f t="shared" si="5"/>
        <v>0</v>
      </c>
      <c r="R17" s="76"/>
      <c r="S17" s="78">
        <f t="shared" si="6"/>
        <v>300</v>
      </c>
    </row>
    <row r="18" spans="1:22" s="39" customFormat="1" ht="17.25" customHeight="1">
      <c r="A18" s="96" t="s">
        <v>53</v>
      </c>
      <c r="B18" s="76">
        <v>4</v>
      </c>
      <c r="C18" s="76"/>
      <c r="D18" s="78"/>
      <c r="E18" s="71">
        <v>753</v>
      </c>
      <c r="F18" s="71">
        <v>319</v>
      </c>
      <c r="G18" s="71">
        <v>3</v>
      </c>
      <c r="H18" s="71" t="str">
        <f t="shared" si="7"/>
        <v>Vát 319</v>
      </c>
      <c r="I18" s="77" t="s">
        <v>45</v>
      </c>
      <c r="J18" s="77" t="s">
        <v>45</v>
      </c>
      <c r="K18" s="77" t="s">
        <v>45</v>
      </c>
      <c r="L18" s="77" t="s">
        <v>100</v>
      </c>
      <c r="M18" s="15">
        <f t="shared" si="1"/>
        <v>5.4749999999999996</v>
      </c>
      <c r="N18" s="81">
        <f t="shared" si="2"/>
        <v>0.95700000000000007</v>
      </c>
      <c r="O18" s="81">
        <f t="shared" si="3"/>
        <v>0</v>
      </c>
      <c r="P18" s="81">
        <f t="shared" si="4"/>
        <v>0</v>
      </c>
      <c r="Q18" s="81">
        <f t="shared" si="5"/>
        <v>0</v>
      </c>
      <c r="R18" s="76"/>
      <c r="S18" s="78">
        <f t="shared" si="6"/>
        <v>319</v>
      </c>
    </row>
    <row r="19" spans="1:22" s="39" customFormat="1" ht="17.25" customHeight="1">
      <c r="A19" s="96" t="s">
        <v>53</v>
      </c>
      <c r="B19" s="76">
        <v>5</v>
      </c>
      <c r="C19" s="76"/>
      <c r="D19" s="78"/>
      <c r="E19" s="71">
        <v>740</v>
      </c>
      <c r="F19" s="71">
        <v>310</v>
      </c>
      <c r="G19" s="71">
        <v>4</v>
      </c>
      <c r="H19" s="71" t="str">
        <f t="shared" ref="H19:H22" si="8">$S$13&amp;F19</f>
        <v>Vát 310</v>
      </c>
      <c r="I19" s="77" t="s">
        <v>45</v>
      </c>
      <c r="J19" s="77" t="s">
        <v>45</v>
      </c>
      <c r="K19" s="77" t="s">
        <v>45</v>
      </c>
      <c r="L19" s="77" t="s">
        <v>100</v>
      </c>
      <c r="M19" s="15">
        <f t="shared" ref="M19:M22" si="9">(IF(I19="T", E19,0)+IF(J19="T", E19,0)+IF(K19="T", F19,0)+IF(L19="T", F19,0))/1000*G19</f>
        <v>7.16</v>
      </c>
      <c r="N19" s="81">
        <f t="shared" ref="N19:N22" si="10">(IF(I19="V", E19,0)+IF(J19="V", E19,0)+IF(K19="V", F19,0)+IF(L19="V", F19,0))/1000*G19</f>
        <v>1.24</v>
      </c>
      <c r="O19" s="81">
        <f t="shared" ref="O19:O22" si="11">(IF(I19="T42", E19,0)+IF(J19="T42", E19,0)+IF(K19="T42", F19,0)+IF(L19="T42", F19,0))/1000*G19</f>
        <v>0</v>
      </c>
      <c r="P19" s="81">
        <f t="shared" ref="P19:P22" si="12">IF(OR(AND(E19&gt;=40,E19&lt;=59),AND(F19&gt;=40,F19&lt;=59)),M19,0)</f>
        <v>0</v>
      </c>
      <c r="Q19" s="81">
        <f t="shared" ref="Q19:Q22" si="13">IF(OR(E19&lt;=39,F19 &lt;= 39), M19,0)</f>
        <v>0</v>
      </c>
      <c r="R19" s="76"/>
      <c r="S19" s="78">
        <f t="shared" ref="S19" si="14">F19</f>
        <v>310</v>
      </c>
    </row>
    <row r="20" spans="1:22" s="39" customFormat="1" ht="17.25" customHeight="1">
      <c r="A20" s="96" t="s">
        <v>53</v>
      </c>
      <c r="B20" s="76">
        <v>6</v>
      </c>
      <c r="C20" s="76"/>
      <c r="D20" s="78"/>
      <c r="E20" s="71">
        <v>660</v>
      </c>
      <c r="F20" s="71">
        <v>363</v>
      </c>
      <c r="G20" s="71">
        <v>2</v>
      </c>
      <c r="H20" s="71" t="str">
        <f t="shared" si="8"/>
        <v>Vát 363</v>
      </c>
      <c r="I20" s="77" t="s">
        <v>45</v>
      </c>
      <c r="J20" s="77" t="s">
        <v>45</v>
      </c>
      <c r="K20" s="77" t="s">
        <v>45</v>
      </c>
      <c r="L20" s="77" t="s">
        <v>100</v>
      </c>
      <c r="M20" s="15">
        <f t="shared" si="9"/>
        <v>3.3660000000000001</v>
      </c>
      <c r="N20" s="81">
        <f t="shared" si="10"/>
        <v>0.72599999999999998</v>
      </c>
      <c r="O20" s="81">
        <f t="shared" si="11"/>
        <v>0</v>
      </c>
      <c r="P20" s="81">
        <f t="shared" si="12"/>
        <v>0</v>
      </c>
      <c r="Q20" s="81">
        <f t="shared" si="13"/>
        <v>0</v>
      </c>
      <c r="R20" s="76"/>
      <c r="S20" s="78">
        <f>E20</f>
        <v>660</v>
      </c>
    </row>
    <row r="21" spans="1:22" s="39" customFormat="1" ht="17.25" customHeight="1">
      <c r="A21" s="96" t="s">
        <v>53</v>
      </c>
      <c r="B21" s="76">
        <v>7</v>
      </c>
      <c r="C21" s="76"/>
      <c r="D21" s="78"/>
      <c r="E21" s="71">
        <v>740</v>
      </c>
      <c r="F21" s="71">
        <v>292</v>
      </c>
      <c r="G21" s="71">
        <v>2</v>
      </c>
      <c r="H21" s="71" t="str">
        <f t="shared" si="8"/>
        <v>Vát 292</v>
      </c>
      <c r="I21" s="77" t="s">
        <v>45</v>
      </c>
      <c r="J21" s="77" t="s">
        <v>45</v>
      </c>
      <c r="K21" s="77" t="s">
        <v>45</v>
      </c>
      <c r="L21" s="77" t="s">
        <v>100</v>
      </c>
      <c r="M21" s="15">
        <f t="shared" si="9"/>
        <v>3.544</v>
      </c>
      <c r="N21" s="81">
        <f t="shared" si="10"/>
        <v>0.58399999999999996</v>
      </c>
      <c r="O21" s="81">
        <f t="shared" si="11"/>
        <v>0</v>
      </c>
      <c r="P21" s="81">
        <f t="shared" si="12"/>
        <v>0</v>
      </c>
      <c r="Q21" s="81">
        <f t="shared" si="13"/>
        <v>0</v>
      </c>
      <c r="R21" s="76"/>
      <c r="S21" s="78">
        <f t="shared" ref="S21" si="15">E21</f>
        <v>740</v>
      </c>
    </row>
    <row r="22" spans="1:22" s="39" customFormat="1" ht="17.25" customHeight="1">
      <c r="A22" s="96" t="s">
        <v>53</v>
      </c>
      <c r="B22" s="76">
        <v>8</v>
      </c>
      <c r="C22" s="76"/>
      <c r="D22" s="78"/>
      <c r="E22" s="71">
        <v>740</v>
      </c>
      <c r="F22" s="71">
        <v>357</v>
      </c>
      <c r="G22" s="71">
        <v>2</v>
      </c>
      <c r="H22" s="71" t="str">
        <f t="shared" si="8"/>
        <v>Vát 357</v>
      </c>
      <c r="I22" s="77" t="s">
        <v>45</v>
      </c>
      <c r="J22" s="77" t="s">
        <v>45</v>
      </c>
      <c r="K22" s="77" t="s">
        <v>45</v>
      </c>
      <c r="L22" s="77" t="s">
        <v>100</v>
      </c>
      <c r="M22" s="15">
        <f t="shared" si="9"/>
        <v>3.6739999999999999</v>
      </c>
      <c r="N22" s="81">
        <f t="shared" si="10"/>
        <v>0.71399999999999997</v>
      </c>
      <c r="O22" s="81">
        <f t="shared" si="11"/>
        <v>0</v>
      </c>
      <c r="P22" s="81">
        <f t="shared" si="12"/>
        <v>0</v>
      </c>
      <c r="Q22" s="81">
        <f t="shared" si="13"/>
        <v>0</v>
      </c>
      <c r="R22" s="76"/>
      <c r="S22" s="78">
        <f t="shared" ref="S22" si="16">F22</f>
        <v>357</v>
      </c>
    </row>
    <row r="23" spans="1:22" s="39" customFormat="1" ht="17.25" customHeight="1">
      <c r="A23" s="96" t="s">
        <v>53</v>
      </c>
      <c r="B23" s="76">
        <v>9</v>
      </c>
      <c r="C23" s="76"/>
      <c r="D23" s="78"/>
      <c r="E23" s="71">
        <v>370</v>
      </c>
      <c r="F23" s="71">
        <v>780</v>
      </c>
      <c r="G23" s="71">
        <v>1</v>
      </c>
      <c r="H23" s="71"/>
      <c r="I23" s="77" t="s">
        <v>45</v>
      </c>
      <c r="J23" s="77" t="s">
        <v>45</v>
      </c>
      <c r="K23" s="77" t="s">
        <v>45</v>
      </c>
      <c r="L23" s="77" t="s">
        <v>45</v>
      </c>
      <c r="M23" s="15">
        <f t="shared" si="1"/>
        <v>2.2999999999999998</v>
      </c>
      <c r="N23" s="81">
        <f t="shared" si="2"/>
        <v>0</v>
      </c>
      <c r="O23" s="81">
        <f t="shared" si="3"/>
        <v>0</v>
      </c>
      <c r="P23" s="81">
        <f t="shared" si="4"/>
        <v>0</v>
      </c>
      <c r="Q23" s="81">
        <f t="shared" si="5"/>
        <v>0</v>
      </c>
      <c r="R23" s="76"/>
      <c r="S23" s="78">
        <f t="shared" si="6"/>
        <v>780</v>
      </c>
    </row>
    <row r="24" spans="1:22" s="39" customFormat="1" ht="17.25" customHeight="1">
      <c r="A24" s="96" t="s">
        <v>53</v>
      </c>
      <c r="B24" s="76">
        <v>10</v>
      </c>
      <c r="C24" s="76"/>
      <c r="D24" s="78"/>
      <c r="E24" s="133">
        <v>370</v>
      </c>
      <c r="F24" s="133">
        <v>780</v>
      </c>
      <c r="G24" s="133">
        <v>1</v>
      </c>
      <c r="H24" s="133" t="str">
        <f t="shared" si="7"/>
        <v>Vát 780</v>
      </c>
      <c r="I24" s="77" t="s">
        <v>100</v>
      </c>
      <c r="J24" s="77" t="s">
        <v>45</v>
      </c>
      <c r="K24" s="77" t="s">
        <v>45</v>
      </c>
      <c r="L24" s="77" t="s">
        <v>45</v>
      </c>
      <c r="M24" s="15">
        <f t="shared" si="1"/>
        <v>1.93</v>
      </c>
      <c r="N24" s="81">
        <f t="shared" si="2"/>
        <v>0.37</v>
      </c>
      <c r="O24" s="81">
        <f t="shared" si="3"/>
        <v>0</v>
      </c>
      <c r="P24" s="81">
        <f t="shared" si="4"/>
        <v>0</v>
      </c>
      <c r="Q24" s="81">
        <f t="shared" si="5"/>
        <v>0</v>
      </c>
      <c r="R24" s="134" t="s">
        <v>111</v>
      </c>
      <c r="S24" s="78">
        <f>E24</f>
        <v>370</v>
      </c>
    </row>
    <row r="25" spans="1:22" s="39" customFormat="1" ht="17.25" customHeight="1">
      <c r="A25" s="96" t="s">
        <v>53</v>
      </c>
      <c r="B25" s="76">
        <v>11</v>
      </c>
      <c r="C25" s="76"/>
      <c r="D25" s="78"/>
      <c r="E25" s="71">
        <v>740</v>
      </c>
      <c r="F25" s="71">
        <v>290</v>
      </c>
      <c r="G25" s="71">
        <v>1</v>
      </c>
      <c r="H25" s="71" t="str">
        <f t="shared" si="7"/>
        <v>Vát 290</v>
      </c>
      <c r="I25" s="77" t="s">
        <v>45</v>
      </c>
      <c r="J25" s="77" t="s">
        <v>45</v>
      </c>
      <c r="K25" s="77" t="s">
        <v>45</v>
      </c>
      <c r="L25" s="77" t="s">
        <v>100</v>
      </c>
      <c r="M25" s="15">
        <f t="shared" si="1"/>
        <v>1.77</v>
      </c>
      <c r="N25" s="81">
        <f t="shared" si="2"/>
        <v>0.28999999999999998</v>
      </c>
      <c r="O25" s="81">
        <f t="shared" si="3"/>
        <v>0</v>
      </c>
      <c r="P25" s="81">
        <f t="shared" si="4"/>
        <v>0</v>
      </c>
      <c r="Q25" s="81">
        <f t="shared" si="5"/>
        <v>0</v>
      </c>
      <c r="R25" s="76"/>
      <c r="S25" s="78">
        <f t="shared" ref="S25" si="17">E25</f>
        <v>740</v>
      </c>
    </row>
    <row r="26" spans="1:22" s="39" customFormat="1" ht="17.25" customHeight="1">
      <c r="A26" s="96" t="s">
        <v>53</v>
      </c>
      <c r="B26" s="76">
        <v>12</v>
      </c>
      <c r="C26" s="76"/>
      <c r="D26" s="78"/>
      <c r="E26" s="71">
        <v>393</v>
      </c>
      <c r="F26" s="71">
        <v>481</v>
      </c>
      <c r="G26" s="71">
        <v>2</v>
      </c>
      <c r="H26" s="71" t="str">
        <f t="shared" si="7"/>
        <v>Vát 481</v>
      </c>
      <c r="I26" s="77" t="s">
        <v>45</v>
      </c>
      <c r="J26" s="77" t="s">
        <v>45</v>
      </c>
      <c r="K26" s="77" t="s">
        <v>45</v>
      </c>
      <c r="L26" s="77" t="s">
        <v>100</v>
      </c>
      <c r="M26" s="15">
        <f t="shared" ref="M26:M27" si="18">(IF(I26="T", E26,0)+IF(J26="T", E26,0)+IF(K26="T", F26,0)+IF(L26="T", F26,0))/1000*G26</f>
        <v>2.5339999999999998</v>
      </c>
      <c r="N26" s="81">
        <f t="shared" ref="N26:N27" si="19">(IF(I26="V", E26,0)+IF(J26="V", E26,0)+IF(K26="V", F26,0)+IF(L26="V", F26,0))/1000*G26</f>
        <v>0.96199999999999997</v>
      </c>
      <c r="O26" s="81">
        <f t="shared" ref="O26:O27" si="20">(IF(I26="T42", E26,0)+IF(J26="T42", E26,0)+IF(K26="T42", F26,0)+IF(L26="T42", F26,0))/1000*G26</f>
        <v>0</v>
      </c>
      <c r="P26" s="81">
        <f t="shared" ref="P26:P27" si="21">IF(OR(AND(E26&gt;=40,E26&lt;=59),AND(F26&gt;=40,F26&lt;=59)),M26,0)</f>
        <v>0</v>
      </c>
      <c r="Q26" s="81">
        <f t="shared" ref="Q26:Q27" si="22">IF(OR(E26&lt;=39,F26 &lt;= 39), M26,0)</f>
        <v>0</v>
      </c>
      <c r="R26" s="76"/>
      <c r="S26" s="78">
        <f t="shared" ref="S26:S27" si="23">F26</f>
        <v>481</v>
      </c>
    </row>
    <row r="27" spans="1:22" s="39" customFormat="1" ht="17.25" customHeight="1">
      <c r="A27" s="96" t="s">
        <v>53</v>
      </c>
      <c r="B27" s="76">
        <v>13</v>
      </c>
      <c r="C27" s="76"/>
      <c r="D27" s="78"/>
      <c r="E27" s="71">
        <v>1760</v>
      </c>
      <c r="F27" s="71">
        <v>475</v>
      </c>
      <c r="G27" s="71">
        <v>1</v>
      </c>
      <c r="H27" s="71" t="str">
        <f t="shared" si="7"/>
        <v>Vát 475</v>
      </c>
      <c r="I27" s="77" t="s">
        <v>45</v>
      </c>
      <c r="J27" s="77" t="s">
        <v>45</v>
      </c>
      <c r="K27" s="77" t="s">
        <v>45</v>
      </c>
      <c r="L27" s="77" t="s">
        <v>100</v>
      </c>
      <c r="M27" s="15">
        <f t="shared" si="18"/>
        <v>3.9950000000000001</v>
      </c>
      <c r="N27" s="81">
        <f t="shared" si="19"/>
        <v>0.47499999999999998</v>
      </c>
      <c r="O27" s="81">
        <f t="shared" si="20"/>
        <v>0</v>
      </c>
      <c r="P27" s="81">
        <f t="shared" si="21"/>
        <v>0</v>
      </c>
      <c r="Q27" s="81">
        <f t="shared" si="22"/>
        <v>0</v>
      </c>
      <c r="R27" s="76"/>
      <c r="S27" s="78">
        <f t="shared" si="23"/>
        <v>475</v>
      </c>
    </row>
    <row r="28" spans="1:22" s="65" customFormat="1" ht="22.5" customHeight="1">
      <c r="A28" s="96" t="s">
        <v>53</v>
      </c>
      <c r="B28" s="86" t="s">
        <v>47</v>
      </c>
      <c r="C28" s="86"/>
      <c r="D28" s="85" t="s">
        <v>7</v>
      </c>
      <c r="E28" s="63"/>
      <c r="F28" s="63"/>
      <c r="G28" s="63"/>
      <c r="H28" s="63"/>
      <c r="I28" s="63" t="s">
        <v>13</v>
      </c>
      <c r="J28" s="63"/>
      <c r="K28" s="63"/>
      <c r="L28" s="64" t="s">
        <v>11</v>
      </c>
      <c r="M28" s="63" t="s">
        <v>31</v>
      </c>
      <c r="N28" s="63" t="s">
        <v>33</v>
      </c>
      <c r="O28" s="63"/>
      <c r="P28" s="63"/>
      <c r="Q28" s="63"/>
      <c r="R28" s="63" t="s">
        <v>0</v>
      </c>
      <c r="S28" s="92"/>
    </row>
    <row r="29" spans="1:22" ht="37.5" customHeight="1">
      <c r="A29" s="19" t="s">
        <v>55</v>
      </c>
      <c r="B29" s="28">
        <v>1</v>
      </c>
      <c r="C29" s="110"/>
      <c r="D29" s="111" t="str">
        <f>D14</f>
        <v>Tấm PLYWOOD (Foil, ván, chỉ khách mang đến) màu 613 vân gỗ, keo PUR (Gervin) = 1 tấm</v>
      </c>
      <c r="E29" s="131"/>
      <c r="F29" s="16"/>
      <c r="G29" s="16"/>
      <c r="H29" s="16"/>
      <c r="I29" s="16" t="s">
        <v>89</v>
      </c>
      <c r="J29" s="16"/>
      <c r="K29" s="16"/>
      <c r="L29" s="29">
        <v>3</v>
      </c>
      <c r="M29" s="16"/>
      <c r="N29" s="16"/>
      <c r="O29" s="16"/>
      <c r="P29" s="16"/>
      <c r="Q29" s="16"/>
      <c r="R29" s="22">
        <f>L29*M29+L29*N29</f>
        <v>0</v>
      </c>
      <c r="S29" s="19" t="s">
        <v>108</v>
      </c>
      <c r="T29" s="19" t="s">
        <v>109</v>
      </c>
      <c r="U29" s="19" t="s">
        <v>110</v>
      </c>
      <c r="V29" s="40"/>
    </row>
    <row r="30" spans="1:22" ht="28.5" customHeight="1">
      <c r="A30" s="19" t="s">
        <v>55</v>
      </c>
      <c r="B30" s="28">
        <v>2</v>
      </c>
      <c r="C30" s="110"/>
      <c r="D30" s="111" t="s">
        <v>88</v>
      </c>
      <c r="E30" s="16"/>
      <c r="F30" s="16"/>
      <c r="G30" s="16"/>
      <c r="H30" s="16"/>
      <c r="I30" s="16" t="s">
        <v>89</v>
      </c>
      <c r="J30" s="16"/>
      <c r="K30" s="16"/>
      <c r="L30" s="29">
        <f>SUM(L29:L29)</f>
        <v>3</v>
      </c>
      <c r="M30" s="16">
        <v>50000</v>
      </c>
      <c r="N30" s="16"/>
      <c r="O30" s="16"/>
      <c r="P30" s="16"/>
      <c r="Q30" s="16"/>
      <c r="R30" s="22">
        <f t="shared" ref="R30:R34" si="24">L30*M30+L30*N30</f>
        <v>150000</v>
      </c>
      <c r="V30" s="40"/>
    </row>
    <row r="31" spans="1:22" ht="72.75" customHeight="1">
      <c r="A31" s="19" t="s">
        <v>55</v>
      </c>
      <c r="B31" s="28">
        <v>3</v>
      </c>
      <c r="C31" s="110"/>
      <c r="D31" s="111" t="s">
        <v>102</v>
      </c>
      <c r="E31" s="16"/>
      <c r="F31" s="16"/>
      <c r="G31" s="16"/>
      <c r="H31" s="16"/>
      <c r="I31" s="16" t="s">
        <v>32</v>
      </c>
      <c r="J31" s="16"/>
      <c r="K31" s="16"/>
      <c r="L31" s="29">
        <f>(M13-P13-Q13)*1.05</f>
        <v>47.357099999999996</v>
      </c>
      <c r="M31" s="16">
        <v>12000</v>
      </c>
      <c r="N31" s="16"/>
      <c r="O31" s="16"/>
      <c r="P31" s="16"/>
      <c r="Q31" s="16"/>
      <c r="R31" s="22">
        <f t="shared" si="24"/>
        <v>568285.19999999995</v>
      </c>
      <c r="V31" s="40"/>
    </row>
    <row r="32" spans="1:22" ht="59.25" customHeight="1">
      <c r="A32" s="19" t="s">
        <v>55</v>
      </c>
      <c r="B32" s="28">
        <v>4</v>
      </c>
      <c r="C32" s="110"/>
      <c r="D32" s="111" t="s">
        <v>103</v>
      </c>
      <c r="E32" s="16"/>
      <c r="F32" s="16"/>
      <c r="G32" s="16"/>
      <c r="H32" s="16"/>
      <c r="I32" s="16" t="s">
        <v>32</v>
      </c>
      <c r="J32" s="16"/>
      <c r="K32" s="16"/>
      <c r="L32" s="29">
        <f>N13*1.05</f>
        <v>8.4356999999999989</v>
      </c>
      <c r="M32" s="120">
        <v>25000</v>
      </c>
      <c r="N32" s="16"/>
      <c r="O32" s="16"/>
      <c r="P32" s="16"/>
      <c r="Q32" s="16"/>
      <c r="R32" s="22">
        <f t="shared" si="24"/>
        <v>210892.49999999997</v>
      </c>
      <c r="V32" s="40"/>
    </row>
    <row r="33" spans="1:46" ht="28.5" customHeight="1">
      <c r="A33" s="19" t="s">
        <v>55</v>
      </c>
      <c r="B33" s="28">
        <v>5</v>
      </c>
      <c r="C33" s="110"/>
      <c r="D33" s="111" t="s">
        <v>101</v>
      </c>
      <c r="E33" s="16"/>
      <c r="F33" s="16"/>
      <c r="G33" s="16"/>
      <c r="H33" s="16"/>
      <c r="I33" s="16" t="s">
        <v>89</v>
      </c>
      <c r="J33" s="16"/>
      <c r="K33" s="16"/>
      <c r="L33" s="29">
        <f>L30</f>
        <v>3</v>
      </c>
      <c r="M33" s="120">
        <v>40000</v>
      </c>
      <c r="N33" s="16"/>
      <c r="O33" s="16"/>
      <c r="P33" s="16"/>
      <c r="Q33" s="16"/>
      <c r="R33" s="22">
        <f t="shared" si="24"/>
        <v>120000</v>
      </c>
      <c r="V33" s="40"/>
    </row>
    <row r="34" spans="1:46" ht="28.5" customHeight="1">
      <c r="A34" s="19" t="s">
        <v>55</v>
      </c>
      <c r="B34" s="28">
        <v>6</v>
      </c>
      <c r="C34" s="110"/>
      <c r="D34" s="123" t="s">
        <v>105</v>
      </c>
      <c r="E34" s="16"/>
      <c r="F34" s="16"/>
      <c r="G34" s="16"/>
      <c r="H34" s="16"/>
      <c r="I34" s="16" t="s">
        <v>92</v>
      </c>
      <c r="J34" s="16"/>
      <c r="K34" s="16"/>
      <c r="L34" s="29">
        <v>1</v>
      </c>
      <c r="M34" s="120">
        <v>100000</v>
      </c>
      <c r="N34" s="16"/>
      <c r="O34" s="16"/>
      <c r="P34" s="16"/>
      <c r="Q34" s="16"/>
      <c r="R34" s="22">
        <f t="shared" si="24"/>
        <v>100000</v>
      </c>
      <c r="V34" s="40"/>
    </row>
    <row r="35" spans="1:46" ht="21" customHeight="1">
      <c r="B35" s="66"/>
      <c r="C35" s="66"/>
      <c r="D35" s="67"/>
      <c r="E35" s="68"/>
      <c r="F35" s="68"/>
      <c r="G35" s="68"/>
      <c r="H35" s="68"/>
      <c r="I35" s="68"/>
      <c r="J35" s="68"/>
      <c r="K35" s="68"/>
      <c r="L35" s="69"/>
      <c r="M35" s="116"/>
      <c r="N35" s="69"/>
      <c r="O35" s="121"/>
      <c r="P35" s="121"/>
      <c r="Q35" s="121" t="s">
        <v>90</v>
      </c>
      <c r="R35" s="68">
        <f>ROUND(SUM(R29:R34),-3)</f>
        <v>1149000</v>
      </c>
    </row>
    <row r="36" spans="1:46" ht="21" customHeight="1">
      <c r="B36" s="112"/>
      <c r="C36" s="112"/>
      <c r="D36" s="113"/>
      <c r="E36" s="114"/>
      <c r="F36" s="114"/>
      <c r="G36" s="114"/>
      <c r="H36" s="114"/>
      <c r="I36" s="114"/>
      <c r="J36" s="114"/>
      <c r="K36" s="114"/>
      <c r="L36" s="115"/>
      <c r="M36" s="115"/>
      <c r="N36" s="115"/>
      <c r="O36" s="115"/>
      <c r="P36" s="115"/>
      <c r="Q36" s="121" t="s">
        <v>107</v>
      </c>
      <c r="R36" s="68"/>
    </row>
    <row r="37" spans="1:46" ht="21" customHeight="1">
      <c r="B37" s="112"/>
      <c r="C37" s="112"/>
      <c r="D37" s="113"/>
      <c r="E37" s="114"/>
      <c r="F37" s="114"/>
      <c r="G37" s="114"/>
      <c r="H37" s="114"/>
      <c r="I37" s="114"/>
      <c r="J37" s="114"/>
      <c r="K37" s="114"/>
      <c r="L37" s="115"/>
      <c r="M37" s="115"/>
      <c r="N37" s="115"/>
      <c r="O37" s="115"/>
      <c r="P37" s="115"/>
      <c r="Q37" s="117" t="s">
        <v>85</v>
      </c>
      <c r="R37" s="68"/>
    </row>
    <row r="38" spans="1:46" ht="21" customHeight="1">
      <c r="B38" s="112"/>
      <c r="C38" s="112"/>
      <c r="D38" s="113"/>
      <c r="E38" s="114"/>
      <c r="F38" s="114"/>
      <c r="G38" s="114"/>
      <c r="H38" s="114"/>
      <c r="I38" s="114"/>
      <c r="J38" s="114"/>
      <c r="K38" s="114"/>
      <c r="L38" s="115"/>
      <c r="M38" s="115"/>
      <c r="N38" s="115"/>
      <c r="O38" s="115"/>
      <c r="P38" s="115"/>
      <c r="Q38" s="119" t="s">
        <v>86</v>
      </c>
      <c r="R38" s="118">
        <f>SUM(R35:R36)-R37</f>
        <v>1149000</v>
      </c>
    </row>
    <row r="39" spans="1:46" ht="15" customHeight="1">
      <c r="B39" s="44" t="s">
        <v>20</v>
      </c>
      <c r="C39" s="44"/>
      <c r="D39" s="41"/>
      <c r="E39" s="43"/>
      <c r="F39" s="43"/>
      <c r="G39" s="20"/>
      <c r="H39" s="20"/>
      <c r="I39" s="20"/>
      <c r="J39" s="20"/>
      <c r="K39" s="18"/>
      <c r="L39" s="17"/>
      <c r="M39" s="17"/>
      <c r="N39" s="17"/>
      <c r="O39" s="17"/>
      <c r="P39" s="17"/>
      <c r="Q39" s="17"/>
      <c r="R39" s="20"/>
    </row>
    <row r="40" spans="1:46" ht="15" customHeight="1">
      <c r="B40" s="44"/>
      <c r="C40" s="44"/>
      <c r="D40" s="41"/>
      <c r="E40" s="43"/>
      <c r="F40" s="43"/>
      <c r="G40" s="20"/>
      <c r="H40" s="20"/>
      <c r="I40" s="20"/>
      <c r="J40" s="20"/>
      <c r="K40" s="18"/>
      <c r="L40" s="17"/>
      <c r="M40" s="17"/>
      <c r="N40" s="17"/>
      <c r="O40" s="17"/>
      <c r="P40" s="17"/>
      <c r="Q40" s="17"/>
      <c r="R40" s="20"/>
    </row>
    <row r="41" spans="1:46" ht="15" customHeight="1">
      <c r="B41" s="45" t="s">
        <v>21</v>
      </c>
      <c r="C41" s="45"/>
      <c r="D41" s="41"/>
      <c r="E41" s="43"/>
      <c r="F41" s="43"/>
      <c r="G41" s="20"/>
      <c r="H41" s="20"/>
      <c r="I41" s="20"/>
      <c r="J41" s="20"/>
      <c r="K41" s="18"/>
      <c r="L41" s="17"/>
      <c r="M41" s="17"/>
      <c r="N41" s="17"/>
      <c r="O41" s="17"/>
      <c r="P41" s="17"/>
      <c r="Q41" s="17"/>
      <c r="R41" s="20"/>
    </row>
    <row r="42" spans="1:46" s="41" customFormat="1" ht="15" customHeight="1">
      <c r="B42" s="45" t="s">
        <v>25</v>
      </c>
      <c r="C42" s="45"/>
      <c r="E42" s="25"/>
      <c r="F42" s="25"/>
      <c r="G42" s="25"/>
      <c r="H42" s="25"/>
      <c r="I42" s="25"/>
      <c r="J42" s="25"/>
      <c r="K42" s="18"/>
      <c r="L42" s="17"/>
      <c r="M42" s="17"/>
      <c r="N42" s="17"/>
      <c r="O42" s="17"/>
      <c r="P42" s="17"/>
      <c r="Q42" s="17"/>
      <c r="R42" s="23"/>
      <c r="S42" s="19"/>
      <c r="T42" s="19"/>
      <c r="AR42" s="42"/>
      <c r="AS42" s="42"/>
      <c r="AT42" s="42"/>
    </row>
    <row r="43" spans="1:46" s="41" customFormat="1" ht="15" customHeight="1">
      <c r="B43" s="44"/>
      <c r="C43" s="44"/>
      <c r="E43" s="25"/>
      <c r="F43" s="25"/>
      <c r="G43" s="25"/>
      <c r="H43" s="25"/>
      <c r="I43" s="25"/>
      <c r="J43" s="25"/>
      <c r="K43" s="18"/>
      <c r="L43" s="17"/>
      <c r="M43" s="17"/>
      <c r="N43" s="17"/>
      <c r="O43" s="17"/>
      <c r="P43" s="17"/>
      <c r="Q43" s="17"/>
      <c r="R43" s="23"/>
      <c r="S43" s="19"/>
      <c r="AR43" s="42"/>
      <c r="AS43" s="42"/>
      <c r="AT43" s="42"/>
    </row>
    <row r="44" spans="1:46" s="41" customFormat="1" ht="15" customHeight="1">
      <c r="B44" s="21"/>
      <c r="C44" s="21"/>
      <c r="E44" s="23"/>
      <c r="F44" s="23"/>
      <c r="G44" s="24"/>
      <c r="H44" s="24"/>
      <c r="I44" s="24"/>
      <c r="J44" s="24"/>
      <c r="K44" s="18"/>
      <c r="L44" s="17"/>
      <c r="M44" s="17"/>
      <c r="N44" s="17"/>
      <c r="O44" s="17"/>
      <c r="P44" s="17"/>
      <c r="Q44" s="17"/>
      <c r="R44" s="24"/>
      <c r="S44" s="19"/>
      <c r="AR44" s="42"/>
      <c r="AS44" s="42"/>
      <c r="AT44" s="42"/>
    </row>
    <row r="45" spans="1:46" s="41" customFormat="1" ht="15" customHeight="1">
      <c r="B45" s="21"/>
      <c r="C45" s="21"/>
      <c r="D45" s="24" t="s">
        <v>1</v>
      </c>
      <c r="E45" s="23"/>
      <c r="F45" s="23"/>
      <c r="G45" s="46" t="s">
        <v>14</v>
      </c>
      <c r="H45" s="46"/>
      <c r="I45" s="23"/>
      <c r="J45" s="23"/>
      <c r="K45" s="23"/>
      <c r="L45" s="46" t="s">
        <v>83</v>
      </c>
      <c r="M45" s="24"/>
      <c r="N45" s="24"/>
      <c r="O45" s="24"/>
      <c r="P45" s="24"/>
      <c r="Q45" s="24"/>
      <c r="R45" s="24"/>
      <c r="S45" s="19"/>
      <c r="AR45" s="42"/>
      <c r="AS45" s="42"/>
      <c r="AT45" s="42"/>
    </row>
    <row r="46" spans="1:46" s="41" customFormat="1" ht="15" customHeight="1">
      <c r="B46" s="21"/>
      <c r="C46" s="21"/>
      <c r="D46" s="24" t="s">
        <v>2</v>
      </c>
      <c r="E46" s="25"/>
      <c r="F46" s="25"/>
      <c r="G46" s="46" t="s">
        <v>2</v>
      </c>
      <c r="H46" s="46"/>
      <c r="I46" s="25"/>
      <c r="J46" s="25"/>
      <c r="K46" s="25"/>
      <c r="L46" s="46" t="s">
        <v>2</v>
      </c>
      <c r="M46" s="24"/>
      <c r="N46" s="24"/>
      <c r="O46" s="24"/>
      <c r="P46" s="24"/>
      <c r="Q46" s="24"/>
      <c r="R46" s="25"/>
      <c r="S46" s="19"/>
      <c r="AR46" s="42"/>
      <c r="AS46" s="42"/>
      <c r="AT46" s="42"/>
    </row>
    <row r="47" spans="1:46" s="41" customFormat="1" ht="15" customHeight="1">
      <c r="B47" s="23"/>
      <c r="C47" s="23"/>
      <c r="D47" s="47"/>
      <c r="E47" s="26"/>
      <c r="F47" s="26"/>
      <c r="G47" s="26"/>
      <c r="H47" s="26"/>
      <c r="I47" s="26"/>
      <c r="J47" s="26"/>
      <c r="K47" s="26"/>
      <c r="L47" s="48"/>
      <c r="M47" s="48"/>
      <c r="N47" s="48"/>
      <c r="O47" s="48"/>
      <c r="P47" s="48"/>
      <c r="Q47" s="48"/>
      <c r="R47" s="26"/>
      <c r="S47" s="19"/>
      <c r="AR47" s="42"/>
      <c r="AS47" s="42"/>
      <c r="AT47" s="42"/>
    </row>
    <row r="48" spans="1:46" s="41" customFormat="1" ht="45" customHeight="1">
      <c r="B48" s="23"/>
      <c r="C48" s="23"/>
      <c r="D48" s="47"/>
      <c r="E48" s="26"/>
      <c r="F48" s="26"/>
      <c r="G48" s="26"/>
      <c r="H48" s="26"/>
      <c r="I48" s="26"/>
      <c r="J48" s="26"/>
      <c r="K48" s="26"/>
      <c r="L48" s="48"/>
      <c r="M48" s="48"/>
      <c r="N48" s="48"/>
      <c r="O48" s="48"/>
      <c r="P48" s="48"/>
      <c r="Q48" s="48"/>
      <c r="R48" s="26"/>
      <c r="S48" s="19"/>
      <c r="AR48" s="42"/>
      <c r="AS48" s="42"/>
      <c r="AT48" s="42"/>
    </row>
    <row r="49" spans="2:46" s="41" customFormat="1" ht="17.25" customHeight="1">
      <c r="B49" s="21">
        <v>1</v>
      </c>
      <c r="C49" s="21"/>
      <c r="D49" s="41" t="s">
        <v>48</v>
      </c>
      <c r="E49" s="26"/>
      <c r="F49" s="26"/>
      <c r="G49" s="26"/>
      <c r="H49" s="26"/>
      <c r="I49" s="26"/>
      <c r="J49" s="26"/>
      <c r="K49" s="26"/>
      <c r="L49" s="48"/>
      <c r="M49" s="48"/>
      <c r="N49" s="48"/>
      <c r="O49" s="48"/>
      <c r="P49" s="48"/>
      <c r="Q49" s="48"/>
      <c r="R49" s="26"/>
      <c r="S49" s="19"/>
      <c r="AR49" s="42"/>
      <c r="AS49" s="42"/>
      <c r="AT49" s="42"/>
    </row>
    <row r="50" spans="2:46" s="41" customFormat="1" ht="17.25" customHeight="1">
      <c r="B50" s="21">
        <v>2</v>
      </c>
      <c r="C50" s="21"/>
      <c r="D50" s="50" t="s">
        <v>12</v>
      </c>
      <c r="E50" s="25"/>
      <c r="F50" s="25"/>
      <c r="G50" s="25"/>
      <c r="H50" s="25"/>
      <c r="I50" s="25"/>
      <c r="J50" s="25"/>
      <c r="K50" s="25"/>
      <c r="L50" s="42"/>
      <c r="M50" s="42"/>
      <c r="N50" s="42"/>
      <c r="O50" s="42"/>
      <c r="P50" s="42"/>
      <c r="Q50" s="42"/>
      <c r="R50" s="25"/>
      <c r="S50" s="19"/>
      <c r="AR50" s="42"/>
      <c r="AS50" s="42"/>
      <c r="AT50" s="42"/>
    </row>
    <row r="51" spans="2:46" s="41" customFormat="1" ht="17.25" customHeight="1">
      <c r="B51" s="21">
        <v>3</v>
      </c>
      <c r="C51" s="21"/>
      <c r="D51" s="50" t="s">
        <v>23</v>
      </c>
      <c r="E51" s="51"/>
      <c r="F51" s="51"/>
      <c r="G51" s="51"/>
      <c r="H51" s="51"/>
      <c r="I51" s="25"/>
      <c r="J51" s="25"/>
      <c r="K51" s="25"/>
      <c r="L51" s="42"/>
      <c r="M51" s="42"/>
      <c r="N51" s="42"/>
      <c r="O51" s="42"/>
      <c r="P51" s="42"/>
      <c r="Q51" s="42"/>
      <c r="R51" s="25"/>
      <c r="S51" s="19"/>
      <c r="AR51" s="42"/>
      <c r="AS51" s="42"/>
      <c r="AT51" s="42"/>
    </row>
    <row r="52" spans="2:46" s="41" customFormat="1" ht="17.25" customHeight="1">
      <c r="B52" s="21">
        <v>4</v>
      </c>
      <c r="C52" s="21"/>
      <c r="D52" s="50" t="s">
        <v>3</v>
      </c>
      <c r="E52" s="51"/>
      <c r="F52" s="51"/>
      <c r="G52" s="51"/>
      <c r="H52" s="51"/>
      <c r="I52" s="25"/>
      <c r="J52" s="25"/>
      <c r="K52" s="25"/>
      <c r="L52" s="42"/>
      <c r="M52" s="42"/>
      <c r="N52" s="42"/>
      <c r="O52" s="42"/>
      <c r="P52" s="42"/>
      <c r="Q52" s="42"/>
      <c r="R52" s="25"/>
      <c r="S52" s="19"/>
      <c r="AR52" s="42"/>
      <c r="AS52" s="42"/>
      <c r="AT52" s="42"/>
    </row>
    <row r="53" spans="2:46" s="49" customFormat="1" ht="17.25" customHeight="1">
      <c r="B53" s="21">
        <v>5</v>
      </c>
      <c r="C53" s="21"/>
      <c r="D53" s="50" t="s">
        <v>24</v>
      </c>
      <c r="E53" s="51"/>
      <c r="F53" s="51"/>
      <c r="G53" s="51"/>
      <c r="H53" s="51"/>
      <c r="I53" s="25"/>
      <c r="J53" s="25"/>
      <c r="K53" s="25"/>
      <c r="L53" s="42"/>
      <c r="M53" s="42"/>
      <c r="N53" s="42"/>
      <c r="O53" s="42"/>
      <c r="P53" s="42"/>
      <c r="Q53" s="42"/>
      <c r="R53" s="25"/>
      <c r="S53" s="19"/>
      <c r="T53" s="41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3"/>
      <c r="AQ53" s="53"/>
      <c r="AR53" s="53"/>
    </row>
    <row r="54" spans="2:46" s="49" customFormat="1" ht="17.25" customHeight="1">
      <c r="B54" s="21"/>
      <c r="C54" s="21"/>
      <c r="D54" s="35"/>
      <c r="E54" s="21"/>
      <c r="F54" s="21"/>
      <c r="G54" s="21"/>
      <c r="H54" s="21"/>
      <c r="I54" s="21"/>
      <c r="J54" s="21"/>
      <c r="K54" s="21"/>
      <c r="L54" s="19"/>
      <c r="M54" s="19"/>
      <c r="N54" s="19"/>
      <c r="O54" s="19"/>
      <c r="P54" s="19"/>
      <c r="Q54" s="19"/>
      <c r="R54" s="21"/>
      <c r="S54" s="19"/>
      <c r="AE54" s="54" t="e">
        <f>#REF!</f>
        <v>#REF!</v>
      </c>
      <c r="AF54" s="55" t="e">
        <f>RIGHT("000000000000"&amp;ROUND(AE54,0),12)</f>
        <v>#REF!</v>
      </c>
      <c r="AG54" s="55">
        <v>1</v>
      </c>
      <c r="AH54" s="55">
        <v>2</v>
      </c>
      <c r="AI54" s="55">
        <v>3</v>
      </c>
      <c r="AJ54" s="55">
        <v>4</v>
      </c>
      <c r="AK54" s="55">
        <v>5</v>
      </c>
      <c r="AL54" s="55">
        <v>6</v>
      </c>
      <c r="AM54" s="55">
        <v>7</v>
      </c>
      <c r="AN54" s="55">
        <v>8</v>
      </c>
      <c r="AO54" s="55">
        <v>9</v>
      </c>
      <c r="AP54" s="56">
        <v>10</v>
      </c>
      <c r="AQ54" s="56">
        <v>11</v>
      </c>
      <c r="AR54" s="56">
        <v>12</v>
      </c>
    </row>
    <row r="55" spans="2:46" s="49" customFormat="1" ht="17.25" customHeight="1">
      <c r="B55" s="21"/>
      <c r="C55" s="21"/>
      <c r="D55" s="35"/>
      <c r="E55" s="21"/>
      <c r="F55" s="21"/>
      <c r="G55" s="21"/>
      <c r="H55" s="21"/>
      <c r="I55" s="21"/>
      <c r="J55" s="21"/>
      <c r="K55" s="21"/>
      <c r="L55" s="19"/>
      <c r="M55" s="19"/>
      <c r="N55" s="19"/>
      <c r="O55" s="19"/>
      <c r="P55" s="19"/>
      <c r="Q55" s="19"/>
      <c r="R55" s="21"/>
      <c r="S55" s="19"/>
      <c r="AE55" s="57"/>
      <c r="AF55" s="58"/>
      <c r="AG55" s="58" t="e">
        <f>VALUE(MID(AF54,AG54,1))</f>
        <v>#REF!</v>
      </c>
      <c r="AH55" s="58" t="e">
        <f>VALUE(MID(AF54,AH54,1))</f>
        <v>#REF!</v>
      </c>
      <c r="AI55" s="58" t="e">
        <f>VALUE(MID(AF54,AI54,1))</f>
        <v>#REF!</v>
      </c>
      <c r="AJ55" s="58" t="e">
        <f>VALUE(MID(AF54,AJ54,1))</f>
        <v>#REF!</v>
      </c>
      <c r="AK55" s="58" t="e">
        <f>VALUE(MID(AF54,AK54,1))</f>
        <v>#REF!</v>
      </c>
      <c r="AL55" s="58" t="e">
        <f>VALUE(MID(AF54,AL54,1))</f>
        <v>#REF!</v>
      </c>
      <c r="AM55" s="58" t="e">
        <f>VALUE(MID(AF54,AM54,1))</f>
        <v>#REF!</v>
      </c>
      <c r="AN55" s="58" t="e">
        <f>VALUE(MID(AF54,AN54,1))</f>
        <v>#REF!</v>
      </c>
      <c r="AO55" s="58" t="e">
        <f>VALUE(MID(AF54,AO54,1))</f>
        <v>#REF!</v>
      </c>
      <c r="AP55" s="59" t="e">
        <f>VALUE(MID(AF54,AP54,1))</f>
        <v>#REF!</v>
      </c>
      <c r="AQ55" s="59" t="e">
        <f>VALUE(MID(AF54,AQ54,1))</f>
        <v>#REF!</v>
      </c>
      <c r="AR55" s="59" t="e">
        <f>VALUE(MID(AF54,AR54,1))</f>
        <v>#REF!</v>
      </c>
    </row>
    <row r="56" spans="2:46" s="49" customFormat="1" ht="17.25" customHeight="1">
      <c r="B56" s="21"/>
      <c r="C56" s="21"/>
      <c r="D56" s="35"/>
      <c r="E56" s="21"/>
      <c r="F56" s="21"/>
      <c r="G56" s="21"/>
      <c r="H56" s="21"/>
      <c r="I56" s="21"/>
      <c r="J56" s="21"/>
      <c r="K56" s="21"/>
      <c r="L56" s="19"/>
      <c r="M56" s="19"/>
      <c r="N56" s="19"/>
      <c r="O56" s="19"/>
      <c r="P56" s="19"/>
      <c r="Q56" s="19"/>
      <c r="R56" s="21"/>
      <c r="S56" s="19"/>
      <c r="AE56" s="57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9"/>
      <c r="AQ56" s="59"/>
      <c r="AR56" s="59"/>
    </row>
    <row r="57" spans="2:46" s="49" customFormat="1" ht="17.25" customHeight="1">
      <c r="B57" s="21"/>
      <c r="C57" s="21"/>
      <c r="D57" s="35"/>
      <c r="E57" s="21"/>
      <c r="F57" s="21"/>
      <c r="G57" s="21"/>
      <c r="H57" s="21"/>
      <c r="I57" s="21"/>
      <c r="J57" s="21"/>
      <c r="K57" s="21"/>
      <c r="L57" s="19"/>
      <c r="M57" s="19"/>
      <c r="N57" s="19"/>
      <c r="O57" s="19"/>
      <c r="P57" s="19"/>
      <c r="Q57" s="19"/>
      <c r="R57" s="21"/>
      <c r="S57" s="19"/>
      <c r="AE57" s="57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9"/>
      <c r="AQ57" s="59"/>
      <c r="AR57" s="59"/>
    </row>
    <row r="58" spans="2:46" ht="17.25" customHeight="1">
      <c r="T58" s="49"/>
    </row>
    <row r="59" spans="2:46" ht="17.25" customHeight="1"/>
    <row r="60" spans="2:46" ht="17.25" customHeight="1"/>
    <row r="61" spans="2:46" ht="17.25" customHeight="1"/>
    <row r="62" spans="2:46" ht="17.25" customHeight="1"/>
    <row r="63" spans="2:46" ht="17.25" customHeight="1"/>
    <row r="64" spans="2:46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122" spans="2:46" s="41" customFormat="1" ht="21" customHeight="1">
      <c r="B122" s="21"/>
      <c r="C122" s="21"/>
      <c r="D122" s="35"/>
      <c r="E122" s="21"/>
      <c r="F122" s="21"/>
      <c r="G122" s="21"/>
      <c r="H122" s="21"/>
      <c r="I122" s="21"/>
      <c r="J122" s="21"/>
      <c r="K122" s="21"/>
      <c r="L122" s="19"/>
      <c r="M122" s="19"/>
      <c r="N122" s="19"/>
      <c r="O122" s="19"/>
      <c r="P122" s="19"/>
      <c r="Q122" s="19"/>
      <c r="R122" s="21"/>
      <c r="S122" s="19"/>
      <c r="T122" s="19"/>
      <c r="AR122" s="42"/>
      <c r="AS122" s="42"/>
      <c r="AT122" s="42"/>
    </row>
    <row r="130" spans="2:46" s="41" customFormat="1" ht="21" customHeight="1">
      <c r="B130" s="21"/>
      <c r="C130" s="21"/>
      <c r="D130" s="35"/>
      <c r="E130" s="21"/>
      <c r="F130" s="21"/>
      <c r="G130" s="21"/>
      <c r="H130" s="21"/>
      <c r="I130" s="21"/>
      <c r="J130" s="21"/>
      <c r="K130" s="21"/>
      <c r="L130" s="19"/>
      <c r="M130" s="19"/>
      <c r="N130" s="19"/>
      <c r="O130" s="19"/>
      <c r="P130" s="19"/>
      <c r="Q130" s="19"/>
      <c r="R130" s="21"/>
      <c r="S130" s="19"/>
      <c r="AR130" s="42"/>
      <c r="AS130" s="42"/>
      <c r="AT130" s="42"/>
    </row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51" customHeight="1"/>
    <row r="174" ht="46.5" customHeight="1"/>
    <row r="175" ht="46.5" customHeight="1"/>
    <row r="178" ht="27" customHeight="1"/>
    <row r="179" ht="24" customHeight="1"/>
  </sheetData>
  <mergeCells count="15">
    <mergeCell ref="O2:R2"/>
    <mergeCell ref="A11:A12"/>
    <mergeCell ref="C11:C12"/>
    <mergeCell ref="R11:R12"/>
    <mergeCell ref="D11:D12"/>
    <mergeCell ref="B11:B12"/>
    <mergeCell ref="E11:F11"/>
    <mergeCell ref="G11:G12"/>
    <mergeCell ref="M11:M12"/>
    <mergeCell ref="N11:N12"/>
    <mergeCell ref="I11:L11"/>
    <mergeCell ref="O11:O12"/>
    <mergeCell ref="H11:H12"/>
    <mergeCell ref="P11:P12"/>
    <mergeCell ref="Q11:Q12"/>
  </mergeCells>
  <conditionalFormatting sqref="E15:F27">
    <cfRule type="cellIs" dxfId="0" priority="50" operator="between">
      <formula>0</formula>
      <formula>59</formula>
    </cfRule>
  </conditionalFormatting>
  <pageMargins left="0.28000000000000003" right="0.25" top="0.34" bottom="0.34" header="0.3" footer="0.3"/>
  <pageSetup paperSize="9" scale="74" orientation="landscape" r:id="rId1"/>
  <rowBreaks count="2" manualBreakCount="2">
    <brk id="42" max="16383" man="1"/>
    <brk id="53" max="16383" man="1"/>
  </rowBreaks>
  <colBreaks count="1" manualBreakCount="1">
    <brk id="18" max="1048575" man="1"/>
  </colBreaks>
  <drawing r:id="rId2"/>
  <legacyDrawing r:id="rId3"/>
  <oleObjects>
    <mc:AlternateContent xmlns:mc="http://schemas.openxmlformats.org/markup-compatibility/2006">
      <mc:Choice Requires="x14">
        <oleObject progId="AutoCAD.Drawing.19" shapeId="22534" r:id="rId4">
          <objectPr defaultSize="0" autoPict="0" r:id="rId5">
            <anchor moveWithCells="1">
              <from>
                <xdr:col>14</xdr:col>
                <xdr:colOff>714375</xdr:colOff>
                <xdr:row>42</xdr:row>
                <xdr:rowOff>28575</xdr:rowOff>
              </from>
              <to>
                <xdr:col>16</xdr:col>
                <xdr:colOff>257175</xdr:colOff>
                <xdr:row>48</xdr:row>
                <xdr:rowOff>0</xdr:rowOff>
              </to>
            </anchor>
          </objectPr>
        </oleObject>
      </mc:Choice>
      <mc:Fallback>
        <oleObject progId="AutoCAD.Drawing.19" shapeId="22534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97"/>
  <sheetViews>
    <sheetView topLeftCell="A3" zoomScale="85" zoomScaleNormal="85" workbookViewId="0">
      <selection activeCell="B15" sqref="B15"/>
    </sheetView>
  </sheetViews>
  <sheetFormatPr defaultColWidth="9" defaultRowHeight="15"/>
  <cols>
    <col min="1" max="1" width="6.375" style="8" customWidth="1"/>
    <col min="2" max="2" width="68.875" style="7" customWidth="1"/>
    <col min="3" max="3" width="8.5" style="1" customWidth="1"/>
    <col min="4" max="4" width="7.125" style="1" customWidth="1"/>
    <col min="5" max="5" width="5.875" style="1" customWidth="1"/>
    <col min="6" max="6" width="10.5" style="1" customWidth="1"/>
    <col min="7" max="9" width="6.875" style="1" customWidth="1"/>
    <col min="10" max="10" width="26.875" style="1" customWidth="1"/>
    <col min="11" max="16384" width="9" style="1"/>
  </cols>
  <sheetData>
    <row r="1" spans="1:11" ht="37.5" customHeight="1">
      <c r="B1" s="9"/>
    </row>
    <row r="2" spans="1:11" ht="37.5" customHeight="1"/>
    <row r="3" spans="1:11" ht="37.5" customHeight="1"/>
    <row r="4" spans="1:11" ht="11.25" customHeight="1">
      <c r="C4" s="2"/>
    </row>
    <row r="5" spans="1:11" ht="22.5">
      <c r="B5" s="2"/>
      <c r="C5" s="11"/>
      <c r="D5" s="10" t="s">
        <v>8</v>
      </c>
      <c r="F5" s="2"/>
      <c r="J5" s="2"/>
      <c r="K5" s="2"/>
    </row>
    <row r="6" spans="1:11">
      <c r="A6" s="8" t="s">
        <v>9</v>
      </c>
      <c r="B6" s="1"/>
      <c r="D6" s="8" t="str">
        <f>'GIA CONG LAMINATE'!I6</f>
        <v>Ngày 18 tháng 6 năm 2026</v>
      </c>
    </row>
    <row r="7" spans="1:11">
      <c r="B7" s="1"/>
      <c r="D7" s="8" t="str">
        <f>'GIA CONG LAMINATE'!I7</f>
        <v xml:space="preserve">Số phiếu: </v>
      </c>
      <c r="E7" s="1" t="str">
        <f>'GIA CONG LAMINATE'!J7</f>
        <v>0118</v>
      </c>
    </row>
    <row r="8" spans="1:11">
      <c r="A8" s="1"/>
      <c r="B8" s="7" t="str">
        <f>'GIA CONG LAMINATE'!D8</f>
        <v>Khách hàng: KH1188 - Thái Nguyễn</v>
      </c>
      <c r="J8" s="12"/>
      <c r="K8" s="3"/>
    </row>
    <row r="9" spans="1:11">
      <c r="A9" s="1"/>
      <c r="B9" s="7" t="str">
        <f>'GIA CONG LAMINATE'!D9</f>
        <v>Địa chỉ: TP.Vinh, Nghệ An (0948.993.337)</v>
      </c>
      <c r="G9" s="13"/>
      <c r="J9" s="3"/>
      <c r="K9" s="3"/>
    </row>
    <row r="10" spans="1:11">
      <c r="A10" s="1"/>
      <c r="B10" s="7" t="s">
        <v>10</v>
      </c>
      <c r="J10" s="3"/>
      <c r="K10" s="3"/>
    </row>
    <row r="11" spans="1:11" ht="38.25" customHeight="1">
      <c r="A11" s="88" t="str">
        <f>'GIA CONG LAMINATE'!B28</f>
        <v>B</v>
      </c>
      <c r="B11" s="88" t="str">
        <f>'GIA CONG LAMINATE'!D28</f>
        <v>Tính giá bán sản phẩm, dịch vụ:</v>
      </c>
      <c r="C11" s="88" t="str">
        <f>'GIA CONG LAMINATE'!I28</f>
        <v>Đơn vị</v>
      </c>
      <c r="D11" s="88"/>
      <c r="E11" s="88"/>
      <c r="F11" s="88" t="str">
        <f>'GIA CONG LAMINATE'!L28</f>
        <v>Số lượng</v>
      </c>
      <c r="G11" s="88"/>
      <c r="H11" s="88"/>
      <c r="I11" s="88"/>
      <c r="J11" s="88" t="s">
        <v>30</v>
      </c>
    </row>
    <row r="12" spans="1:11" ht="29.25" customHeight="1">
      <c r="A12" s="30">
        <f>'GIA CONG LAMINATE'!B29</f>
        <v>1</v>
      </c>
      <c r="B12" s="87" t="str">
        <f>'GIA CONG LAMINATE'!D29</f>
        <v>Tấm PLYWOOD (Foil, ván, chỉ khách mang đến) màu 613 vân gỗ, keo PUR (Gervin) = 1 tấm</v>
      </c>
      <c r="C12" s="87" t="str">
        <f>'GIA CONG LAMINATE'!I29</f>
        <v>tấm</v>
      </c>
      <c r="D12" s="87"/>
      <c r="E12" s="87"/>
      <c r="F12" s="87">
        <f>'GIA CONG LAMINATE'!L29</f>
        <v>3</v>
      </c>
      <c r="G12" s="87"/>
      <c r="H12" s="87"/>
      <c r="I12" s="87"/>
      <c r="J12" s="122"/>
    </row>
    <row r="13" spans="1:11" ht="29.25" customHeight="1">
      <c r="A13" s="30">
        <f>'GIA CONG LAMINATE'!B30</f>
        <v>2</v>
      </c>
      <c r="B13" s="87" t="str">
        <f>'GIA CONG LAMINATE'!D30</f>
        <v>Công cắt tấm</v>
      </c>
      <c r="C13" s="87" t="str">
        <f>'GIA CONG LAMINATE'!I30</f>
        <v>tấm</v>
      </c>
      <c r="D13" s="87"/>
      <c r="E13" s="87"/>
      <c r="F13" s="87">
        <f>'GIA CONG LAMINATE'!L30</f>
        <v>3</v>
      </c>
      <c r="G13" s="87"/>
      <c r="H13" s="87"/>
      <c r="I13" s="87"/>
      <c r="J13" s="122"/>
    </row>
    <row r="14" spans="1:11" ht="58.5" customHeight="1">
      <c r="A14" s="30">
        <f>'GIA CONG LAMINATE'!B31</f>
        <v>3</v>
      </c>
      <c r="B14" s="87" t="str">
        <f>'GIA CONG LAMINATE'!D31</f>
        <v>Dán cạnh thẳng laminate, melamine sử dụng keo chống thấm nước PUR:
Áp dụng cho tấm ván có chiều rộng từ 60mm trở lên, độ dày ván 9-21mm, sử dụng máy dán Homag, Cộng hòa LB Đức.</v>
      </c>
      <c r="C14" s="87" t="str">
        <f>'GIA CONG LAMINATE'!I31</f>
        <v>m</v>
      </c>
      <c r="D14" s="87"/>
      <c r="E14" s="87"/>
      <c r="F14" s="87">
        <f>'GIA CONG LAMINATE'!L31</f>
        <v>47.357099999999996</v>
      </c>
      <c r="G14" s="87"/>
      <c r="H14" s="87"/>
      <c r="I14" s="87"/>
      <c r="J14" s="122"/>
    </row>
    <row r="15" spans="1:11" ht="58.5" customHeight="1">
      <c r="A15" s="30">
        <f>'GIA CONG LAMINATE'!B32</f>
        <v>4</v>
      </c>
      <c r="B15" s="87" t="str">
        <f>'GIA CONG LAMINATE'!D32</f>
        <v>Dán cạnh Vát sử dụng máy dán acrylic:
Áp dụng cho tấm ván có chiều rộng từ 60mm trở lên, độ dày ván 9-21mm + Công hoàn thiện sản phẩm</v>
      </c>
      <c r="C15" s="87" t="str">
        <f>'GIA CONG LAMINATE'!I32</f>
        <v>m</v>
      </c>
      <c r="D15" s="87"/>
      <c r="E15" s="87"/>
      <c r="F15" s="87">
        <f>'GIA CONG LAMINATE'!L32</f>
        <v>8.4356999999999989</v>
      </c>
      <c r="G15" s="87"/>
      <c r="H15" s="87"/>
      <c r="I15" s="87"/>
      <c r="J15" s="122"/>
    </row>
    <row r="16" spans="1:11" ht="29.25" customHeight="1">
      <c r="A16" s="30">
        <f>'GIA CONG LAMINATE'!B33</f>
        <v>5</v>
      </c>
      <c r="B16" s="87" t="str">
        <f>'GIA CONG LAMINATE'!D33</f>
        <v>Nhân công và vật liệu đóng gói melamin, laminate</v>
      </c>
      <c r="C16" s="87" t="str">
        <f>'GIA CONG LAMINATE'!I33</f>
        <v>tấm</v>
      </c>
      <c r="D16" s="87"/>
      <c r="E16" s="87"/>
      <c r="F16" s="87">
        <f>'GIA CONG LAMINATE'!L33</f>
        <v>3</v>
      </c>
      <c r="G16" s="87"/>
      <c r="H16" s="87"/>
      <c r="I16" s="87"/>
      <c r="J16" s="122"/>
    </row>
    <row r="17" spans="1:62" ht="29.25" customHeight="1">
      <c r="A17" s="32"/>
      <c r="B17" s="33"/>
      <c r="C17" s="32"/>
      <c r="D17" s="32"/>
      <c r="E17" s="32"/>
      <c r="F17" s="32"/>
      <c r="G17" s="32"/>
      <c r="H17" s="32"/>
      <c r="I17" s="32"/>
      <c r="J17" s="32"/>
      <c r="N17" s="4"/>
      <c r="O17" s="4"/>
      <c r="P17" s="4"/>
      <c r="Q17" s="31"/>
      <c r="R17" s="31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</row>
    <row r="18" spans="1:62" ht="18.75">
      <c r="B18" s="74" t="s">
        <v>34</v>
      </c>
      <c r="C18" s="74"/>
      <c r="D18" s="74"/>
      <c r="E18" s="74" t="s">
        <v>35</v>
      </c>
      <c r="F18" s="74"/>
      <c r="H18" s="74" t="s">
        <v>36</v>
      </c>
      <c r="J18" s="74" t="s">
        <v>37</v>
      </c>
    </row>
    <row r="19" spans="1:62" ht="15.75">
      <c r="B19" s="75" t="s">
        <v>38</v>
      </c>
      <c r="C19" s="75"/>
      <c r="D19" s="75"/>
      <c r="E19" s="75" t="s">
        <v>2</v>
      </c>
      <c r="F19" s="75"/>
      <c r="H19" s="75" t="s">
        <v>2</v>
      </c>
      <c r="J19" s="75" t="s">
        <v>2</v>
      </c>
    </row>
    <row r="20" spans="1:62" ht="74.25" customHeight="1">
      <c r="B20" s="1"/>
      <c r="D20" s="14"/>
      <c r="E20" s="14"/>
      <c r="F20" s="14"/>
      <c r="G20" s="5"/>
      <c r="H20" s="3"/>
      <c r="I20" s="3"/>
      <c r="K20" s="3"/>
    </row>
    <row r="21" spans="1:62" ht="69" customHeight="1">
      <c r="B21" s="8"/>
      <c r="J21" s="3"/>
      <c r="K21" s="3"/>
    </row>
    <row r="22" spans="1:62" ht="29.25" customHeight="1">
      <c r="J22" s="3"/>
      <c r="K22" s="3"/>
    </row>
    <row r="23" spans="1:62" ht="29.25" customHeight="1">
      <c r="J23" s="3"/>
      <c r="K23" s="3"/>
    </row>
    <row r="24" spans="1:62">
      <c r="J24" s="3"/>
      <c r="K24" s="3"/>
    </row>
    <row r="25" spans="1:62">
      <c r="J25" s="3"/>
      <c r="K25" s="3"/>
    </row>
    <row r="26" spans="1:62">
      <c r="J26" s="3"/>
      <c r="K26" s="3"/>
    </row>
    <row r="27" spans="1:62">
      <c r="B27" s="1"/>
      <c r="J27" s="3"/>
      <c r="K27" s="3"/>
    </row>
    <row r="28" spans="1:62">
      <c r="B28" s="1"/>
      <c r="J28" s="3"/>
      <c r="K28" s="3"/>
    </row>
    <row r="29" spans="1:62">
      <c r="B29" s="1"/>
      <c r="J29" s="3"/>
      <c r="K29" s="3"/>
    </row>
    <row r="30" spans="1:62">
      <c r="B30" s="1"/>
      <c r="J30" s="3"/>
      <c r="K30" s="3"/>
    </row>
    <row r="31" spans="1:62">
      <c r="B31" s="1"/>
      <c r="J31" s="3"/>
      <c r="K31" s="3"/>
    </row>
    <row r="32" spans="1:62">
      <c r="B32" s="1"/>
      <c r="J32" s="3"/>
      <c r="K32" s="3"/>
    </row>
    <row r="33" spans="2:11">
      <c r="B33" s="1"/>
      <c r="J33" s="3"/>
      <c r="K33" s="3"/>
    </row>
    <row r="34" spans="2:11">
      <c r="B34" s="1"/>
      <c r="J34" s="3"/>
      <c r="K34" s="3"/>
    </row>
    <row r="35" spans="2:11">
      <c r="B35" s="1"/>
      <c r="J35" s="3"/>
      <c r="K35" s="3"/>
    </row>
    <row r="36" spans="2:11">
      <c r="B36" s="1"/>
      <c r="J36" s="3"/>
      <c r="K36" s="3"/>
    </row>
    <row r="37" spans="2:11">
      <c r="B37" s="1"/>
      <c r="J37" s="3"/>
      <c r="K37" s="3"/>
    </row>
    <row r="38" spans="2:11">
      <c r="B38" s="1"/>
      <c r="J38" s="3"/>
      <c r="K38" s="3"/>
    </row>
    <row r="39" spans="2:11">
      <c r="B39" s="1"/>
      <c r="J39" s="3"/>
      <c r="K39" s="3"/>
    </row>
    <row r="40" spans="2:11">
      <c r="B40" s="1"/>
      <c r="J40" s="3"/>
      <c r="K40" s="3"/>
    </row>
    <row r="41" spans="2:11">
      <c r="B41" s="1"/>
      <c r="J41" s="3"/>
      <c r="K41" s="3"/>
    </row>
    <row r="42" spans="2:11">
      <c r="B42" s="1"/>
      <c r="J42" s="3"/>
      <c r="K42" s="3"/>
    </row>
    <row r="43" spans="2:11">
      <c r="B43" s="1"/>
      <c r="J43" s="3"/>
      <c r="K43" s="3"/>
    </row>
    <row r="44" spans="2:11">
      <c r="B44" s="1"/>
      <c r="J44" s="3"/>
      <c r="K44" s="3"/>
    </row>
    <row r="45" spans="2:11">
      <c r="B45" s="1"/>
      <c r="J45" s="3"/>
      <c r="K45" s="3"/>
    </row>
    <row r="46" spans="2:11">
      <c r="B46" s="1"/>
      <c r="J46" s="3"/>
      <c r="K46" s="3"/>
    </row>
    <row r="47" spans="2:11">
      <c r="B47" s="1"/>
      <c r="J47" s="3"/>
      <c r="K47" s="3"/>
    </row>
    <row r="48" spans="2:11">
      <c r="B48" s="1"/>
      <c r="J48" s="3"/>
      <c r="K48" s="3"/>
    </row>
    <row r="49" spans="2:11">
      <c r="B49" s="1"/>
      <c r="J49" s="3"/>
      <c r="K49" s="3"/>
    </row>
    <row r="50" spans="2:11">
      <c r="B50" s="1"/>
      <c r="J50" s="3"/>
      <c r="K50" s="3"/>
    </row>
    <row r="51" spans="2:11">
      <c r="B51" s="1"/>
      <c r="J51" s="3"/>
      <c r="K51" s="3"/>
    </row>
    <row r="52" spans="2:11">
      <c r="B52" s="1"/>
      <c r="J52" s="3"/>
      <c r="K52" s="3"/>
    </row>
    <row r="53" spans="2:11">
      <c r="B53" s="1"/>
      <c r="J53" s="3"/>
      <c r="K53" s="3"/>
    </row>
    <row r="54" spans="2:11">
      <c r="B54" s="1"/>
      <c r="J54" s="3"/>
      <c r="K54" s="3"/>
    </row>
    <row r="55" spans="2:11">
      <c r="B55" s="1"/>
      <c r="J55" s="3"/>
      <c r="K55" s="3"/>
    </row>
    <row r="56" spans="2:11">
      <c r="B56" s="1"/>
      <c r="J56" s="3"/>
      <c r="K56" s="3"/>
    </row>
    <row r="57" spans="2:11">
      <c r="B57" s="1"/>
      <c r="J57" s="3"/>
      <c r="K57" s="3"/>
    </row>
    <row r="58" spans="2:11">
      <c r="B58" s="1"/>
      <c r="J58" s="3"/>
      <c r="K58" s="3"/>
    </row>
    <row r="59" spans="2:11">
      <c r="B59" s="1"/>
      <c r="J59" s="3"/>
      <c r="K59" s="3"/>
    </row>
    <row r="60" spans="2:11">
      <c r="B60" s="1"/>
      <c r="J60" s="3"/>
      <c r="K60" s="3"/>
    </row>
    <row r="61" spans="2:11">
      <c r="B61" s="1"/>
      <c r="J61" s="3"/>
      <c r="K61" s="3"/>
    </row>
    <row r="62" spans="2:11">
      <c r="B62" s="1"/>
      <c r="J62" s="3"/>
      <c r="K62" s="3"/>
    </row>
    <row r="63" spans="2:11">
      <c r="B63" s="1"/>
      <c r="J63" s="3"/>
      <c r="K63" s="3"/>
    </row>
    <row r="64" spans="2:11">
      <c r="B64" s="1"/>
      <c r="J64" s="3"/>
      <c r="K64" s="3"/>
    </row>
    <row r="65" spans="2:11">
      <c r="B65" s="1"/>
      <c r="J65" s="3"/>
      <c r="K65" s="3"/>
    </row>
    <row r="66" spans="2:11">
      <c r="B66" s="1"/>
      <c r="J66" s="3"/>
      <c r="K66" s="3"/>
    </row>
    <row r="67" spans="2:11">
      <c r="B67" s="1"/>
      <c r="J67" s="3"/>
      <c r="K67" s="3"/>
    </row>
    <row r="68" spans="2:11">
      <c r="B68" s="1"/>
      <c r="J68" s="3"/>
      <c r="K68" s="3"/>
    </row>
    <row r="69" spans="2:11">
      <c r="B69" s="1"/>
      <c r="J69" s="3"/>
      <c r="K69" s="3"/>
    </row>
    <row r="70" spans="2:11">
      <c r="B70" s="1"/>
      <c r="J70" s="3"/>
      <c r="K70" s="3"/>
    </row>
    <row r="71" spans="2:11">
      <c r="B71" s="1"/>
      <c r="J71" s="3"/>
      <c r="K71" s="3"/>
    </row>
    <row r="72" spans="2:11">
      <c r="B72" s="1"/>
      <c r="J72" s="3"/>
      <c r="K72" s="3"/>
    </row>
    <row r="73" spans="2:11">
      <c r="B73" s="1"/>
      <c r="J73" s="3"/>
      <c r="K73" s="3"/>
    </row>
    <row r="74" spans="2:11">
      <c r="B74" s="1"/>
      <c r="J74" s="3"/>
      <c r="K74" s="3"/>
    </row>
    <row r="75" spans="2:11">
      <c r="B75" s="1"/>
      <c r="J75" s="3"/>
      <c r="K75" s="3"/>
    </row>
    <row r="76" spans="2:11">
      <c r="B76" s="1"/>
      <c r="J76" s="3"/>
      <c r="K76" s="3"/>
    </row>
    <row r="77" spans="2:11">
      <c r="B77" s="1"/>
      <c r="J77" s="3"/>
      <c r="K77" s="3"/>
    </row>
    <row r="78" spans="2:11">
      <c r="B78" s="1"/>
      <c r="J78" s="3"/>
      <c r="K78" s="3"/>
    </row>
    <row r="79" spans="2:11">
      <c r="B79" s="1"/>
      <c r="J79" s="3"/>
      <c r="K79" s="3"/>
    </row>
    <row r="80" spans="2:11">
      <c r="B80" s="1"/>
      <c r="J80" s="3"/>
      <c r="K80" s="3"/>
    </row>
    <row r="81" spans="2:11">
      <c r="B81" s="1"/>
      <c r="J81" s="3"/>
      <c r="K81" s="3"/>
    </row>
    <row r="82" spans="2:11">
      <c r="B82" s="1"/>
      <c r="J82" s="3"/>
      <c r="K82" s="3"/>
    </row>
    <row r="83" spans="2:11">
      <c r="B83" s="1"/>
      <c r="J83" s="3"/>
      <c r="K83" s="3"/>
    </row>
    <row r="84" spans="2:11">
      <c r="B84" s="1"/>
      <c r="J84" s="3"/>
      <c r="K84" s="3"/>
    </row>
    <row r="85" spans="2:11">
      <c r="B85" s="1"/>
      <c r="J85" s="3"/>
    </row>
    <row r="86" spans="2:11">
      <c r="B86" s="1"/>
      <c r="J86" s="3"/>
    </row>
    <row r="87" spans="2:11">
      <c r="B87" s="1"/>
      <c r="J87" s="3"/>
    </row>
    <row r="88" spans="2:11">
      <c r="B88" s="1"/>
      <c r="J88" s="3"/>
    </row>
    <row r="89" spans="2:11">
      <c r="B89" s="1"/>
      <c r="J89" s="3"/>
    </row>
    <row r="90" spans="2:11">
      <c r="B90" s="1"/>
      <c r="J90" s="3"/>
    </row>
    <row r="91" spans="2:11">
      <c r="B91" s="1"/>
      <c r="J91" s="3"/>
    </row>
    <row r="92" spans="2:11">
      <c r="B92" s="1"/>
      <c r="J92" s="3"/>
    </row>
    <row r="93" spans="2:11">
      <c r="B93" s="1"/>
    </row>
    <row r="94" spans="2:11">
      <c r="B94" s="1"/>
    </row>
    <row r="95" spans="2:11">
      <c r="B95" s="1"/>
    </row>
    <row r="96" spans="2:11">
      <c r="B96" s="1"/>
    </row>
    <row r="97" spans="2:2">
      <c r="B97" s="1"/>
    </row>
  </sheetData>
  <pageMargins left="0.45" right="0.2" top="0.5" bottom="0.5" header="0.3" footer="0.3"/>
  <pageSetup paperSize="9" scale="70" orientation="landscape" verticalDpi="0" r:id="rId1"/>
  <rowBreaks count="1" manualBreakCount="1">
    <brk id="19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12"/>
  <sheetViews>
    <sheetView topLeftCell="A11" workbookViewId="0">
      <selection activeCell="A14" sqref="A14:V32"/>
    </sheetView>
  </sheetViews>
  <sheetFormatPr defaultColWidth="9" defaultRowHeight="15"/>
  <cols>
    <col min="1" max="1" width="6.125" style="19" bestFit="1" customWidth="1"/>
    <col min="2" max="2" width="9.75" style="21" customWidth="1"/>
    <col min="3" max="3" width="25.875" style="21" bestFit="1" customWidth="1"/>
    <col min="4" max="4" width="106.375" style="35" bestFit="1" customWidth="1"/>
    <col min="5" max="5" width="10" style="21" bestFit="1" customWidth="1"/>
    <col min="6" max="6" width="11.875" style="21" bestFit="1" customWidth="1"/>
    <col min="7" max="7" width="9.75" style="21" bestFit="1" customWidth="1"/>
    <col min="8" max="8" width="10.375" style="21" bestFit="1" customWidth="1"/>
    <col min="9" max="9" width="48" style="21" bestFit="1" customWidth="1"/>
    <col min="10" max="10" width="4.375" style="21" bestFit="1" customWidth="1"/>
    <col min="11" max="11" width="5.25" style="21" bestFit="1" customWidth="1"/>
    <col min="12" max="12" width="17.875" style="19" bestFit="1" customWidth="1"/>
    <col min="13" max="14" width="18" style="19" bestFit="1" customWidth="1"/>
    <col min="15" max="15" width="18.375" style="19" bestFit="1" customWidth="1"/>
    <col min="16" max="16" width="19.75" style="21" bestFit="1" customWidth="1"/>
    <col min="17" max="17" width="13.5" style="19" bestFit="1" customWidth="1"/>
    <col min="18" max="19" width="17.375" style="19" customWidth="1"/>
    <col min="20" max="20" width="18.625" style="19" customWidth="1"/>
    <col min="21" max="22" width="17.375" style="19" customWidth="1"/>
    <col min="23" max="23" width="7.75" style="19" bestFit="1" customWidth="1"/>
    <col min="24" max="24" width="14.75" style="19" bestFit="1" customWidth="1"/>
    <col min="25" max="25" width="20.625" style="19" bestFit="1" customWidth="1"/>
    <col min="26" max="26" width="17.625" style="19" bestFit="1" customWidth="1"/>
    <col min="27" max="27" width="15" style="19" bestFit="1" customWidth="1"/>
    <col min="28" max="29" width="17.5" style="19" bestFit="1" customWidth="1"/>
    <col min="30" max="30" width="10.25" style="19" bestFit="1" customWidth="1"/>
    <col min="31" max="31" width="18.625" style="19" bestFit="1" customWidth="1"/>
    <col min="32" max="32" width="11.25" style="19" bestFit="1" customWidth="1"/>
    <col min="33" max="33" width="18" style="19" bestFit="1" customWidth="1"/>
    <col min="34" max="34" width="15.25" style="19" bestFit="1" customWidth="1"/>
    <col min="35" max="40" width="4.875" style="19" bestFit="1" customWidth="1"/>
    <col min="41" max="16384" width="9" style="19"/>
  </cols>
  <sheetData>
    <row r="1" spans="1:34" s="100" customFormat="1" ht="23.25" customHeight="1">
      <c r="A1" s="95"/>
      <c r="B1" s="98" t="s">
        <v>57</v>
      </c>
      <c r="C1" s="97" t="s">
        <v>58</v>
      </c>
      <c r="D1" s="99" t="s">
        <v>59</v>
      </c>
      <c r="E1" s="99" t="s">
        <v>60</v>
      </c>
      <c r="F1" s="99" t="s">
        <v>61</v>
      </c>
      <c r="G1" s="99" t="s">
        <v>62</v>
      </c>
      <c r="H1" s="98" t="s">
        <v>63</v>
      </c>
      <c r="I1" s="108"/>
      <c r="J1" s="99"/>
      <c r="K1" s="99"/>
      <c r="L1" s="102" t="s">
        <v>66</v>
      </c>
      <c r="M1" s="103" t="s">
        <v>67</v>
      </c>
      <c r="N1" s="104" t="s">
        <v>68</v>
      </c>
      <c r="P1" s="105" t="s">
        <v>69</v>
      </c>
      <c r="Q1" s="98" t="s">
        <v>71</v>
      </c>
      <c r="R1" s="97" t="s">
        <v>56</v>
      </c>
      <c r="S1" s="98" t="s">
        <v>70</v>
      </c>
      <c r="T1" s="97" t="s">
        <v>97</v>
      </c>
      <c r="U1" s="97" t="s">
        <v>98</v>
      </c>
      <c r="V1" s="97" t="s">
        <v>99</v>
      </c>
      <c r="W1" s="106" t="s">
        <v>72</v>
      </c>
      <c r="X1" s="106" t="s">
        <v>73</v>
      </c>
      <c r="Y1" s="98" t="s">
        <v>74</v>
      </c>
      <c r="Z1" s="98" t="s">
        <v>75</v>
      </c>
      <c r="AA1" s="101" t="s">
        <v>76</v>
      </c>
      <c r="AB1" s="101" t="s">
        <v>77</v>
      </c>
      <c r="AC1" s="101" t="s">
        <v>78</v>
      </c>
      <c r="AD1" s="107" t="s">
        <v>79</v>
      </c>
      <c r="AE1" s="107" t="s">
        <v>80</v>
      </c>
      <c r="AF1" s="107" t="s">
        <v>81</v>
      </c>
      <c r="AG1" s="101" t="s">
        <v>64</v>
      </c>
      <c r="AH1" s="101" t="s">
        <v>65</v>
      </c>
    </row>
    <row r="2" spans="1:34" ht="37.5" customHeight="1">
      <c r="P2" s="19"/>
    </row>
    <row r="3" spans="1:34" ht="37.5" customHeight="1">
      <c r="P3" s="19"/>
    </row>
    <row r="4" spans="1:34" ht="11.25" customHeight="1">
      <c r="P4" s="19"/>
    </row>
    <row r="5" spans="1:34" ht="22.5">
      <c r="D5" s="34"/>
      <c r="E5" s="36"/>
      <c r="F5" s="36"/>
      <c r="I5" s="27" t="s">
        <v>4</v>
      </c>
      <c r="J5" s="27"/>
      <c r="K5" s="27"/>
      <c r="L5" s="37"/>
      <c r="M5" s="27"/>
      <c r="N5" s="27"/>
      <c r="O5" s="27"/>
      <c r="P5" s="36"/>
    </row>
    <row r="6" spans="1:34">
      <c r="I6" s="21" t="s">
        <v>49</v>
      </c>
      <c r="M6" s="21"/>
      <c r="N6" s="21"/>
      <c r="O6" s="21"/>
    </row>
    <row r="7" spans="1:34">
      <c r="I7" s="21" t="s">
        <v>29</v>
      </c>
      <c r="J7" s="80">
        <v>2504</v>
      </c>
      <c r="M7" s="21"/>
      <c r="N7" s="21"/>
      <c r="O7" s="21"/>
    </row>
    <row r="8" spans="1:34">
      <c r="D8" s="72" t="s">
        <v>50</v>
      </c>
      <c r="P8" s="19"/>
    </row>
    <row r="9" spans="1:34">
      <c r="D9" s="72" t="s">
        <v>51</v>
      </c>
      <c r="P9" s="19"/>
    </row>
    <row r="10" spans="1:34">
      <c r="D10" s="35" t="s">
        <v>5</v>
      </c>
      <c r="P10" s="19"/>
    </row>
    <row r="11" spans="1:34" s="21" customFormat="1" ht="32.1" customHeight="1">
      <c r="A11" s="151" t="s">
        <v>52</v>
      </c>
      <c r="B11" s="142" t="s">
        <v>15</v>
      </c>
      <c r="C11" s="152" t="s">
        <v>54</v>
      </c>
      <c r="D11" s="142" t="s">
        <v>16</v>
      </c>
      <c r="E11" s="143" t="s">
        <v>17</v>
      </c>
      <c r="F11" s="143"/>
      <c r="G11" s="143" t="s">
        <v>11</v>
      </c>
      <c r="H11" s="143" t="s">
        <v>41</v>
      </c>
      <c r="I11" s="143" t="s">
        <v>19</v>
      </c>
      <c r="J11" s="143"/>
      <c r="K11" s="143"/>
      <c r="L11" s="143"/>
      <c r="M11" s="143" t="s">
        <v>26</v>
      </c>
      <c r="N11" s="143" t="s">
        <v>44</v>
      </c>
      <c r="O11" s="143" t="s">
        <v>39</v>
      </c>
      <c r="P11" s="150" t="s">
        <v>30</v>
      </c>
      <c r="Q11" s="155" t="s">
        <v>40</v>
      </c>
      <c r="R11" s="157" t="s">
        <v>82</v>
      </c>
      <c r="S11" s="155" t="s">
        <v>30</v>
      </c>
      <c r="T11" s="153" t="s">
        <v>94</v>
      </c>
      <c r="U11" s="153" t="s">
        <v>95</v>
      </c>
      <c r="V11" s="153" t="s">
        <v>96</v>
      </c>
    </row>
    <row r="12" spans="1:34" s="21" customFormat="1" ht="45" customHeight="1">
      <c r="A12" s="151"/>
      <c r="B12" s="142"/>
      <c r="C12" s="152"/>
      <c r="D12" s="142"/>
      <c r="E12" s="82" t="s">
        <v>42</v>
      </c>
      <c r="F12" s="93" t="s">
        <v>18</v>
      </c>
      <c r="G12" s="143"/>
      <c r="H12" s="143"/>
      <c r="I12" s="94" t="s">
        <v>22</v>
      </c>
      <c r="J12" s="94" t="s">
        <v>22</v>
      </c>
      <c r="K12" s="93" t="s">
        <v>18</v>
      </c>
      <c r="L12" s="93" t="s">
        <v>18</v>
      </c>
      <c r="M12" s="143"/>
      <c r="N12" s="143"/>
      <c r="O12" s="143"/>
      <c r="P12" s="150"/>
      <c r="Q12" s="156"/>
      <c r="R12" s="157"/>
      <c r="S12" s="156"/>
      <c r="T12" s="154"/>
      <c r="U12" s="154"/>
      <c r="V12" s="154"/>
    </row>
    <row r="13" spans="1:34" s="21" customFormat="1" ht="45" customHeight="1">
      <c r="A13" s="109" t="e">
        <f>IF('GIA CONG LAMINATE'!#REF!="CT","",'GIA CONG LAMINATE'!#REF!)</f>
        <v>#REF!</v>
      </c>
      <c r="B13" s="60" t="e">
        <f>IF('GIA CONG LAMINATE'!#REF!="CT","",'GIA CONG LAMINATE'!#REF!)</f>
        <v>#REF!</v>
      </c>
      <c r="C13" s="60" t="e">
        <f>IF('GIA CONG LAMINATE'!#REF!="CT","",'GIA CONG LAMINATE'!#REF!)</f>
        <v>#REF!</v>
      </c>
      <c r="D13" s="60" t="e">
        <f>IF('GIA CONG LAMINATE'!#REF!="CT","",'GIA CONG LAMINATE'!#REF!)</f>
        <v>#REF!</v>
      </c>
      <c r="E13" s="60" t="e">
        <f>IF('GIA CONG LAMINATE'!#REF!="CT","",'GIA CONG LAMINATE'!#REF!)</f>
        <v>#REF!</v>
      </c>
      <c r="F13" s="60" t="e">
        <f>IF('GIA CONG LAMINATE'!#REF!="CT","",'GIA CONG LAMINATE'!#REF!)</f>
        <v>#REF!</v>
      </c>
      <c r="G13" s="60" t="e">
        <f>IF('GIA CONG LAMINATE'!#REF!="CT","",'GIA CONG LAMINATE'!#REF!)</f>
        <v>#REF!</v>
      </c>
      <c r="H13" s="60" t="e">
        <f>IF('GIA CONG LAMINATE'!#REF!="CT","",'GIA CONG LAMINATE'!#REF!)</f>
        <v>#REF!</v>
      </c>
      <c r="I13" s="60" t="e">
        <f>IF('GIA CONG LAMINATE'!#REF!="CT","",'GIA CONG LAMINATE'!#REF!)</f>
        <v>#REF!</v>
      </c>
      <c r="J13" s="60" t="e">
        <f>IF('GIA CONG LAMINATE'!#REF!="CT","",'GIA CONG LAMINATE'!#REF!)</f>
        <v>#REF!</v>
      </c>
      <c r="K13" s="60" t="e">
        <f>IF('GIA CONG LAMINATE'!#REF!="CT","",'GIA CONG LAMINATE'!#REF!)</f>
        <v>#REF!</v>
      </c>
      <c r="L13" s="60" t="e">
        <f>IF('GIA CONG LAMINATE'!#REF!="CT","",'GIA CONG LAMINATE'!#REF!)</f>
        <v>#REF!</v>
      </c>
      <c r="M13" s="60" t="e">
        <f>IF('GIA CONG LAMINATE'!#REF!="CT","",'GIA CONG LAMINATE'!#REF!)</f>
        <v>#REF!</v>
      </c>
      <c r="N13" s="60" t="e">
        <f>IF('GIA CONG LAMINATE'!#REF!="CT","",'GIA CONG LAMINATE'!#REF!)</f>
        <v>#REF!</v>
      </c>
      <c r="O13" s="60" t="e">
        <f>IF('GIA CONG LAMINATE'!#REF!="CT","",'GIA CONG LAMINATE'!#REF!)</f>
        <v>#REF!</v>
      </c>
      <c r="P13" s="60" t="e">
        <f>IF('GIA CONG LAMINATE'!#REF!="CT","",'GIA CONG LAMINATE'!#REF!)</f>
        <v>#REF!</v>
      </c>
      <c r="Q13" s="60" t="e">
        <f>IF('GIA CONG LAMINATE'!#REF!="CT","",'GIA CONG LAMINATE'!#REF!)</f>
        <v>#REF!</v>
      </c>
      <c r="R13" s="60" t="e">
        <f>IF('GIA CONG LAMINATE'!#REF!="CT","",'GIA CONG LAMINATE'!$J$7)</f>
        <v>#REF!</v>
      </c>
      <c r="S13" s="60"/>
      <c r="T13" s="128">
        <f>'GIA CONG LAMINATE'!$R$6</f>
        <v>46191.699305555558</v>
      </c>
      <c r="U13" s="129">
        <f>'GIA CONG LAMINATE'!$R$7</f>
        <v>5</v>
      </c>
      <c r="V13" s="128">
        <f>'GIA CONG LAMINATE'!$R$8</f>
        <v>46196.699305555558</v>
      </c>
    </row>
    <row r="14" spans="1:34" s="21" customFormat="1" ht="45" customHeight="1">
      <c r="A14" s="109" t="str">
        <f>IF('GIA CONG LAMINATE'!A29="CT","",'GIA CONG LAMINATE'!A29)</f>
        <v>GC</v>
      </c>
      <c r="B14" s="60">
        <f>IF('GIA CONG LAMINATE'!A29="CT","",'GIA CONG LAMINATE'!B29)</f>
        <v>1</v>
      </c>
      <c r="C14" s="60">
        <f>IF('GIA CONG LAMINATE'!A29="CT","",'GIA CONG LAMINATE'!C29)</f>
        <v>0</v>
      </c>
      <c r="D14" s="60" t="str">
        <f>IF('GIA CONG LAMINATE'!A29="CT","",'GIA CONG LAMINATE'!D29)</f>
        <v>Tấm PLYWOOD (Foil, ván, chỉ khách mang đến) màu 613 vân gỗ, keo PUR (Gervin) = 1 tấm</v>
      </c>
      <c r="E14" s="60">
        <f>IF('GIA CONG LAMINATE'!A29="CT","",'GIA CONG LAMINATE'!E29)</f>
        <v>0</v>
      </c>
      <c r="F14" s="60">
        <f>IF('GIA CONG LAMINATE'!A29="CT","",'GIA CONG LAMINATE'!F29)</f>
        <v>0</v>
      </c>
      <c r="G14" s="60">
        <f>IF('GIA CONG LAMINATE'!A29="CT","",'GIA CONG LAMINATE'!L29)</f>
        <v>3</v>
      </c>
      <c r="H14" s="60">
        <f>IF('GIA CONG LAMINATE'!A29="CT","",'GIA CONG LAMINATE'!H29)</f>
        <v>0</v>
      </c>
      <c r="I14" s="60" t="str">
        <f>IF('GIA CONG LAMINATE'!A29="CT","",'GIA CONG LAMINATE'!I29)</f>
        <v>tấm</v>
      </c>
      <c r="J14" s="60">
        <f>IF('GIA CONG LAMINATE'!A29="CT","",'GIA CONG LAMINATE'!J29)</f>
        <v>0</v>
      </c>
      <c r="K14" s="60">
        <f>IF('GIA CONG LAMINATE'!A29="CT","",'GIA CONG LAMINATE'!K29)</f>
        <v>0</v>
      </c>
      <c r="L14" s="60">
        <f>IF('GIA CONG LAMINATE'!A29="CT","",'GIA CONG LAMINATE'!L29)</f>
        <v>3</v>
      </c>
      <c r="M14" s="60">
        <f>IF('GIA CONG LAMINATE'!A29="CT","",'GIA CONG LAMINATE'!M29)</f>
        <v>0</v>
      </c>
      <c r="N14" s="60">
        <f>IF('GIA CONG LAMINATE'!A29="CT","",'GIA CONG LAMINATE'!N29)</f>
        <v>0</v>
      </c>
      <c r="O14" s="60">
        <f>IF('GIA CONG LAMINATE'!A29="CT","",'GIA CONG LAMINATE'!O29)</f>
        <v>0</v>
      </c>
      <c r="P14" s="60">
        <f>IF('GIA CONG LAMINATE'!A29="CT","",'GIA CONG LAMINATE'!R29)</f>
        <v>0</v>
      </c>
      <c r="Q14" s="60" t="str">
        <f>IF('GIA CONG LAMINATE'!A29="CT","",'GIA CONG LAMINATE'!S29)</f>
        <v xml:space="preserve">Chỉ Laminate </v>
      </c>
      <c r="R14" s="60" t="str">
        <f>IF('GIA CONG LAMINATE'!A29="CT","",'GIA CONG LAMINATE'!$J$7)</f>
        <v>0118</v>
      </c>
      <c r="S14" s="60"/>
      <c r="T14" s="128">
        <f>'GIA CONG LAMINATE'!$R$6</f>
        <v>46191.699305555558</v>
      </c>
      <c r="U14" s="129">
        <f>'GIA CONG LAMINATE'!$R$7</f>
        <v>5</v>
      </c>
      <c r="V14" s="128">
        <f>'GIA CONG LAMINATE'!$R$8</f>
        <v>46196.699305555558</v>
      </c>
    </row>
    <row r="15" spans="1:34" ht="47.25" customHeight="1">
      <c r="A15" s="109" t="str">
        <f>IF('GIA CONG LAMINATE'!A30="CT","",'GIA CONG LAMINATE'!A30)</f>
        <v>GC</v>
      </c>
      <c r="B15" s="60">
        <f>IF('GIA CONG LAMINATE'!A30="CT","",'GIA CONG LAMINATE'!B30)</f>
        <v>2</v>
      </c>
      <c r="C15" s="60">
        <f>IF('GIA CONG LAMINATE'!A30="CT","",'GIA CONG LAMINATE'!C30)</f>
        <v>0</v>
      </c>
      <c r="D15" s="60" t="str">
        <f>IF('GIA CONG LAMINATE'!A30="CT","",'GIA CONG LAMINATE'!D30)</f>
        <v>Công cắt tấm</v>
      </c>
      <c r="E15" s="60">
        <f>IF('GIA CONG LAMINATE'!A30="CT","",'GIA CONG LAMINATE'!E30)</f>
        <v>0</v>
      </c>
      <c r="F15" s="60">
        <f>IF('GIA CONG LAMINATE'!A30="CT","",'GIA CONG LAMINATE'!F30)</f>
        <v>0</v>
      </c>
      <c r="G15" s="60">
        <f>IF('GIA CONG LAMINATE'!A30="CT","",'GIA CONG LAMINATE'!L30)</f>
        <v>3</v>
      </c>
      <c r="H15" s="60">
        <f>IF('GIA CONG LAMINATE'!A30="CT","",'GIA CONG LAMINATE'!H30)</f>
        <v>0</v>
      </c>
      <c r="I15" s="60" t="str">
        <f>IF('GIA CONG LAMINATE'!A30="CT","",'GIA CONG LAMINATE'!I30)</f>
        <v>tấm</v>
      </c>
      <c r="J15" s="60">
        <f>IF('GIA CONG LAMINATE'!A30="CT","",'GIA CONG LAMINATE'!J30)</f>
        <v>0</v>
      </c>
      <c r="K15" s="60">
        <f>IF('GIA CONG LAMINATE'!A30="CT","",'GIA CONG LAMINATE'!K30)</f>
        <v>0</v>
      </c>
      <c r="L15" s="60">
        <f>IF('GIA CONG LAMINATE'!A30="CT","",'GIA CONG LAMINATE'!L30)</f>
        <v>3</v>
      </c>
      <c r="M15" s="60">
        <f>IF('GIA CONG LAMINATE'!A30="CT","",'GIA CONG LAMINATE'!M30)</f>
        <v>50000</v>
      </c>
      <c r="N15" s="60">
        <f>IF('GIA CONG LAMINATE'!A30="CT","",'GIA CONG LAMINATE'!N30)</f>
        <v>0</v>
      </c>
      <c r="O15" s="60">
        <f>IF('GIA CONG LAMINATE'!A30="CT","",'GIA CONG LAMINATE'!O30)</f>
        <v>0</v>
      </c>
      <c r="P15" s="60">
        <f>IF('GIA CONG LAMINATE'!A30="CT","",'GIA CONG LAMINATE'!R30)</f>
        <v>150000</v>
      </c>
      <c r="Q15" s="60">
        <f>IF('GIA CONG LAMINATE'!A30="CT","",'GIA CONG LAMINATE'!S30)</f>
        <v>0</v>
      </c>
      <c r="R15" s="60" t="str">
        <f>IF('GIA CONG LAMINATE'!A30="CT","",'GIA CONG LAMINATE'!$J$7)</f>
        <v>0118</v>
      </c>
      <c r="S15" s="60"/>
      <c r="T15" s="128">
        <f>'GIA CONG LAMINATE'!$R$6</f>
        <v>46191.699305555558</v>
      </c>
      <c r="U15" s="129">
        <f>'GIA CONG LAMINATE'!$R$7</f>
        <v>5</v>
      </c>
      <c r="V15" s="128">
        <f>'GIA CONG LAMINATE'!$R$8</f>
        <v>46196.699305555558</v>
      </c>
    </row>
    <row r="16" spans="1:34" ht="47.25" customHeight="1">
      <c r="A16" s="109" t="str">
        <f>IF('GIA CONG LAMINATE'!A31="CT","",'GIA CONG LAMINATE'!A31)</f>
        <v>GC</v>
      </c>
      <c r="B16" s="60">
        <f>IF('GIA CONG LAMINATE'!A31="CT","",'GIA CONG LAMINATE'!B31)</f>
        <v>3</v>
      </c>
      <c r="C16" s="60">
        <f>IF('GIA CONG LAMINATE'!A31="CT","",'GIA CONG LAMINATE'!C31)</f>
        <v>0</v>
      </c>
      <c r="D16" s="60" t="str">
        <f>IF('GIA CONG LAMINATE'!A31="CT","",'GIA CONG LAMINATE'!D31)</f>
        <v>Dán cạnh thẳng laminate, melamine sử dụng keo chống thấm nước PUR:
Áp dụng cho tấm ván có chiều rộng từ 60mm trở lên, độ dày ván 9-21mm, sử dụng máy dán Homag, Cộng hòa LB Đức.</v>
      </c>
      <c r="E16" s="60">
        <f>IF('GIA CONG LAMINATE'!A31="CT","",'GIA CONG LAMINATE'!E31)</f>
        <v>0</v>
      </c>
      <c r="F16" s="60">
        <f>IF('GIA CONG LAMINATE'!A31="CT","",'GIA CONG LAMINATE'!F31)</f>
        <v>0</v>
      </c>
      <c r="G16" s="60">
        <f>IF('GIA CONG LAMINATE'!A31="CT","",'GIA CONG LAMINATE'!L31)</f>
        <v>47.357099999999996</v>
      </c>
      <c r="H16" s="60">
        <f>IF('GIA CONG LAMINATE'!A31="CT","",'GIA CONG LAMINATE'!H31)</f>
        <v>0</v>
      </c>
      <c r="I16" s="60" t="str">
        <f>IF('GIA CONG LAMINATE'!A31="CT","",'GIA CONG LAMINATE'!I31)</f>
        <v>m</v>
      </c>
      <c r="J16" s="60">
        <f>IF('GIA CONG LAMINATE'!A31="CT","",'GIA CONG LAMINATE'!J31)</f>
        <v>0</v>
      </c>
      <c r="K16" s="60">
        <f>IF('GIA CONG LAMINATE'!A31="CT","",'GIA CONG LAMINATE'!K31)</f>
        <v>0</v>
      </c>
      <c r="L16" s="60">
        <f>IF('GIA CONG LAMINATE'!A31="CT","",'GIA CONG LAMINATE'!L31)</f>
        <v>47.357099999999996</v>
      </c>
      <c r="M16" s="60">
        <f>IF('GIA CONG LAMINATE'!A31="CT","",'GIA CONG LAMINATE'!M31)</f>
        <v>12000</v>
      </c>
      <c r="N16" s="60">
        <f>IF('GIA CONG LAMINATE'!A31="CT","",'GIA CONG LAMINATE'!N31)</f>
        <v>0</v>
      </c>
      <c r="O16" s="60">
        <f>IF('GIA CONG LAMINATE'!A31="CT","",'GIA CONG LAMINATE'!O31)</f>
        <v>0</v>
      </c>
      <c r="P16" s="60">
        <f>IF('GIA CONG LAMINATE'!A31="CT","",'GIA CONG LAMINATE'!R31)</f>
        <v>568285.19999999995</v>
      </c>
      <c r="Q16" s="60">
        <f>IF('GIA CONG LAMINATE'!A31="CT","",'GIA CONG LAMINATE'!S31)</f>
        <v>0</v>
      </c>
      <c r="R16" s="60" t="str">
        <f>IF('GIA CONG LAMINATE'!A31="CT","",'GIA CONG LAMINATE'!$J$7)</f>
        <v>0118</v>
      </c>
      <c r="S16" s="60"/>
      <c r="T16" s="128">
        <f>'GIA CONG LAMINATE'!$R$6</f>
        <v>46191.699305555558</v>
      </c>
      <c r="U16" s="129">
        <f>'GIA CONG LAMINATE'!$R$7</f>
        <v>5</v>
      </c>
      <c r="V16" s="128">
        <f>'GIA CONG LAMINATE'!$R$8</f>
        <v>46196.699305555558</v>
      </c>
    </row>
    <row r="17" spans="1:22" ht="47.25" customHeight="1">
      <c r="A17" s="109" t="e">
        <f>IF('GIA CONG LAMINATE'!#REF!="CT","",'GIA CONG LAMINATE'!#REF!)</f>
        <v>#REF!</v>
      </c>
      <c r="B17" s="60" t="e">
        <f>IF('GIA CONG LAMINATE'!#REF!="CT","",'GIA CONG LAMINATE'!#REF!)</f>
        <v>#REF!</v>
      </c>
      <c r="C17" s="60" t="e">
        <f>IF('GIA CONG LAMINATE'!#REF!="CT","",'GIA CONG LAMINATE'!#REF!)</f>
        <v>#REF!</v>
      </c>
      <c r="D17" s="60" t="e">
        <f>IF('GIA CONG LAMINATE'!#REF!="CT","",'GIA CONG LAMINATE'!#REF!)</f>
        <v>#REF!</v>
      </c>
      <c r="E17" s="60" t="e">
        <f>IF('GIA CONG LAMINATE'!#REF!="CT","",'GIA CONG LAMINATE'!#REF!)</f>
        <v>#REF!</v>
      </c>
      <c r="F17" s="60" t="e">
        <f>IF('GIA CONG LAMINATE'!#REF!="CT","",'GIA CONG LAMINATE'!#REF!)</f>
        <v>#REF!</v>
      </c>
      <c r="G17" s="60" t="e">
        <f>IF('GIA CONG LAMINATE'!#REF!="CT","",'GIA CONG LAMINATE'!#REF!)</f>
        <v>#REF!</v>
      </c>
      <c r="H17" s="60" t="e">
        <f>IF('GIA CONG LAMINATE'!#REF!="CT","",'GIA CONG LAMINATE'!#REF!)</f>
        <v>#REF!</v>
      </c>
      <c r="I17" s="60" t="e">
        <f>IF('GIA CONG LAMINATE'!#REF!="CT","",'GIA CONG LAMINATE'!#REF!)</f>
        <v>#REF!</v>
      </c>
      <c r="J17" s="60" t="e">
        <f>IF('GIA CONG LAMINATE'!#REF!="CT","",'GIA CONG LAMINATE'!#REF!)</f>
        <v>#REF!</v>
      </c>
      <c r="K17" s="60" t="e">
        <f>IF('GIA CONG LAMINATE'!#REF!="CT","",'GIA CONG LAMINATE'!#REF!)</f>
        <v>#REF!</v>
      </c>
      <c r="L17" s="60" t="e">
        <f>IF('GIA CONG LAMINATE'!#REF!="CT","",'GIA CONG LAMINATE'!#REF!)</f>
        <v>#REF!</v>
      </c>
      <c r="M17" s="60" t="e">
        <f>IF('GIA CONG LAMINATE'!#REF!="CT","",'GIA CONG LAMINATE'!#REF!)</f>
        <v>#REF!</v>
      </c>
      <c r="N17" s="60" t="e">
        <f>IF('GIA CONG LAMINATE'!#REF!="CT","",'GIA CONG LAMINATE'!#REF!)</f>
        <v>#REF!</v>
      </c>
      <c r="O17" s="60" t="e">
        <f>IF('GIA CONG LAMINATE'!#REF!="CT","",'GIA CONG LAMINATE'!#REF!)</f>
        <v>#REF!</v>
      </c>
      <c r="P17" s="60" t="e">
        <f>IF('GIA CONG LAMINATE'!#REF!="CT","",'GIA CONG LAMINATE'!#REF!)</f>
        <v>#REF!</v>
      </c>
      <c r="Q17" s="60" t="e">
        <f>IF('GIA CONG LAMINATE'!#REF!="CT","",'GIA CONG LAMINATE'!#REF!)</f>
        <v>#REF!</v>
      </c>
      <c r="R17" s="60" t="e">
        <f>IF('GIA CONG LAMINATE'!#REF!="CT","",'GIA CONG LAMINATE'!$J$7)</f>
        <v>#REF!</v>
      </c>
      <c r="S17" s="60"/>
      <c r="T17" s="128">
        <f>'GIA CONG LAMINATE'!$R$6</f>
        <v>46191.699305555558</v>
      </c>
      <c r="U17" s="129">
        <f>'GIA CONG LAMINATE'!$R$7</f>
        <v>5</v>
      </c>
      <c r="V17" s="128">
        <f>'GIA CONG LAMINATE'!$R$8</f>
        <v>46196.699305555558</v>
      </c>
    </row>
    <row r="18" spans="1:22" ht="21.75" customHeight="1">
      <c r="A18" s="109" t="e">
        <f>IF('GIA CONG LAMINATE'!#REF!="CT","",'GIA CONG LAMINATE'!#REF!)</f>
        <v>#REF!</v>
      </c>
      <c r="B18" s="60" t="e">
        <f>IF('GIA CONG LAMINATE'!#REF!="CT","",'GIA CONG LAMINATE'!#REF!)</f>
        <v>#REF!</v>
      </c>
      <c r="C18" s="60" t="e">
        <f>IF('GIA CONG LAMINATE'!#REF!="CT","",'GIA CONG LAMINATE'!#REF!)</f>
        <v>#REF!</v>
      </c>
      <c r="D18" s="60" t="e">
        <f>IF('GIA CONG LAMINATE'!#REF!="CT","",'GIA CONG LAMINATE'!#REF!)</f>
        <v>#REF!</v>
      </c>
      <c r="E18" s="60" t="e">
        <f>IF('GIA CONG LAMINATE'!#REF!="CT","",'GIA CONG LAMINATE'!#REF!)</f>
        <v>#REF!</v>
      </c>
      <c r="F18" s="60" t="e">
        <f>IF('GIA CONG LAMINATE'!#REF!="CT","",'GIA CONG LAMINATE'!#REF!)</f>
        <v>#REF!</v>
      </c>
      <c r="G18" s="60" t="e">
        <f>IF('GIA CONG LAMINATE'!#REF!="CT","",'GIA CONG LAMINATE'!#REF!)</f>
        <v>#REF!</v>
      </c>
      <c r="H18" s="60" t="e">
        <f>IF('GIA CONG LAMINATE'!#REF!="CT","",'GIA CONG LAMINATE'!#REF!)</f>
        <v>#REF!</v>
      </c>
      <c r="I18" s="60" t="e">
        <f>IF('GIA CONG LAMINATE'!#REF!="CT","",'GIA CONG LAMINATE'!#REF!)</f>
        <v>#REF!</v>
      </c>
      <c r="J18" s="60" t="e">
        <f>IF('GIA CONG LAMINATE'!#REF!="CT","",'GIA CONG LAMINATE'!#REF!)</f>
        <v>#REF!</v>
      </c>
      <c r="K18" s="60" t="e">
        <f>IF('GIA CONG LAMINATE'!#REF!="CT","",'GIA CONG LAMINATE'!#REF!)</f>
        <v>#REF!</v>
      </c>
      <c r="L18" s="60" t="e">
        <f>IF('GIA CONG LAMINATE'!#REF!="CT","",'GIA CONG LAMINATE'!#REF!)</f>
        <v>#REF!</v>
      </c>
      <c r="M18" s="60" t="e">
        <f>IF('GIA CONG LAMINATE'!#REF!="CT","",'GIA CONG LAMINATE'!#REF!)</f>
        <v>#REF!</v>
      </c>
      <c r="N18" s="60" t="e">
        <f>IF('GIA CONG LAMINATE'!#REF!="CT","",'GIA CONG LAMINATE'!#REF!)</f>
        <v>#REF!</v>
      </c>
      <c r="O18" s="60" t="e">
        <f>IF('GIA CONG LAMINATE'!#REF!="CT","",'GIA CONG LAMINATE'!#REF!)</f>
        <v>#REF!</v>
      </c>
      <c r="P18" s="60" t="e">
        <f>IF('GIA CONG LAMINATE'!#REF!="CT","",'GIA CONG LAMINATE'!#REF!)</f>
        <v>#REF!</v>
      </c>
      <c r="Q18" s="60" t="e">
        <f>IF('GIA CONG LAMINATE'!#REF!="CT","",'GIA CONG LAMINATE'!#REF!)</f>
        <v>#REF!</v>
      </c>
      <c r="R18" s="60" t="e">
        <f>IF('GIA CONG LAMINATE'!#REF!="CT","",'GIA CONG LAMINATE'!$J$7)</f>
        <v>#REF!</v>
      </c>
      <c r="S18" s="60"/>
      <c r="T18" s="128">
        <f>'GIA CONG LAMINATE'!$R$6</f>
        <v>46191.699305555558</v>
      </c>
      <c r="U18" s="129">
        <f>'GIA CONG LAMINATE'!$R$7</f>
        <v>5</v>
      </c>
      <c r="V18" s="128">
        <f>'GIA CONG LAMINATE'!$R$8</f>
        <v>46196.699305555558</v>
      </c>
    </row>
    <row r="19" spans="1:22" ht="15.75">
      <c r="A19" s="109" t="str">
        <f>IF('GIA CONG LAMINATE'!A32="CT","",'GIA CONG LAMINATE'!A32)</f>
        <v>GC</v>
      </c>
      <c r="B19" s="60">
        <f>IF('GIA CONG LAMINATE'!A32="CT","",'GIA CONG LAMINATE'!B32)</f>
        <v>4</v>
      </c>
      <c r="C19" s="60">
        <f>IF('GIA CONG LAMINATE'!A32="CT","",'GIA CONG LAMINATE'!C32)</f>
        <v>0</v>
      </c>
      <c r="D19" s="60" t="str">
        <f>IF('GIA CONG LAMINATE'!A32="CT","",'GIA CONG LAMINATE'!D32)</f>
        <v>Dán cạnh Vát sử dụng máy dán acrylic:
Áp dụng cho tấm ván có chiều rộng từ 60mm trở lên, độ dày ván 9-21mm + Công hoàn thiện sản phẩm</v>
      </c>
      <c r="E19" s="60">
        <f>IF('GIA CONG LAMINATE'!A32="CT","",'GIA CONG LAMINATE'!E32)</f>
        <v>0</v>
      </c>
      <c r="F19" s="60">
        <f>IF('GIA CONG LAMINATE'!A32="CT","",'GIA CONG LAMINATE'!F32)</f>
        <v>0</v>
      </c>
      <c r="G19" s="60">
        <f>IF('GIA CONG LAMINATE'!A32="CT","",'GIA CONG LAMINATE'!L32)</f>
        <v>8.4356999999999989</v>
      </c>
      <c r="H19" s="60">
        <f>IF('GIA CONG LAMINATE'!A32="CT","",'GIA CONG LAMINATE'!H32)</f>
        <v>0</v>
      </c>
      <c r="I19" s="60" t="str">
        <f>IF('GIA CONG LAMINATE'!A32="CT","",'GIA CONG LAMINATE'!I32)</f>
        <v>m</v>
      </c>
      <c r="J19" s="60">
        <f>IF('GIA CONG LAMINATE'!A32="CT","",'GIA CONG LAMINATE'!J32)</f>
        <v>0</v>
      </c>
      <c r="K19" s="60">
        <f>IF('GIA CONG LAMINATE'!A32="CT","",'GIA CONG LAMINATE'!K32)</f>
        <v>0</v>
      </c>
      <c r="L19" s="60">
        <f>IF('GIA CONG LAMINATE'!A32="CT","",'GIA CONG LAMINATE'!L32)</f>
        <v>8.4356999999999989</v>
      </c>
      <c r="M19" s="60">
        <f>IF('GIA CONG LAMINATE'!A32="CT","",'GIA CONG LAMINATE'!M32)</f>
        <v>25000</v>
      </c>
      <c r="N19" s="60">
        <f>IF('GIA CONG LAMINATE'!A32="CT","",'GIA CONG LAMINATE'!N32)</f>
        <v>0</v>
      </c>
      <c r="O19" s="60">
        <f>IF('GIA CONG LAMINATE'!A32="CT","",'GIA CONG LAMINATE'!O32)</f>
        <v>0</v>
      </c>
      <c r="P19" s="60">
        <f>IF('GIA CONG LAMINATE'!A32="CT","",'GIA CONG LAMINATE'!R32)</f>
        <v>210892.49999999997</v>
      </c>
      <c r="Q19" s="60">
        <f>IF('GIA CONG LAMINATE'!A32="CT","",'GIA CONG LAMINATE'!S32)</f>
        <v>0</v>
      </c>
      <c r="R19" s="60" t="str">
        <f>IF('GIA CONG LAMINATE'!A32="CT","",'GIA CONG LAMINATE'!$J$7)</f>
        <v>0118</v>
      </c>
      <c r="S19" s="60"/>
      <c r="T19" s="128">
        <f>'GIA CONG LAMINATE'!$R$6</f>
        <v>46191.699305555558</v>
      </c>
      <c r="U19" s="129">
        <f>'GIA CONG LAMINATE'!$R$7</f>
        <v>5</v>
      </c>
      <c r="V19" s="128">
        <f>'GIA CONG LAMINATE'!$R$8</f>
        <v>46196.699305555558</v>
      </c>
    </row>
    <row r="20" spans="1:22" ht="15.75">
      <c r="A20" s="109" t="str">
        <f>IF('GIA CONG LAMINATE'!A33="CT","",'GIA CONG LAMINATE'!A33)</f>
        <v>GC</v>
      </c>
      <c r="B20" s="60">
        <f>IF('GIA CONG LAMINATE'!A33="CT","",'GIA CONG LAMINATE'!B33)</f>
        <v>5</v>
      </c>
      <c r="C20" s="60">
        <f>IF('GIA CONG LAMINATE'!A33="CT","",'GIA CONG LAMINATE'!C33)</f>
        <v>0</v>
      </c>
      <c r="D20" s="60" t="str">
        <f>IF('GIA CONG LAMINATE'!A33="CT","",'GIA CONG LAMINATE'!D33)</f>
        <v>Nhân công và vật liệu đóng gói melamin, laminate</v>
      </c>
      <c r="E20" s="60">
        <f>IF('GIA CONG LAMINATE'!A33="CT","",'GIA CONG LAMINATE'!E33)</f>
        <v>0</v>
      </c>
      <c r="F20" s="60">
        <f>IF('GIA CONG LAMINATE'!A33="CT","",'GIA CONG LAMINATE'!F33)</f>
        <v>0</v>
      </c>
      <c r="G20" s="60">
        <f>IF('GIA CONG LAMINATE'!A33="CT","",'GIA CONG LAMINATE'!L33)</f>
        <v>3</v>
      </c>
      <c r="H20" s="60">
        <f>IF('GIA CONG LAMINATE'!A33="CT","",'GIA CONG LAMINATE'!H33)</f>
        <v>0</v>
      </c>
      <c r="I20" s="60" t="str">
        <f>IF('GIA CONG LAMINATE'!A33="CT","",'GIA CONG LAMINATE'!I33)</f>
        <v>tấm</v>
      </c>
      <c r="J20" s="60">
        <f>IF('GIA CONG LAMINATE'!A33="CT","",'GIA CONG LAMINATE'!J33)</f>
        <v>0</v>
      </c>
      <c r="K20" s="60">
        <f>IF('GIA CONG LAMINATE'!A33="CT","",'GIA CONG LAMINATE'!K33)</f>
        <v>0</v>
      </c>
      <c r="L20" s="60">
        <f>IF('GIA CONG LAMINATE'!A33="CT","",'GIA CONG LAMINATE'!L33)</f>
        <v>3</v>
      </c>
      <c r="M20" s="60">
        <f>IF('GIA CONG LAMINATE'!A33="CT","",'GIA CONG LAMINATE'!M33)</f>
        <v>40000</v>
      </c>
      <c r="N20" s="60">
        <f>IF('GIA CONG LAMINATE'!A33="CT","",'GIA CONG LAMINATE'!N33)</f>
        <v>0</v>
      </c>
      <c r="O20" s="60">
        <f>IF('GIA CONG LAMINATE'!A33="CT","",'GIA CONG LAMINATE'!O33)</f>
        <v>0</v>
      </c>
      <c r="P20" s="60">
        <f>IF('GIA CONG LAMINATE'!A33="CT","",'GIA CONG LAMINATE'!R33)</f>
        <v>120000</v>
      </c>
      <c r="Q20" s="60">
        <f>IF('GIA CONG LAMINATE'!A33="CT","",'GIA CONG LAMINATE'!S33)</f>
        <v>0</v>
      </c>
      <c r="R20" s="60" t="str">
        <f>IF('GIA CONG LAMINATE'!A33="CT","",'GIA CONG LAMINATE'!$J$7)</f>
        <v>0118</v>
      </c>
      <c r="S20" s="60"/>
      <c r="T20" s="128">
        <f>'GIA CONG LAMINATE'!$R$6</f>
        <v>46191.699305555558</v>
      </c>
      <c r="U20" s="129">
        <f>'GIA CONG LAMINATE'!$R$7</f>
        <v>5</v>
      </c>
      <c r="V20" s="128">
        <f>'GIA CONG LAMINATE'!$R$8</f>
        <v>46196.699305555558</v>
      </c>
    </row>
    <row r="21" spans="1:22" ht="26.25" customHeight="1">
      <c r="A21" s="109" t="str">
        <f>IF('GIA CONG LAMINATE'!A34="CT","",'GIA CONG LAMINATE'!A34)</f>
        <v>GC</v>
      </c>
      <c r="B21" s="60">
        <f>IF('GIA CONG LAMINATE'!A34="CT","",'GIA CONG LAMINATE'!B34)</f>
        <v>6</v>
      </c>
      <c r="C21" s="60">
        <f>IF('GIA CONG LAMINATE'!A34="CT","",'GIA CONG LAMINATE'!C34)</f>
        <v>0</v>
      </c>
      <c r="D21" s="60" t="str">
        <f>IF('GIA CONG LAMINATE'!A34="CT","",'GIA CONG LAMINATE'!D34)</f>
        <v xml:space="preserve">Giao hàng tại Vinh </v>
      </c>
      <c r="E21" s="60">
        <f>IF('GIA CONG LAMINATE'!A34="CT","",'GIA CONG LAMINATE'!E34)</f>
        <v>0</v>
      </c>
      <c r="F21" s="60">
        <f>IF('GIA CONG LAMINATE'!A34="CT","",'GIA CONG LAMINATE'!F34)</f>
        <v>0</v>
      </c>
      <c r="G21" s="60">
        <f>IF('GIA CONG LAMINATE'!A34="CT","",'GIA CONG LAMINATE'!L34)</f>
        <v>1</v>
      </c>
      <c r="H21" s="60">
        <f>IF('GIA CONG LAMINATE'!A34="CT","",'GIA CONG LAMINATE'!H34)</f>
        <v>0</v>
      </c>
      <c r="I21" s="60" t="str">
        <f>IF('GIA CONG LAMINATE'!A34="CT","",'GIA CONG LAMINATE'!I34)</f>
        <v>lần</v>
      </c>
      <c r="J21" s="60">
        <f>IF('GIA CONG LAMINATE'!A34="CT","",'GIA CONG LAMINATE'!J34)</f>
        <v>0</v>
      </c>
      <c r="K21" s="60">
        <f>IF('GIA CONG LAMINATE'!A34="CT","",'GIA CONG LAMINATE'!K34)</f>
        <v>0</v>
      </c>
      <c r="L21" s="60">
        <f>IF('GIA CONG LAMINATE'!A34="CT","",'GIA CONG LAMINATE'!L34)</f>
        <v>1</v>
      </c>
      <c r="M21" s="60">
        <f>IF('GIA CONG LAMINATE'!A34="CT","",'GIA CONG LAMINATE'!M34)</f>
        <v>100000</v>
      </c>
      <c r="N21" s="60">
        <f>IF('GIA CONG LAMINATE'!A34="CT","",'GIA CONG LAMINATE'!N34)</f>
        <v>0</v>
      </c>
      <c r="O21" s="60">
        <f>IF('GIA CONG LAMINATE'!A34="CT","",'GIA CONG LAMINATE'!O34)</f>
        <v>0</v>
      </c>
      <c r="P21" s="60">
        <f>IF('GIA CONG LAMINATE'!A34="CT","",'GIA CONG LAMINATE'!R34)</f>
        <v>100000</v>
      </c>
      <c r="Q21" s="60">
        <f>IF('GIA CONG LAMINATE'!A34="CT","",'GIA CONG LAMINATE'!S34)</f>
        <v>0</v>
      </c>
      <c r="R21" s="60" t="str">
        <f>IF('GIA CONG LAMINATE'!A34="CT","",'GIA CONG LAMINATE'!$J$7)</f>
        <v>0118</v>
      </c>
      <c r="S21" s="60"/>
      <c r="T21" s="128">
        <f>'GIA CONG LAMINATE'!$R$6</f>
        <v>46191.699305555558</v>
      </c>
      <c r="U21" s="129">
        <f>'GIA CONG LAMINATE'!$R$7</f>
        <v>5</v>
      </c>
      <c r="V21" s="128">
        <f>'GIA CONG LAMINATE'!$R$8</f>
        <v>46196.699305555558</v>
      </c>
    </row>
    <row r="22" spans="1:22" ht="15.75">
      <c r="A22" s="109">
        <f>IF('GIA CONG LAMINATE'!A35="CT","",'GIA CONG LAMINATE'!A35)</f>
        <v>0</v>
      </c>
      <c r="B22" s="60">
        <f>IF('GIA CONG LAMINATE'!A35="CT","",'GIA CONG LAMINATE'!B35)</f>
        <v>0</v>
      </c>
      <c r="C22" s="60">
        <f>IF('GIA CONG LAMINATE'!A35="CT","",'GIA CONG LAMINATE'!C35)</f>
        <v>0</v>
      </c>
      <c r="D22" s="60">
        <f>IF('GIA CONG LAMINATE'!A35="CT","",'GIA CONG LAMINATE'!D35)</f>
        <v>0</v>
      </c>
      <c r="E22" s="60">
        <f>IF('GIA CONG LAMINATE'!A35="CT","",'GIA CONG LAMINATE'!E35)</f>
        <v>0</v>
      </c>
      <c r="F22" s="60">
        <f>IF('GIA CONG LAMINATE'!A35="CT","",'GIA CONG LAMINATE'!F35)</f>
        <v>0</v>
      </c>
      <c r="G22" s="60">
        <f>IF('GIA CONG LAMINATE'!A35="CT","",'GIA CONG LAMINATE'!L35)</f>
        <v>0</v>
      </c>
      <c r="H22" s="60">
        <f>IF('GIA CONG LAMINATE'!A35="CT","",'GIA CONG LAMINATE'!H35)</f>
        <v>0</v>
      </c>
      <c r="I22" s="60">
        <f>IF('GIA CONG LAMINATE'!A35="CT","",'GIA CONG LAMINATE'!I35)</f>
        <v>0</v>
      </c>
      <c r="J22" s="60">
        <f>IF('GIA CONG LAMINATE'!A35="CT","",'GIA CONG LAMINATE'!J35)</f>
        <v>0</v>
      </c>
      <c r="K22" s="60">
        <f>IF('GIA CONG LAMINATE'!A35="CT","",'GIA CONG LAMINATE'!K35)</f>
        <v>0</v>
      </c>
      <c r="L22" s="60">
        <f>IF('GIA CONG LAMINATE'!A35="CT","",'GIA CONG LAMINATE'!L35)</f>
        <v>0</v>
      </c>
      <c r="M22" s="60">
        <f>IF('GIA CONG LAMINATE'!A35="CT","",'GIA CONG LAMINATE'!M35)</f>
        <v>0</v>
      </c>
      <c r="N22" s="60">
        <f>IF('GIA CONG LAMINATE'!A35="CT","",'GIA CONG LAMINATE'!N35)</f>
        <v>0</v>
      </c>
      <c r="O22" s="60">
        <f>IF('GIA CONG LAMINATE'!A35="CT","",'GIA CONG LAMINATE'!O35)</f>
        <v>0</v>
      </c>
      <c r="P22" s="60">
        <f>IF('GIA CONG LAMINATE'!A35="CT","",'GIA CONG LAMINATE'!R35)</f>
        <v>1149000</v>
      </c>
      <c r="Q22" s="60">
        <f>IF('GIA CONG LAMINATE'!A35="CT","",'GIA CONG LAMINATE'!S35)</f>
        <v>0</v>
      </c>
      <c r="R22" s="60" t="str">
        <f>IF('GIA CONG LAMINATE'!A35="CT","",'GIA CONG LAMINATE'!$J$7)</f>
        <v>0118</v>
      </c>
      <c r="S22" s="60"/>
      <c r="T22" s="128">
        <f>'GIA CONG LAMINATE'!$R$6</f>
        <v>46191.699305555558</v>
      </c>
      <c r="U22" s="129">
        <f>'GIA CONG LAMINATE'!$R$7</f>
        <v>5</v>
      </c>
      <c r="V22" s="128">
        <f>'GIA CONG LAMINATE'!$R$8</f>
        <v>46196.699305555558</v>
      </c>
    </row>
    <row r="23" spans="1:22" ht="15.75">
      <c r="A23" s="109" t="e">
        <f>IF('GIA CONG LAMINATE'!#REF!="CT","",'GIA CONG LAMINATE'!#REF!)</f>
        <v>#REF!</v>
      </c>
      <c r="B23" s="60" t="e">
        <f>IF('GIA CONG LAMINATE'!#REF!="CT","",'GIA CONG LAMINATE'!#REF!)</f>
        <v>#REF!</v>
      </c>
      <c r="C23" s="60" t="e">
        <f>IF('GIA CONG LAMINATE'!#REF!="CT","",'GIA CONG LAMINATE'!#REF!)</f>
        <v>#REF!</v>
      </c>
      <c r="D23" s="60" t="e">
        <f>IF('GIA CONG LAMINATE'!#REF!="CT","",'GIA CONG LAMINATE'!#REF!)</f>
        <v>#REF!</v>
      </c>
      <c r="E23" s="60" t="e">
        <f>IF('GIA CONG LAMINATE'!#REF!="CT","",'GIA CONG LAMINATE'!#REF!)</f>
        <v>#REF!</v>
      </c>
      <c r="F23" s="60" t="e">
        <f>IF('GIA CONG LAMINATE'!#REF!="CT","",'GIA CONG LAMINATE'!#REF!)</f>
        <v>#REF!</v>
      </c>
      <c r="G23" s="60" t="e">
        <f>IF('GIA CONG LAMINATE'!#REF!="CT","",'GIA CONG LAMINATE'!#REF!)</f>
        <v>#REF!</v>
      </c>
      <c r="H23" s="60" t="e">
        <f>IF('GIA CONG LAMINATE'!#REF!="CT","",'GIA CONG LAMINATE'!#REF!)</f>
        <v>#REF!</v>
      </c>
      <c r="I23" s="60" t="e">
        <f>IF('GIA CONG LAMINATE'!#REF!="CT","",'GIA CONG LAMINATE'!#REF!)</f>
        <v>#REF!</v>
      </c>
      <c r="J23" s="60" t="e">
        <f>IF('GIA CONG LAMINATE'!#REF!="CT","",'GIA CONG LAMINATE'!#REF!)</f>
        <v>#REF!</v>
      </c>
      <c r="K23" s="60" t="e">
        <f>IF('GIA CONG LAMINATE'!#REF!="CT","",'GIA CONG LAMINATE'!#REF!)</f>
        <v>#REF!</v>
      </c>
      <c r="L23" s="60" t="e">
        <f>IF('GIA CONG LAMINATE'!#REF!="CT","",'GIA CONG LAMINATE'!#REF!)</f>
        <v>#REF!</v>
      </c>
      <c r="M23" s="60" t="e">
        <f>IF('GIA CONG LAMINATE'!#REF!="CT","",'GIA CONG LAMINATE'!#REF!)</f>
        <v>#REF!</v>
      </c>
      <c r="N23" s="60" t="e">
        <f>IF('GIA CONG LAMINATE'!#REF!="CT","",'GIA CONG LAMINATE'!#REF!)</f>
        <v>#REF!</v>
      </c>
      <c r="O23" s="60" t="e">
        <f>IF('GIA CONG LAMINATE'!#REF!="CT","",'GIA CONG LAMINATE'!#REF!)</f>
        <v>#REF!</v>
      </c>
      <c r="P23" s="60" t="e">
        <f>IF('GIA CONG LAMINATE'!#REF!="CT","",'GIA CONG LAMINATE'!#REF!)</f>
        <v>#REF!</v>
      </c>
      <c r="Q23" s="60" t="e">
        <f>IF('GIA CONG LAMINATE'!#REF!="CT","",'GIA CONG LAMINATE'!#REF!)</f>
        <v>#REF!</v>
      </c>
      <c r="R23" s="60" t="e">
        <f>IF('GIA CONG LAMINATE'!#REF!="CT","",'GIA CONG LAMINATE'!$J$7)</f>
        <v>#REF!</v>
      </c>
      <c r="S23" s="60"/>
      <c r="T23" s="128">
        <f>'GIA CONG LAMINATE'!$R$6</f>
        <v>46191.699305555558</v>
      </c>
      <c r="U23" s="129">
        <f>'GIA CONG LAMINATE'!$R$7</f>
        <v>5</v>
      </c>
      <c r="V23" s="128">
        <f>'GIA CONG LAMINATE'!$R$8</f>
        <v>46196.699305555558</v>
      </c>
    </row>
    <row r="24" spans="1:22" ht="15.75">
      <c r="A24" s="109">
        <f>IF('GIA CONG LAMINATE'!A37="CT","",'GIA CONG LAMINATE'!A37)</f>
        <v>0</v>
      </c>
      <c r="B24" s="60">
        <f>IF('GIA CONG LAMINATE'!A37="CT","",'GIA CONG LAMINATE'!B37)</f>
        <v>0</v>
      </c>
      <c r="C24" s="60">
        <f>IF('GIA CONG LAMINATE'!A37="CT","",'GIA CONG LAMINATE'!C37)</f>
        <v>0</v>
      </c>
      <c r="D24" s="60">
        <f>IF('GIA CONG LAMINATE'!A37="CT","",'GIA CONG LAMINATE'!D37)</f>
        <v>0</v>
      </c>
      <c r="E24" s="60">
        <f>IF('GIA CONG LAMINATE'!A37="CT","",'GIA CONG LAMINATE'!E37)</f>
        <v>0</v>
      </c>
      <c r="F24" s="60">
        <f>IF('GIA CONG LAMINATE'!A37="CT","",'GIA CONG LAMINATE'!F37)</f>
        <v>0</v>
      </c>
      <c r="G24" s="60">
        <f>IF('GIA CONG LAMINATE'!A37="CT","",'GIA CONG LAMINATE'!L37)</f>
        <v>0</v>
      </c>
      <c r="H24" s="60">
        <f>IF('GIA CONG LAMINATE'!A37="CT","",'GIA CONG LAMINATE'!H37)</f>
        <v>0</v>
      </c>
      <c r="I24" s="60">
        <f>IF('GIA CONG LAMINATE'!A37="CT","",'GIA CONG LAMINATE'!I37)</f>
        <v>0</v>
      </c>
      <c r="J24" s="60">
        <f>IF('GIA CONG LAMINATE'!A37="CT","",'GIA CONG LAMINATE'!J37)</f>
        <v>0</v>
      </c>
      <c r="K24" s="60">
        <f>IF('GIA CONG LAMINATE'!A37="CT","",'GIA CONG LAMINATE'!K37)</f>
        <v>0</v>
      </c>
      <c r="L24" s="60">
        <f>IF('GIA CONG LAMINATE'!A37="CT","",'GIA CONG LAMINATE'!L37)</f>
        <v>0</v>
      </c>
      <c r="M24" s="60">
        <f>IF('GIA CONG LAMINATE'!A37="CT","",'GIA CONG LAMINATE'!M37)</f>
        <v>0</v>
      </c>
      <c r="N24" s="60">
        <f>IF('GIA CONG LAMINATE'!A37="CT","",'GIA CONG LAMINATE'!N37)</f>
        <v>0</v>
      </c>
      <c r="O24" s="60">
        <f>IF('GIA CONG LAMINATE'!A37="CT","",'GIA CONG LAMINATE'!O37)</f>
        <v>0</v>
      </c>
      <c r="P24" s="60">
        <f>IF('GIA CONG LAMINATE'!A37="CT","",'GIA CONG LAMINATE'!R37)</f>
        <v>0</v>
      </c>
      <c r="Q24" s="60">
        <f>IF('GIA CONG LAMINATE'!A37="CT","",'GIA CONG LAMINATE'!S37)</f>
        <v>0</v>
      </c>
      <c r="R24" s="60" t="str">
        <f>IF('GIA CONG LAMINATE'!A37="CT","",'GIA CONG LAMINATE'!$J$7)</f>
        <v>0118</v>
      </c>
      <c r="S24" s="60"/>
      <c r="T24" s="128">
        <f>'GIA CONG LAMINATE'!$R$6</f>
        <v>46191.699305555558</v>
      </c>
      <c r="U24" s="129">
        <f>'GIA CONG LAMINATE'!$R$7</f>
        <v>5</v>
      </c>
      <c r="V24" s="128">
        <f>'GIA CONG LAMINATE'!$R$8</f>
        <v>46196.699305555558</v>
      </c>
    </row>
    <row r="25" spans="1:22" ht="15.75">
      <c r="A25" s="109">
        <f>IF('GIA CONG LAMINATE'!A38="CT","",'GIA CONG LAMINATE'!A38)</f>
        <v>0</v>
      </c>
      <c r="B25" s="60">
        <f>IF('GIA CONG LAMINATE'!A38="CT","",'GIA CONG LAMINATE'!B38)</f>
        <v>0</v>
      </c>
      <c r="C25" s="60">
        <f>IF('GIA CONG LAMINATE'!A38="CT","",'GIA CONG LAMINATE'!C38)</f>
        <v>0</v>
      </c>
      <c r="D25" s="60">
        <f>IF('GIA CONG LAMINATE'!A38="CT","",'GIA CONG LAMINATE'!D38)</f>
        <v>0</v>
      </c>
      <c r="E25" s="60">
        <f>IF('GIA CONG LAMINATE'!A38="CT","",'GIA CONG LAMINATE'!E38)</f>
        <v>0</v>
      </c>
      <c r="F25" s="60">
        <f>IF('GIA CONG LAMINATE'!A38="CT","",'GIA CONG LAMINATE'!F38)</f>
        <v>0</v>
      </c>
      <c r="G25" s="60">
        <f>IF('GIA CONG LAMINATE'!A38="CT","",'GIA CONG LAMINATE'!L38)</f>
        <v>0</v>
      </c>
      <c r="H25" s="60">
        <f>IF('GIA CONG LAMINATE'!A38="CT","",'GIA CONG LAMINATE'!H38)</f>
        <v>0</v>
      </c>
      <c r="I25" s="60">
        <f>IF('GIA CONG LAMINATE'!A38="CT","",'GIA CONG LAMINATE'!I38)</f>
        <v>0</v>
      </c>
      <c r="J25" s="60">
        <f>IF('GIA CONG LAMINATE'!A38="CT","",'GIA CONG LAMINATE'!J38)</f>
        <v>0</v>
      </c>
      <c r="K25" s="60">
        <f>IF('GIA CONG LAMINATE'!A38="CT","",'GIA CONG LAMINATE'!K38)</f>
        <v>0</v>
      </c>
      <c r="L25" s="60">
        <f>IF('GIA CONG LAMINATE'!A38="CT","",'GIA CONG LAMINATE'!L38)</f>
        <v>0</v>
      </c>
      <c r="M25" s="60">
        <f>IF('GIA CONG LAMINATE'!A38="CT","",'GIA CONG LAMINATE'!M38)</f>
        <v>0</v>
      </c>
      <c r="N25" s="60">
        <f>IF('GIA CONG LAMINATE'!A38="CT","",'GIA CONG LAMINATE'!N38)</f>
        <v>0</v>
      </c>
      <c r="O25" s="60">
        <f>IF('GIA CONG LAMINATE'!A38="CT","",'GIA CONG LAMINATE'!O38)</f>
        <v>0</v>
      </c>
      <c r="P25" s="60">
        <f>IF('GIA CONG LAMINATE'!A38="CT","",'GIA CONG LAMINATE'!R38)</f>
        <v>1149000</v>
      </c>
      <c r="Q25" s="60">
        <f>IF('GIA CONG LAMINATE'!A38="CT","",'GIA CONG LAMINATE'!S38)</f>
        <v>0</v>
      </c>
      <c r="R25" s="60" t="str">
        <f>IF('GIA CONG LAMINATE'!A38="CT","",'GIA CONG LAMINATE'!$J$7)</f>
        <v>0118</v>
      </c>
      <c r="S25" s="60"/>
      <c r="T25" s="128">
        <f>'GIA CONG LAMINATE'!$R$6</f>
        <v>46191.699305555558</v>
      </c>
      <c r="U25" s="129">
        <f>'GIA CONG LAMINATE'!$R$7</f>
        <v>5</v>
      </c>
      <c r="V25" s="128">
        <f>'GIA CONG LAMINATE'!$R$8</f>
        <v>46196.699305555558</v>
      </c>
    </row>
    <row r="26" spans="1:22" ht="15.75">
      <c r="A26" s="109">
        <f>IF('GIA CONG LAMINATE'!A39="CT","",'GIA CONG LAMINATE'!A39)</f>
        <v>0</v>
      </c>
      <c r="B26" s="60" t="str">
        <f>IF('GIA CONG LAMINATE'!A39="CT","",'GIA CONG LAMINATE'!B39)</f>
        <v xml:space="preserve">Ghi chú: </v>
      </c>
      <c r="C26" s="60">
        <f>IF('GIA CONG LAMINATE'!A39="CT","",'GIA CONG LAMINATE'!C39)</f>
        <v>0</v>
      </c>
      <c r="D26" s="60">
        <f>IF('GIA CONG LAMINATE'!A39="CT","",'GIA CONG LAMINATE'!D39)</f>
        <v>0</v>
      </c>
      <c r="E26" s="60">
        <f>IF('GIA CONG LAMINATE'!A39="CT","",'GIA CONG LAMINATE'!E39)</f>
        <v>0</v>
      </c>
      <c r="F26" s="60">
        <f>IF('GIA CONG LAMINATE'!A39="CT","",'GIA CONG LAMINATE'!F39)</f>
        <v>0</v>
      </c>
      <c r="G26" s="60">
        <f>IF('GIA CONG LAMINATE'!A39="CT","",'GIA CONG LAMINATE'!L39)</f>
        <v>0</v>
      </c>
      <c r="H26" s="60">
        <f>IF('GIA CONG LAMINATE'!A39="CT","",'GIA CONG LAMINATE'!H39)</f>
        <v>0</v>
      </c>
      <c r="I26" s="60">
        <f>IF('GIA CONG LAMINATE'!A39="CT","",'GIA CONG LAMINATE'!I39)</f>
        <v>0</v>
      </c>
      <c r="J26" s="60">
        <f>IF('GIA CONG LAMINATE'!A39="CT","",'GIA CONG LAMINATE'!J39)</f>
        <v>0</v>
      </c>
      <c r="K26" s="60">
        <f>IF('GIA CONG LAMINATE'!A39="CT","",'GIA CONG LAMINATE'!K39)</f>
        <v>0</v>
      </c>
      <c r="L26" s="60">
        <f>IF('GIA CONG LAMINATE'!A39="CT","",'GIA CONG LAMINATE'!L39)</f>
        <v>0</v>
      </c>
      <c r="M26" s="60">
        <f>IF('GIA CONG LAMINATE'!A39="CT","",'GIA CONG LAMINATE'!M39)</f>
        <v>0</v>
      </c>
      <c r="N26" s="60">
        <f>IF('GIA CONG LAMINATE'!A39="CT","",'GIA CONG LAMINATE'!N39)</f>
        <v>0</v>
      </c>
      <c r="O26" s="60">
        <f>IF('GIA CONG LAMINATE'!A39="CT","",'GIA CONG LAMINATE'!O39)</f>
        <v>0</v>
      </c>
      <c r="P26" s="60">
        <f>IF('GIA CONG LAMINATE'!A39="CT","",'GIA CONG LAMINATE'!R39)</f>
        <v>0</v>
      </c>
      <c r="Q26" s="60">
        <f>IF('GIA CONG LAMINATE'!A39="CT","",'GIA CONG LAMINATE'!S39)</f>
        <v>0</v>
      </c>
      <c r="R26" s="60" t="str">
        <f>IF('GIA CONG LAMINATE'!A39="CT","",'GIA CONG LAMINATE'!$J$7)</f>
        <v>0118</v>
      </c>
      <c r="S26" s="60"/>
      <c r="T26" s="128">
        <f>'GIA CONG LAMINATE'!$R$6</f>
        <v>46191.699305555558</v>
      </c>
      <c r="U26" s="129">
        <f>'GIA CONG LAMINATE'!$R$7</f>
        <v>5</v>
      </c>
      <c r="V26" s="128">
        <f>'GIA CONG LAMINATE'!$R$8</f>
        <v>46196.699305555558</v>
      </c>
    </row>
    <row r="27" spans="1:22" ht="15.75">
      <c r="A27" s="109">
        <f>IF('GIA CONG LAMINATE'!A40="CT","",'GIA CONG LAMINATE'!A40)</f>
        <v>0</v>
      </c>
      <c r="B27" s="60">
        <f>IF('GIA CONG LAMINATE'!A40="CT","",'GIA CONG LAMINATE'!B40)</f>
        <v>0</v>
      </c>
      <c r="C27" s="60">
        <f>IF('GIA CONG LAMINATE'!A40="CT","",'GIA CONG LAMINATE'!C40)</f>
        <v>0</v>
      </c>
      <c r="D27" s="60">
        <f>IF('GIA CONG LAMINATE'!A40="CT","",'GIA CONG LAMINATE'!D40)</f>
        <v>0</v>
      </c>
      <c r="E27" s="60">
        <f>IF('GIA CONG LAMINATE'!A40="CT","",'GIA CONG LAMINATE'!E40)</f>
        <v>0</v>
      </c>
      <c r="F27" s="60">
        <f>IF('GIA CONG LAMINATE'!A40="CT","",'GIA CONG LAMINATE'!F40)</f>
        <v>0</v>
      </c>
      <c r="G27" s="60">
        <f>IF('GIA CONG LAMINATE'!A40="CT","",'GIA CONG LAMINATE'!L40)</f>
        <v>0</v>
      </c>
      <c r="H27" s="60">
        <f>IF('GIA CONG LAMINATE'!A40="CT","",'GIA CONG LAMINATE'!H40)</f>
        <v>0</v>
      </c>
      <c r="I27" s="60">
        <f>IF('GIA CONG LAMINATE'!A40="CT","",'GIA CONG LAMINATE'!I40)</f>
        <v>0</v>
      </c>
      <c r="J27" s="60">
        <f>IF('GIA CONG LAMINATE'!A40="CT","",'GIA CONG LAMINATE'!J40)</f>
        <v>0</v>
      </c>
      <c r="K27" s="60">
        <f>IF('GIA CONG LAMINATE'!A40="CT","",'GIA CONG LAMINATE'!K40)</f>
        <v>0</v>
      </c>
      <c r="L27" s="60">
        <f>IF('GIA CONG LAMINATE'!A40="CT","",'GIA CONG LAMINATE'!L40)</f>
        <v>0</v>
      </c>
      <c r="M27" s="60">
        <f>IF('GIA CONG LAMINATE'!A40="CT","",'GIA CONG LAMINATE'!M40)</f>
        <v>0</v>
      </c>
      <c r="N27" s="60">
        <f>IF('GIA CONG LAMINATE'!A40="CT","",'GIA CONG LAMINATE'!N40)</f>
        <v>0</v>
      </c>
      <c r="O27" s="60">
        <f>IF('GIA CONG LAMINATE'!A40="CT","",'GIA CONG LAMINATE'!O40)</f>
        <v>0</v>
      </c>
      <c r="P27" s="60">
        <f>IF('GIA CONG LAMINATE'!A40="CT","",'GIA CONG LAMINATE'!R40)</f>
        <v>0</v>
      </c>
      <c r="Q27" s="60">
        <f>IF('GIA CONG LAMINATE'!A40="CT","",'GIA CONG LAMINATE'!S40)</f>
        <v>0</v>
      </c>
      <c r="R27" s="60" t="str">
        <f>IF('GIA CONG LAMINATE'!A40="CT","",'GIA CONG LAMINATE'!$J$7)</f>
        <v>0118</v>
      </c>
      <c r="S27" s="60"/>
      <c r="T27" s="128">
        <f>'GIA CONG LAMINATE'!$R$6</f>
        <v>46191.699305555558</v>
      </c>
      <c r="U27" s="129">
        <f>'GIA CONG LAMINATE'!$R$7</f>
        <v>5</v>
      </c>
      <c r="V27" s="128">
        <f>'GIA CONG LAMINATE'!$R$8</f>
        <v>46196.699305555558</v>
      </c>
    </row>
    <row r="28" spans="1:22" ht="15.75">
      <c r="A28" s="109">
        <f>IF('GIA CONG LAMINATE'!A41="CT","",'GIA CONG LAMINATE'!A41)</f>
        <v>0</v>
      </c>
      <c r="B28" s="60" t="str">
        <f>IF('GIA CONG LAMINATE'!A41="CT","",'GIA CONG LAMINATE'!B41)</f>
        <v>- Dán cạnh thẳng tích chữ "T", dán cạnh vát 45 độ tích chữ "V" vào ô dán cạnh tương ứng.</v>
      </c>
      <c r="C28" s="60">
        <f>IF('GIA CONG LAMINATE'!A41="CT","",'GIA CONG LAMINATE'!C41)</f>
        <v>0</v>
      </c>
      <c r="D28" s="60">
        <f>IF('GIA CONG LAMINATE'!A41="CT","",'GIA CONG LAMINATE'!D41)</f>
        <v>0</v>
      </c>
      <c r="E28" s="60">
        <f>IF('GIA CONG LAMINATE'!A41="CT","",'GIA CONG LAMINATE'!E41)</f>
        <v>0</v>
      </c>
      <c r="F28" s="60">
        <f>IF('GIA CONG LAMINATE'!A41="CT","",'GIA CONG LAMINATE'!F41)</f>
        <v>0</v>
      </c>
      <c r="G28" s="60">
        <f>IF('GIA CONG LAMINATE'!A41="CT","",'GIA CONG LAMINATE'!L41)</f>
        <v>0</v>
      </c>
      <c r="H28" s="60">
        <f>IF('GIA CONG LAMINATE'!A41="CT","",'GIA CONG LAMINATE'!H41)</f>
        <v>0</v>
      </c>
      <c r="I28" s="60">
        <f>IF('GIA CONG LAMINATE'!A41="CT","",'GIA CONG LAMINATE'!I41)</f>
        <v>0</v>
      </c>
      <c r="J28" s="60">
        <f>IF('GIA CONG LAMINATE'!A41="CT","",'GIA CONG LAMINATE'!J41)</f>
        <v>0</v>
      </c>
      <c r="K28" s="60">
        <f>IF('GIA CONG LAMINATE'!A41="CT","",'GIA CONG LAMINATE'!K41)</f>
        <v>0</v>
      </c>
      <c r="L28" s="60">
        <f>IF('GIA CONG LAMINATE'!A41="CT","",'GIA CONG LAMINATE'!L41)</f>
        <v>0</v>
      </c>
      <c r="M28" s="60">
        <f>IF('GIA CONG LAMINATE'!A41="CT","",'GIA CONG LAMINATE'!M41)</f>
        <v>0</v>
      </c>
      <c r="N28" s="60">
        <f>IF('GIA CONG LAMINATE'!A41="CT","",'GIA CONG LAMINATE'!N41)</f>
        <v>0</v>
      </c>
      <c r="O28" s="60">
        <f>IF('GIA CONG LAMINATE'!A41="CT","",'GIA CONG LAMINATE'!O41)</f>
        <v>0</v>
      </c>
      <c r="P28" s="60">
        <f>IF('GIA CONG LAMINATE'!A41="CT","",'GIA CONG LAMINATE'!R41)</f>
        <v>0</v>
      </c>
      <c r="Q28" s="60">
        <f>IF('GIA CONG LAMINATE'!A41="CT","",'GIA CONG LAMINATE'!S41)</f>
        <v>0</v>
      </c>
      <c r="R28" s="60" t="str">
        <f>IF('GIA CONG LAMINATE'!A41="CT","",'GIA CONG LAMINATE'!$J$7)</f>
        <v>0118</v>
      </c>
      <c r="S28" s="60"/>
      <c r="T28" s="128">
        <f>'GIA CONG LAMINATE'!$R$6</f>
        <v>46191.699305555558</v>
      </c>
      <c r="U28" s="129">
        <f>'GIA CONG LAMINATE'!$R$7</f>
        <v>5</v>
      </c>
      <c r="V28" s="128">
        <f>'GIA CONG LAMINATE'!$R$8</f>
        <v>46196.699305555558</v>
      </c>
    </row>
    <row r="29" spans="1:22" ht="15.75">
      <c r="A29" s="109">
        <f>IF('GIA CONG LAMINATE'!A42="CT","",'GIA CONG LAMINATE'!A42)</f>
        <v>0</v>
      </c>
      <c r="B29" s="60" t="str">
        <f>IF('GIA CONG LAMINATE'!A42="CT","",'GIA CONG LAMINATE'!B42)</f>
        <v>- Chiều  vân ván điền vào cột "CAO" ở bảng trên.</v>
      </c>
      <c r="C29" s="60">
        <f>IF('GIA CONG LAMINATE'!A42="CT","",'GIA CONG LAMINATE'!C42)</f>
        <v>0</v>
      </c>
      <c r="D29" s="60">
        <f>IF('GIA CONG LAMINATE'!A42="CT","",'GIA CONG LAMINATE'!D42)</f>
        <v>0</v>
      </c>
      <c r="E29" s="60">
        <f>IF('GIA CONG LAMINATE'!A42="CT","",'GIA CONG LAMINATE'!E42)</f>
        <v>0</v>
      </c>
      <c r="F29" s="60">
        <f>IF('GIA CONG LAMINATE'!A42="CT","",'GIA CONG LAMINATE'!F42)</f>
        <v>0</v>
      </c>
      <c r="G29" s="60">
        <f>IF('GIA CONG LAMINATE'!A42="CT","",'GIA CONG LAMINATE'!L42)</f>
        <v>0</v>
      </c>
      <c r="H29" s="60">
        <f>IF('GIA CONG LAMINATE'!A42="CT","",'GIA CONG LAMINATE'!H42)</f>
        <v>0</v>
      </c>
      <c r="I29" s="60">
        <f>IF('GIA CONG LAMINATE'!A42="CT","",'GIA CONG LAMINATE'!I42)</f>
        <v>0</v>
      </c>
      <c r="J29" s="60">
        <f>IF('GIA CONG LAMINATE'!A42="CT","",'GIA CONG LAMINATE'!J42)</f>
        <v>0</v>
      </c>
      <c r="K29" s="60">
        <f>IF('GIA CONG LAMINATE'!A42="CT","",'GIA CONG LAMINATE'!K42)</f>
        <v>0</v>
      </c>
      <c r="L29" s="60">
        <f>IF('GIA CONG LAMINATE'!A42="CT","",'GIA CONG LAMINATE'!L42)</f>
        <v>0</v>
      </c>
      <c r="M29" s="60">
        <f>IF('GIA CONG LAMINATE'!A42="CT","",'GIA CONG LAMINATE'!M42)</f>
        <v>0</v>
      </c>
      <c r="N29" s="60">
        <f>IF('GIA CONG LAMINATE'!A42="CT","",'GIA CONG LAMINATE'!N42)</f>
        <v>0</v>
      </c>
      <c r="O29" s="60">
        <f>IF('GIA CONG LAMINATE'!A42="CT","",'GIA CONG LAMINATE'!O42)</f>
        <v>0</v>
      </c>
      <c r="P29" s="60">
        <f>IF('GIA CONG LAMINATE'!A42="CT","",'GIA CONG LAMINATE'!R42)</f>
        <v>0</v>
      </c>
      <c r="Q29" s="60">
        <f>IF('GIA CONG LAMINATE'!A42="CT","",'GIA CONG LAMINATE'!S42)</f>
        <v>0</v>
      </c>
      <c r="R29" s="60" t="str">
        <f>IF('GIA CONG LAMINATE'!A42="CT","",'GIA CONG LAMINATE'!$J$7)</f>
        <v>0118</v>
      </c>
      <c r="S29" s="60"/>
      <c r="T29" s="128">
        <f>'GIA CONG LAMINATE'!$R$6</f>
        <v>46191.699305555558</v>
      </c>
      <c r="U29" s="129">
        <f>'GIA CONG LAMINATE'!$R$7</f>
        <v>5</v>
      </c>
      <c r="V29" s="128">
        <f>'GIA CONG LAMINATE'!$R$8</f>
        <v>46196.699305555558</v>
      </c>
    </row>
    <row r="30" spans="1:22" ht="15.75">
      <c r="A30" s="109">
        <f>IF('GIA CONG LAMINATE'!A43="CT","",'GIA CONG LAMINATE'!A43)</f>
        <v>0</v>
      </c>
      <c r="B30" s="60">
        <f>IF('GIA CONG LAMINATE'!A43="CT","",'GIA CONG LAMINATE'!B43)</f>
        <v>0</v>
      </c>
      <c r="C30" s="60">
        <f>IF('GIA CONG LAMINATE'!A43="CT","",'GIA CONG LAMINATE'!C43)</f>
        <v>0</v>
      </c>
      <c r="D30" s="60">
        <f>IF('GIA CONG LAMINATE'!A43="CT","",'GIA CONG LAMINATE'!D43)</f>
        <v>0</v>
      </c>
      <c r="E30" s="60">
        <f>IF('GIA CONG LAMINATE'!A43="CT","",'GIA CONG LAMINATE'!E43)</f>
        <v>0</v>
      </c>
      <c r="F30" s="60">
        <f>IF('GIA CONG LAMINATE'!A43="CT","",'GIA CONG LAMINATE'!F43)</f>
        <v>0</v>
      </c>
      <c r="G30" s="60">
        <f>IF('GIA CONG LAMINATE'!A43="CT","",'GIA CONG LAMINATE'!L43)</f>
        <v>0</v>
      </c>
      <c r="H30" s="60">
        <f>IF('GIA CONG LAMINATE'!A43="CT","",'GIA CONG LAMINATE'!H43)</f>
        <v>0</v>
      </c>
      <c r="I30" s="60">
        <f>IF('GIA CONG LAMINATE'!A43="CT","",'GIA CONG LAMINATE'!I43)</f>
        <v>0</v>
      </c>
      <c r="J30" s="60">
        <f>IF('GIA CONG LAMINATE'!A43="CT","",'GIA CONG LAMINATE'!J43)</f>
        <v>0</v>
      </c>
      <c r="K30" s="60">
        <f>IF('GIA CONG LAMINATE'!A43="CT","",'GIA CONG LAMINATE'!K43)</f>
        <v>0</v>
      </c>
      <c r="L30" s="60">
        <f>IF('GIA CONG LAMINATE'!A43="CT","",'GIA CONG LAMINATE'!L43)</f>
        <v>0</v>
      </c>
      <c r="M30" s="60">
        <f>IF('GIA CONG LAMINATE'!A43="CT","",'GIA CONG LAMINATE'!M43)</f>
        <v>0</v>
      </c>
      <c r="N30" s="60">
        <f>IF('GIA CONG LAMINATE'!A43="CT","",'GIA CONG LAMINATE'!N43)</f>
        <v>0</v>
      </c>
      <c r="O30" s="60">
        <f>IF('GIA CONG LAMINATE'!A43="CT","",'GIA CONG LAMINATE'!O43)</f>
        <v>0</v>
      </c>
      <c r="P30" s="60">
        <f>IF('GIA CONG LAMINATE'!A43="CT","",'GIA CONG LAMINATE'!R43)</f>
        <v>0</v>
      </c>
      <c r="Q30" s="60">
        <f>IF('GIA CONG LAMINATE'!A43="CT","",'GIA CONG LAMINATE'!S43)</f>
        <v>0</v>
      </c>
      <c r="R30" s="60" t="str">
        <f>IF('GIA CONG LAMINATE'!A43="CT","",'GIA CONG LAMINATE'!$J$7)</f>
        <v>0118</v>
      </c>
      <c r="S30" s="60"/>
      <c r="T30" s="128">
        <f>'GIA CONG LAMINATE'!$R$6</f>
        <v>46191.699305555558</v>
      </c>
      <c r="U30" s="129">
        <f>'GIA CONG LAMINATE'!$R$7</f>
        <v>5</v>
      </c>
      <c r="V30" s="128">
        <f>'GIA CONG LAMINATE'!$R$8</f>
        <v>46196.699305555558</v>
      </c>
    </row>
    <row r="31" spans="1:22" ht="15.75">
      <c r="A31" s="109">
        <f>IF('GIA CONG LAMINATE'!A44="CT","",'GIA CONG LAMINATE'!A44)</f>
        <v>0</v>
      </c>
      <c r="B31" s="60">
        <f>IF('GIA CONG LAMINATE'!A44="CT","",'GIA CONG LAMINATE'!B44)</f>
        <v>0</v>
      </c>
      <c r="C31" s="60">
        <f>IF('GIA CONG LAMINATE'!A44="CT","",'GIA CONG LAMINATE'!C44)</f>
        <v>0</v>
      </c>
      <c r="D31" s="60">
        <f>IF('GIA CONG LAMINATE'!A44="CT","",'GIA CONG LAMINATE'!D44)</f>
        <v>0</v>
      </c>
      <c r="E31" s="60">
        <f>IF('GIA CONG LAMINATE'!A44="CT","",'GIA CONG LAMINATE'!E44)</f>
        <v>0</v>
      </c>
      <c r="F31" s="60">
        <f>IF('GIA CONG LAMINATE'!A44="CT","",'GIA CONG LAMINATE'!F44)</f>
        <v>0</v>
      </c>
      <c r="G31" s="60">
        <f>IF('GIA CONG LAMINATE'!A44="CT","",'GIA CONG LAMINATE'!L44)</f>
        <v>0</v>
      </c>
      <c r="H31" s="60">
        <f>IF('GIA CONG LAMINATE'!A44="CT","",'GIA CONG LAMINATE'!H44)</f>
        <v>0</v>
      </c>
      <c r="I31" s="60">
        <f>IF('GIA CONG LAMINATE'!A44="CT","",'GIA CONG LAMINATE'!I44)</f>
        <v>0</v>
      </c>
      <c r="J31" s="60">
        <f>IF('GIA CONG LAMINATE'!A44="CT","",'GIA CONG LAMINATE'!J44)</f>
        <v>0</v>
      </c>
      <c r="K31" s="60">
        <f>IF('GIA CONG LAMINATE'!A44="CT","",'GIA CONG LAMINATE'!K44)</f>
        <v>0</v>
      </c>
      <c r="L31" s="60">
        <f>IF('GIA CONG LAMINATE'!A44="CT","",'GIA CONG LAMINATE'!L44)</f>
        <v>0</v>
      </c>
      <c r="M31" s="60">
        <f>IF('GIA CONG LAMINATE'!A44="CT","",'GIA CONG LAMINATE'!M44)</f>
        <v>0</v>
      </c>
      <c r="N31" s="60">
        <f>IF('GIA CONG LAMINATE'!A44="CT","",'GIA CONG LAMINATE'!N44)</f>
        <v>0</v>
      </c>
      <c r="O31" s="60">
        <f>IF('GIA CONG LAMINATE'!A44="CT","",'GIA CONG LAMINATE'!O44)</f>
        <v>0</v>
      </c>
      <c r="P31" s="60">
        <f>IF('GIA CONG LAMINATE'!A44="CT","",'GIA CONG LAMINATE'!R44)</f>
        <v>0</v>
      </c>
      <c r="Q31" s="60">
        <f>IF('GIA CONG LAMINATE'!A44="CT","",'GIA CONG LAMINATE'!S44)</f>
        <v>0</v>
      </c>
      <c r="R31" s="60" t="str">
        <f>IF('GIA CONG LAMINATE'!A44="CT","",'GIA CONG LAMINATE'!$J$7)</f>
        <v>0118</v>
      </c>
      <c r="S31" s="60"/>
      <c r="T31" s="128">
        <f>'GIA CONG LAMINATE'!$R$6</f>
        <v>46191.699305555558</v>
      </c>
      <c r="U31" s="129">
        <f>'GIA CONG LAMINATE'!$R$7</f>
        <v>5</v>
      </c>
      <c r="V31" s="128">
        <f>'GIA CONG LAMINATE'!$R$8</f>
        <v>46196.699305555558</v>
      </c>
    </row>
    <row r="32" spans="1:22" ht="15.75">
      <c r="A32" s="109">
        <f>IF('GIA CONG LAMINATE'!A45="CT","",'GIA CONG LAMINATE'!A45)</f>
        <v>0</v>
      </c>
      <c r="B32" s="60">
        <f>IF('GIA CONG LAMINATE'!A45="CT","",'GIA CONG LAMINATE'!B45)</f>
        <v>0</v>
      </c>
      <c r="C32" s="60">
        <f>IF('GIA CONG LAMINATE'!A45="CT","",'GIA CONG LAMINATE'!C45)</f>
        <v>0</v>
      </c>
      <c r="D32" s="60" t="str">
        <f>IF('GIA CONG LAMINATE'!A45="CT","",'GIA CONG LAMINATE'!D45)</f>
        <v>XÁC NHẬN BÊN MUA HÀNG</v>
      </c>
      <c r="E32" s="60">
        <f>IF('GIA CONG LAMINATE'!A45="CT","",'GIA CONG LAMINATE'!E45)</f>
        <v>0</v>
      </c>
      <c r="F32" s="60">
        <f>IF('GIA CONG LAMINATE'!A45="CT","",'GIA CONG LAMINATE'!F45)</f>
        <v>0</v>
      </c>
      <c r="G32" s="60" t="str">
        <f>IF('GIA CONG LAMINATE'!A45="CT","",'GIA CONG LAMINATE'!L45)</f>
        <v>KẾ TOÁN XÁC NHẬN</v>
      </c>
      <c r="H32" s="60">
        <f>IF('GIA CONG LAMINATE'!A45="CT","",'GIA CONG LAMINATE'!H45)</f>
        <v>0</v>
      </c>
      <c r="I32" s="60">
        <f>IF('GIA CONG LAMINATE'!A45="CT","",'GIA CONG LAMINATE'!I45)</f>
        <v>0</v>
      </c>
      <c r="J32" s="60">
        <f>IF('GIA CONG LAMINATE'!A45="CT","",'GIA CONG LAMINATE'!J45)</f>
        <v>0</v>
      </c>
      <c r="K32" s="60">
        <f>IF('GIA CONG LAMINATE'!A45="CT","",'GIA CONG LAMINATE'!K45)</f>
        <v>0</v>
      </c>
      <c r="L32" s="60" t="str">
        <f>IF('GIA CONG LAMINATE'!A45="CT","",'GIA CONG LAMINATE'!L45)</f>
        <v>KẾ TOÁN XÁC NHẬN</v>
      </c>
      <c r="M32" s="60">
        <f>IF('GIA CONG LAMINATE'!A45="CT","",'GIA CONG LAMINATE'!M45)</f>
        <v>0</v>
      </c>
      <c r="N32" s="60">
        <f>IF('GIA CONG LAMINATE'!A45="CT","",'GIA CONG LAMINATE'!N45)</f>
        <v>0</v>
      </c>
      <c r="O32" s="60">
        <f>IF('GIA CONG LAMINATE'!A45="CT","",'GIA CONG LAMINATE'!O45)</f>
        <v>0</v>
      </c>
      <c r="P32" s="60">
        <f>IF('GIA CONG LAMINATE'!A45="CT","",'GIA CONG LAMINATE'!R45)</f>
        <v>0</v>
      </c>
      <c r="Q32" s="60">
        <f>IF('GIA CONG LAMINATE'!A45="CT","",'GIA CONG LAMINATE'!S45)</f>
        <v>0</v>
      </c>
      <c r="R32" s="60" t="str">
        <f>IF('GIA CONG LAMINATE'!A45="CT","",'GIA CONG LAMINATE'!$J$7)</f>
        <v>0118</v>
      </c>
      <c r="S32" s="60"/>
      <c r="T32" s="128">
        <f>'GIA CONG LAMINATE'!$R$6</f>
        <v>46191.699305555558</v>
      </c>
      <c r="U32" s="129">
        <f>'GIA CONG LAMINATE'!$R$7</f>
        <v>5</v>
      </c>
      <c r="V32" s="128">
        <f>'GIA CONG LAMINATE'!$R$8</f>
        <v>46196.699305555558</v>
      </c>
    </row>
    <row r="33" spans="1:22" ht="15.75">
      <c r="A33" s="109">
        <f>IF('GIA CONG LAMINATE'!A44="CT","",'GIA CONG LAMINATE'!A44)</f>
        <v>0</v>
      </c>
      <c r="B33" s="60">
        <f>IF('GIA CONG LAMINATE'!A44="CT","",'GIA CONG LAMINATE'!B44)</f>
        <v>0</v>
      </c>
      <c r="C33" s="60">
        <f>IF('GIA CONG LAMINATE'!A44="CT","",'GIA CONG LAMINATE'!C44)</f>
        <v>0</v>
      </c>
      <c r="D33" s="60">
        <f>IF('GIA CONG LAMINATE'!A44="CT","",'GIA CONG LAMINATE'!D44)</f>
        <v>0</v>
      </c>
      <c r="E33" s="60">
        <f>IF('GIA CONG LAMINATE'!A44="CT","",'GIA CONG LAMINATE'!E44)</f>
        <v>0</v>
      </c>
      <c r="F33" s="60">
        <f>IF('GIA CONG LAMINATE'!A44="CT","",'GIA CONG LAMINATE'!F44)</f>
        <v>0</v>
      </c>
      <c r="G33" s="60">
        <f>IF('GIA CONG LAMINATE'!A44="CT","",'GIA CONG LAMINATE'!L44)</f>
        <v>0</v>
      </c>
      <c r="H33" s="60">
        <f>IF('GIA CONG LAMINATE'!A44="CT","",'GIA CONG LAMINATE'!H44)</f>
        <v>0</v>
      </c>
      <c r="I33" s="60">
        <f>IF('GIA CONG LAMINATE'!A44="CT","",'GIA CONG LAMINATE'!I44)</f>
        <v>0</v>
      </c>
      <c r="J33" s="60">
        <f>IF('GIA CONG LAMINATE'!A44="CT","",'GIA CONG LAMINATE'!J44)</f>
        <v>0</v>
      </c>
      <c r="K33" s="60">
        <f>IF('GIA CONG LAMINATE'!A44="CT","",'GIA CONG LAMINATE'!K44)</f>
        <v>0</v>
      </c>
      <c r="L33" s="60">
        <f>IF('GIA CONG LAMINATE'!A44="CT","",'GIA CONG LAMINATE'!L44)</f>
        <v>0</v>
      </c>
      <c r="M33" s="60">
        <f>IF('GIA CONG LAMINATE'!A44="CT","",'GIA CONG LAMINATE'!M44)</f>
        <v>0</v>
      </c>
      <c r="N33" s="60">
        <f>IF('GIA CONG LAMINATE'!A44="CT","",'GIA CONG LAMINATE'!N44)</f>
        <v>0</v>
      </c>
      <c r="O33" s="60">
        <f>IF('GIA CONG LAMINATE'!A44="CT","",'GIA CONG LAMINATE'!O44)</f>
        <v>0</v>
      </c>
      <c r="P33" s="60">
        <f>IF('GIA CONG LAMINATE'!A44="CT","",'GIA CONG LAMINATE'!R44)</f>
        <v>0</v>
      </c>
      <c r="Q33" s="60">
        <f>IF('GIA CONG LAMINATE'!A44="CT","",'GIA CONG LAMINATE'!S44)</f>
        <v>0</v>
      </c>
      <c r="R33" s="60" t="str">
        <f>IF('GIA CONG LAMINATE'!A44="CT","",'GIA CONG LAMINATE'!$J$7)</f>
        <v>0118</v>
      </c>
      <c r="S33" s="60"/>
      <c r="T33" s="128">
        <f>'GIA CONG LAMINATE'!$R$6</f>
        <v>46191.699305555558</v>
      </c>
      <c r="U33" s="129">
        <f>'GIA CONG LAMINATE'!$R$7</f>
        <v>5</v>
      </c>
      <c r="V33" s="128">
        <f>'GIA CONG LAMINATE'!$R$8</f>
        <v>46196.699305555558</v>
      </c>
    </row>
    <row r="34" spans="1:22" ht="15.75">
      <c r="A34" s="109">
        <f>IF('GIA CONG LAMINATE'!A45="CT","",'GIA CONG LAMINATE'!A45)</f>
        <v>0</v>
      </c>
      <c r="B34" s="60">
        <f>IF('GIA CONG LAMINATE'!A45="CT","",'GIA CONG LAMINATE'!B45)</f>
        <v>0</v>
      </c>
      <c r="C34" s="60">
        <f>IF('GIA CONG LAMINATE'!A45="CT","",'GIA CONG LAMINATE'!C45)</f>
        <v>0</v>
      </c>
      <c r="D34" s="60" t="str">
        <f>IF('GIA CONG LAMINATE'!A45="CT","",'GIA CONG LAMINATE'!D45)</f>
        <v>XÁC NHẬN BÊN MUA HÀNG</v>
      </c>
      <c r="E34" s="60">
        <f>IF('GIA CONG LAMINATE'!A45="CT","",'GIA CONG LAMINATE'!E45)</f>
        <v>0</v>
      </c>
      <c r="F34" s="60">
        <f>IF('GIA CONG LAMINATE'!A45="CT","",'GIA CONG LAMINATE'!F45)</f>
        <v>0</v>
      </c>
      <c r="G34" s="60" t="str">
        <f>IF('GIA CONG LAMINATE'!A45="CT","",'GIA CONG LAMINATE'!L45)</f>
        <v>KẾ TOÁN XÁC NHẬN</v>
      </c>
      <c r="H34" s="60">
        <f>IF('GIA CONG LAMINATE'!A45="CT","",'GIA CONG LAMINATE'!H45)</f>
        <v>0</v>
      </c>
      <c r="I34" s="60">
        <f>IF('GIA CONG LAMINATE'!A45="CT","",'GIA CONG LAMINATE'!I45)</f>
        <v>0</v>
      </c>
      <c r="J34" s="60">
        <f>IF('GIA CONG LAMINATE'!A45="CT","",'GIA CONG LAMINATE'!J45)</f>
        <v>0</v>
      </c>
      <c r="K34" s="60">
        <f>IF('GIA CONG LAMINATE'!A45="CT","",'GIA CONG LAMINATE'!K45)</f>
        <v>0</v>
      </c>
      <c r="L34" s="60" t="str">
        <f>IF('GIA CONG LAMINATE'!A45="CT","",'GIA CONG LAMINATE'!L45)</f>
        <v>KẾ TOÁN XÁC NHẬN</v>
      </c>
      <c r="M34" s="60">
        <f>IF('GIA CONG LAMINATE'!A45="CT","",'GIA CONG LAMINATE'!M45)</f>
        <v>0</v>
      </c>
      <c r="N34" s="60">
        <f>IF('GIA CONG LAMINATE'!A45="CT","",'GIA CONG LAMINATE'!N45)</f>
        <v>0</v>
      </c>
      <c r="O34" s="60">
        <f>IF('GIA CONG LAMINATE'!A45="CT","",'GIA CONG LAMINATE'!O45)</f>
        <v>0</v>
      </c>
      <c r="P34" s="60">
        <f>IF('GIA CONG LAMINATE'!A45="CT","",'GIA CONG LAMINATE'!R45)</f>
        <v>0</v>
      </c>
      <c r="Q34" s="60">
        <f>IF('GIA CONG LAMINATE'!A45="CT","",'GIA CONG LAMINATE'!S45)</f>
        <v>0</v>
      </c>
      <c r="R34" s="60" t="str">
        <f>IF('GIA CONG LAMINATE'!A45="CT","",'GIA CONG LAMINATE'!$J$7)</f>
        <v>0118</v>
      </c>
      <c r="S34" s="60"/>
      <c r="T34" s="128">
        <f>'GIA CONG LAMINATE'!$R$6</f>
        <v>46191.699305555558</v>
      </c>
      <c r="U34" s="129">
        <f>'GIA CONG LAMINATE'!$R$7</f>
        <v>5</v>
      </c>
      <c r="V34" s="128">
        <f>'GIA CONG LAMINATE'!$R$8</f>
        <v>46196.699305555558</v>
      </c>
    </row>
    <row r="35" spans="1:22" ht="15.75">
      <c r="A35" s="109">
        <f>IF('GIA CONG LAMINATE'!A46="CT","",'GIA CONG LAMINATE'!A46)</f>
        <v>0</v>
      </c>
      <c r="B35" s="60">
        <f>IF('GIA CONG LAMINATE'!A46="CT","",'GIA CONG LAMINATE'!B46)</f>
        <v>0</v>
      </c>
      <c r="C35" s="60">
        <f>IF('GIA CONG LAMINATE'!A46="CT","",'GIA CONG LAMINATE'!C46)</f>
        <v>0</v>
      </c>
      <c r="D35" s="60" t="str">
        <f>IF('GIA CONG LAMINATE'!A46="CT","",'GIA CONG LAMINATE'!D46)</f>
        <v>(Ký, ghi rõ họ tên)</v>
      </c>
      <c r="E35" s="60">
        <f>IF('GIA CONG LAMINATE'!A46="CT","",'GIA CONG LAMINATE'!E46)</f>
        <v>0</v>
      </c>
      <c r="F35" s="60">
        <f>IF('GIA CONG LAMINATE'!A46="CT","",'GIA CONG LAMINATE'!F46)</f>
        <v>0</v>
      </c>
      <c r="G35" s="60" t="str">
        <f>IF('GIA CONG LAMINATE'!A46="CT","",'GIA CONG LAMINATE'!L46)</f>
        <v>(Ký, ghi rõ họ tên)</v>
      </c>
      <c r="H35" s="60">
        <f>IF('GIA CONG LAMINATE'!A46="CT","",'GIA CONG LAMINATE'!H46)</f>
        <v>0</v>
      </c>
      <c r="I35" s="60">
        <f>IF('GIA CONG LAMINATE'!A46="CT","",'GIA CONG LAMINATE'!I46)</f>
        <v>0</v>
      </c>
      <c r="J35" s="60">
        <f>IF('GIA CONG LAMINATE'!A46="CT","",'GIA CONG LAMINATE'!J46)</f>
        <v>0</v>
      </c>
      <c r="K35" s="60">
        <f>IF('GIA CONG LAMINATE'!A46="CT","",'GIA CONG LAMINATE'!K46)</f>
        <v>0</v>
      </c>
      <c r="L35" s="60" t="str">
        <f>IF('GIA CONG LAMINATE'!A46="CT","",'GIA CONG LAMINATE'!L46)</f>
        <v>(Ký, ghi rõ họ tên)</v>
      </c>
      <c r="M35" s="60">
        <f>IF('GIA CONG LAMINATE'!A46="CT","",'GIA CONG LAMINATE'!M46)</f>
        <v>0</v>
      </c>
      <c r="N35" s="60">
        <f>IF('GIA CONG LAMINATE'!A46="CT","",'GIA CONG LAMINATE'!N46)</f>
        <v>0</v>
      </c>
      <c r="O35" s="60">
        <f>IF('GIA CONG LAMINATE'!A46="CT","",'GIA CONG LAMINATE'!O46)</f>
        <v>0</v>
      </c>
      <c r="P35" s="60">
        <f>IF('GIA CONG LAMINATE'!A46="CT","",'GIA CONG LAMINATE'!R46)</f>
        <v>0</v>
      </c>
      <c r="Q35" s="60">
        <f>IF('GIA CONG LAMINATE'!A46="CT","",'GIA CONG LAMINATE'!S46)</f>
        <v>0</v>
      </c>
      <c r="R35" s="60" t="str">
        <f>IF('GIA CONG LAMINATE'!A46="CT","",'GIA CONG LAMINATE'!$J$7)</f>
        <v>0118</v>
      </c>
      <c r="S35" s="60"/>
      <c r="T35" s="128">
        <f>'GIA CONG LAMINATE'!$R$6</f>
        <v>46191.699305555558</v>
      </c>
      <c r="U35" s="129">
        <f>'GIA CONG LAMINATE'!$R$7</f>
        <v>5</v>
      </c>
      <c r="V35" s="128">
        <f>'GIA CONG LAMINATE'!$R$8</f>
        <v>46196.699305555558</v>
      </c>
    </row>
    <row r="36" spans="1:22" ht="15.75">
      <c r="A36" s="109">
        <f>IF('GIA CONG LAMINATE'!A47="CT","",'GIA CONG LAMINATE'!A47)</f>
        <v>0</v>
      </c>
      <c r="B36" s="60">
        <f>IF('GIA CONG LAMINATE'!A47="CT","",'GIA CONG LAMINATE'!B47)</f>
        <v>0</v>
      </c>
      <c r="C36" s="60">
        <f>IF('GIA CONG LAMINATE'!A47="CT","",'GIA CONG LAMINATE'!C47)</f>
        <v>0</v>
      </c>
      <c r="D36" s="60">
        <f>IF('GIA CONG LAMINATE'!A47="CT","",'GIA CONG LAMINATE'!D47)</f>
        <v>0</v>
      </c>
      <c r="E36" s="60">
        <f>IF('GIA CONG LAMINATE'!A47="CT","",'GIA CONG LAMINATE'!E47)</f>
        <v>0</v>
      </c>
      <c r="F36" s="60">
        <f>IF('GIA CONG LAMINATE'!A47="CT","",'GIA CONG LAMINATE'!F47)</f>
        <v>0</v>
      </c>
      <c r="G36" s="60">
        <f>IF('GIA CONG LAMINATE'!A47="CT","",'GIA CONG LAMINATE'!L47)</f>
        <v>0</v>
      </c>
      <c r="H36" s="60">
        <f>IF('GIA CONG LAMINATE'!A47="CT","",'GIA CONG LAMINATE'!H47)</f>
        <v>0</v>
      </c>
      <c r="I36" s="60">
        <f>IF('GIA CONG LAMINATE'!A47="CT","",'GIA CONG LAMINATE'!I47)</f>
        <v>0</v>
      </c>
      <c r="J36" s="60">
        <f>IF('GIA CONG LAMINATE'!A47="CT","",'GIA CONG LAMINATE'!J47)</f>
        <v>0</v>
      </c>
      <c r="K36" s="60">
        <f>IF('GIA CONG LAMINATE'!A47="CT","",'GIA CONG LAMINATE'!K47)</f>
        <v>0</v>
      </c>
      <c r="L36" s="60">
        <f>IF('GIA CONG LAMINATE'!A47="CT","",'GIA CONG LAMINATE'!L47)</f>
        <v>0</v>
      </c>
      <c r="M36" s="60">
        <f>IF('GIA CONG LAMINATE'!A47="CT","",'GIA CONG LAMINATE'!M47)</f>
        <v>0</v>
      </c>
      <c r="N36" s="60">
        <f>IF('GIA CONG LAMINATE'!A47="CT","",'GIA CONG LAMINATE'!N47)</f>
        <v>0</v>
      </c>
      <c r="O36" s="60">
        <f>IF('GIA CONG LAMINATE'!A47="CT","",'GIA CONG LAMINATE'!O47)</f>
        <v>0</v>
      </c>
      <c r="P36" s="60">
        <f>IF('GIA CONG LAMINATE'!A47="CT","",'GIA CONG LAMINATE'!R47)</f>
        <v>0</v>
      </c>
      <c r="Q36" s="60">
        <f>IF('GIA CONG LAMINATE'!A47="CT","",'GIA CONG LAMINATE'!S47)</f>
        <v>0</v>
      </c>
      <c r="R36" s="60" t="str">
        <f>IF('GIA CONG LAMINATE'!A47="CT","",'GIA CONG LAMINATE'!$J$7)</f>
        <v>0118</v>
      </c>
      <c r="S36" s="60"/>
      <c r="T36" s="128">
        <f>'GIA CONG LAMINATE'!$R$6</f>
        <v>46191.699305555558</v>
      </c>
      <c r="U36" s="129">
        <f>'GIA CONG LAMINATE'!$R$7</f>
        <v>5</v>
      </c>
      <c r="V36" s="128">
        <f>'GIA CONG LAMINATE'!$R$8</f>
        <v>46196.699305555558</v>
      </c>
    </row>
    <row r="37" spans="1:22" ht="15.75">
      <c r="A37" s="109">
        <f>IF('GIA CONG LAMINATE'!A48="CT","",'GIA CONG LAMINATE'!A48)</f>
        <v>0</v>
      </c>
      <c r="B37" s="60">
        <f>IF('GIA CONG LAMINATE'!A48="CT","",'GIA CONG LAMINATE'!B48)</f>
        <v>0</v>
      </c>
      <c r="C37" s="60">
        <f>IF('GIA CONG LAMINATE'!A48="CT","",'GIA CONG LAMINATE'!C48)</f>
        <v>0</v>
      </c>
      <c r="D37" s="60">
        <f>IF('GIA CONG LAMINATE'!A48="CT","",'GIA CONG LAMINATE'!D48)</f>
        <v>0</v>
      </c>
      <c r="E37" s="60">
        <f>IF('GIA CONG LAMINATE'!A48="CT","",'GIA CONG LAMINATE'!E48)</f>
        <v>0</v>
      </c>
      <c r="F37" s="60">
        <f>IF('GIA CONG LAMINATE'!A48="CT","",'GIA CONG LAMINATE'!F48)</f>
        <v>0</v>
      </c>
      <c r="G37" s="60">
        <f>IF('GIA CONG LAMINATE'!A48="CT","",'GIA CONG LAMINATE'!L48)</f>
        <v>0</v>
      </c>
      <c r="H37" s="60">
        <f>IF('GIA CONG LAMINATE'!A48="CT","",'GIA CONG LAMINATE'!H48)</f>
        <v>0</v>
      </c>
      <c r="I37" s="60">
        <f>IF('GIA CONG LAMINATE'!A48="CT","",'GIA CONG LAMINATE'!I48)</f>
        <v>0</v>
      </c>
      <c r="J37" s="60">
        <f>IF('GIA CONG LAMINATE'!A48="CT","",'GIA CONG LAMINATE'!J48)</f>
        <v>0</v>
      </c>
      <c r="K37" s="60">
        <f>IF('GIA CONG LAMINATE'!A48="CT","",'GIA CONG LAMINATE'!K48)</f>
        <v>0</v>
      </c>
      <c r="L37" s="60">
        <f>IF('GIA CONG LAMINATE'!A48="CT","",'GIA CONG LAMINATE'!L48)</f>
        <v>0</v>
      </c>
      <c r="M37" s="60">
        <f>IF('GIA CONG LAMINATE'!A48="CT","",'GIA CONG LAMINATE'!M48)</f>
        <v>0</v>
      </c>
      <c r="N37" s="60">
        <f>IF('GIA CONG LAMINATE'!A48="CT","",'GIA CONG LAMINATE'!N48)</f>
        <v>0</v>
      </c>
      <c r="O37" s="60">
        <f>IF('GIA CONG LAMINATE'!A48="CT","",'GIA CONG LAMINATE'!O48)</f>
        <v>0</v>
      </c>
      <c r="P37" s="60">
        <f>IF('GIA CONG LAMINATE'!A48="CT","",'GIA CONG LAMINATE'!R48)</f>
        <v>0</v>
      </c>
      <c r="Q37" s="60">
        <f>IF('GIA CONG LAMINATE'!A48="CT","",'GIA CONG LAMINATE'!S48)</f>
        <v>0</v>
      </c>
      <c r="R37" s="60" t="str">
        <f>IF('GIA CONG LAMINATE'!A48="CT","",'GIA CONG LAMINATE'!$J$7)</f>
        <v>0118</v>
      </c>
      <c r="S37" s="60"/>
      <c r="T37" s="128">
        <f>'GIA CONG LAMINATE'!$R$6</f>
        <v>46191.699305555558</v>
      </c>
      <c r="U37" s="129">
        <f>'GIA CONG LAMINATE'!$R$7</f>
        <v>5</v>
      </c>
      <c r="V37" s="128">
        <f>'GIA CONG LAMINATE'!$R$8</f>
        <v>46196.699305555558</v>
      </c>
    </row>
    <row r="38" spans="1:22" ht="15.75">
      <c r="A38" s="109">
        <f>IF('GIA CONG LAMINATE'!A49="CT","",'GIA CONG LAMINATE'!A49)</f>
        <v>0</v>
      </c>
      <c r="B38" s="60">
        <f>IF('GIA CONG LAMINATE'!A49="CT","",'GIA CONG LAMINATE'!B49)</f>
        <v>1</v>
      </c>
      <c r="C38" s="60">
        <f>IF('GIA CONG LAMINATE'!A49="CT","",'GIA CONG LAMINATE'!C49)</f>
        <v>0</v>
      </c>
      <c r="D38" s="60" t="str">
        <f>IF('GIA CONG LAMINATE'!A49="CT","",'GIA CONG LAMINATE'!D49)</f>
        <v>Đơn giá trên chưa bao gồm VAT.Đúng sai ±1 mm.</v>
      </c>
      <c r="E38" s="60">
        <f>IF('GIA CONG LAMINATE'!A49="CT","",'GIA CONG LAMINATE'!E49)</f>
        <v>0</v>
      </c>
      <c r="F38" s="60">
        <f>IF('GIA CONG LAMINATE'!A49="CT","",'GIA CONG LAMINATE'!F49)</f>
        <v>0</v>
      </c>
      <c r="G38" s="60">
        <f>IF('GIA CONG LAMINATE'!A49="CT","",'GIA CONG LAMINATE'!L49)</f>
        <v>0</v>
      </c>
      <c r="H38" s="60">
        <f>IF('GIA CONG LAMINATE'!A49="CT","",'GIA CONG LAMINATE'!H49)</f>
        <v>0</v>
      </c>
      <c r="I38" s="60">
        <f>IF('GIA CONG LAMINATE'!A49="CT","",'GIA CONG LAMINATE'!I49)</f>
        <v>0</v>
      </c>
      <c r="J38" s="60">
        <f>IF('GIA CONG LAMINATE'!A49="CT","",'GIA CONG LAMINATE'!J49)</f>
        <v>0</v>
      </c>
      <c r="K38" s="60">
        <f>IF('GIA CONG LAMINATE'!A49="CT","",'GIA CONG LAMINATE'!K49)</f>
        <v>0</v>
      </c>
      <c r="L38" s="60">
        <f>IF('GIA CONG LAMINATE'!A49="CT","",'GIA CONG LAMINATE'!L49)</f>
        <v>0</v>
      </c>
      <c r="M38" s="60">
        <f>IF('GIA CONG LAMINATE'!A49="CT","",'GIA CONG LAMINATE'!M49)</f>
        <v>0</v>
      </c>
      <c r="N38" s="60">
        <f>IF('GIA CONG LAMINATE'!A49="CT","",'GIA CONG LAMINATE'!N49)</f>
        <v>0</v>
      </c>
      <c r="O38" s="60">
        <f>IF('GIA CONG LAMINATE'!A49="CT","",'GIA CONG LAMINATE'!O49)</f>
        <v>0</v>
      </c>
      <c r="P38" s="60">
        <f>IF('GIA CONG LAMINATE'!A49="CT","",'GIA CONG LAMINATE'!R49)</f>
        <v>0</v>
      </c>
      <c r="Q38" s="60">
        <f>IF('GIA CONG LAMINATE'!A49="CT","",'GIA CONG LAMINATE'!S49)</f>
        <v>0</v>
      </c>
      <c r="R38" s="60" t="str">
        <f>IF('GIA CONG LAMINATE'!A49="CT","",'GIA CONG LAMINATE'!$J$7)</f>
        <v>0118</v>
      </c>
      <c r="S38" s="60"/>
      <c r="T38" s="128">
        <f>'GIA CONG LAMINATE'!$R$6</f>
        <v>46191.699305555558</v>
      </c>
      <c r="U38" s="129">
        <f>'GIA CONG LAMINATE'!$R$7</f>
        <v>5</v>
      </c>
      <c r="V38" s="128">
        <f>'GIA CONG LAMINATE'!$R$8</f>
        <v>46196.699305555558</v>
      </c>
    </row>
    <row r="55" spans="2:42" s="41" customFormat="1" ht="21" customHeight="1">
      <c r="B55" s="21"/>
      <c r="C55" s="21"/>
      <c r="D55" s="35"/>
      <c r="E55" s="21"/>
      <c r="F55" s="21"/>
      <c r="G55" s="21"/>
      <c r="H55" s="21"/>
      <c r="I55" s="21"/>
      <c r="J55" s="21"/>
      <c r="K55" s="21"/>
      <c r="L55" s="19"/>
      <c r="M55" s="19"/>
      <c r="N55" s="19"/>
      <c r="O55" s="19"/>
      <c r="P55" s="21"/>
      <c r="Q55" s="19"/>
      <c r="R55" s="19"/>
      <c r="S55" s="19"/>
      <c r="T55" s="19"/>
      <c r="U55" s="19"/>
      <c r="V55" s="19"/>
      <c r="AN55" s="42"/>
      <c r="AO55" s="42"/>
      <c r="AP55" s="42"/>
    </row>
    <row r="63" spans="2:42" s="41" customFormat="1" ht="21" customHeight="1">
      <c r="B63" s="21"/>
      <c r="C63" s="21"/>
      <c r="D63" s="35"/>
      <c r="E63" s="21"/>
      <c r="F63" s="21"/>
      <c r="G63" s="21"/>
      <c r="H63" s="21"/>
      <c r="I63" s="21"/>
      <c r="J63" s="21"/>
      <c r="K63" s="21"/>
      <c r="L63" s="19"/>
      <c r="M63" s="19"/>
      <c r="N63" s="19"/>
      <c r="O63" s="19"/>
      <c r="P63" s="21"/>
      <c r="Q63" s="19"/>
      <c r="AN63" s="42"/>
      <c r="AO63" s="42"/>
      <c r="AP63" s="42"/>
    </row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51" customHeight="1"/>
    <row r="107" ht="46.5" customHeight="1"/>
    <row r="108" ht="46.5" customHeight="1"/>
    <row r="111" ht="27" customHeight="1"/>
    <row r="112" ht="24" customHeight="1"/>
  </sheetData>
  <mergeCells count="18">
    <mergeCell ref="T11:T12"/>
    <mergeCell ref="U11:U12"/>
    <mergeCell ref="V11:V12"/>
    <mergeCell ref="S11:S12"/>
    <mergeCell ref="Q11:Q12"/>
    <mergeCell ref="R11:R12"/>
    <mergeCell ref="P11:P12"/>
    <mergeCell ref="A11:A12"/>
    <mergeCell ref="B11:B12"/>
    <mergeCell ref="C11:C12"/>
    <mergeCell ref="D11:D12"/>
    <mergeCell ref="E11:F11"/>
    <mergeCell ref="G11:G12"/>
    <mergeCell ref="H11:H12"/>
    <mergeCell ref="I11:L11"/>
    <mergeCell ref="M11:M12"/>
    <mergeCell ref="N11:N12"/>
    <mergeCell ref="O11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GIA CONG LAMINATE</vt:lpstr>
      <vt:lpstr>LENH GIA CONG TAM</vt:lpstr>
      <vt:lpstr>DH</vt:lpstr>
      <vt:lpstr>'LENH GIA CONG TAM'!Print_Area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Hường Nt</cp:lastModifiedBy>
  <cp:lastPrinted>2024-11-15T03:57:56Z</cp:lastPrinted>
  <dcterms:created xsi:type="dcterms:W3CDTF">2019-03-01T08:17:59Z</dcterms:created>
  <dcterms:modified xsi:type="dcterms:W3CDTF">2026-06-18T09:51:49Z</dcterms:modified>
</cp:coreProperties>
</file>