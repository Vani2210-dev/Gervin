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E80EC38-8E3E-4474-A6C8-9044F1E707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nh_Sach_Ton_Kho" sheetId="1" r:id="rId1"/>
  </sheets>
  <externalReferences>
    <externalReference r:id="rId2"/>
  </externalReferences>
  <definedNames>
    <definedName name="_xlnm._FilterDatabase" localSheetId="0" hidden="1">Danh_Sach_Ton_Kho!$A$3:$O$648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6" i="1"/>
  <c r="D22" i="1"/>
  <c r="D28" i="1"/>
  <c r="D34" i="1"/>
  <c r="D40" i="1"/>
  <c r="D46" i="1"/>
  <c r="D52" i="1"/>
  <c r="D58" i="1"/>
  <c r="D64" i="1"/>
  <c r="D70" i="1"/>
  <c r="D76" i="1"/>
  <c r="D82" i="1"/>
  <c r="D88" i="1"/>
  <c r="D94" i="1"/>
  <c r="D100" i="1"/>
  <c r="D106" i="1"/>
  <c r="D112" i="1"/>
  <c r="D118" i="1"/>
  <c r="D124" i="1"/>
  <c r="D130" i="1"/>
  <c r="D136" i="1"/>
  <c r="D142" i="1"/>
  <c r="D148" i="1"/>
  <c r="D154" i="1"/>
  <c r="D160" i="1"/>
  <c r="D166" i="1"/>
  <c r="D172" i="1"/>
  <c r="D178" i="1"/>
  <c r="D184" i="1"/>
  <c r="D190" i="1"/>
  <c r="D196" i="1"/>
  <c r="D202" i="1"/>
  <c r="D208" i="1"/>
  <c r="D214" i="1"/>
  <c r="D220" i="1"/>
  <c r="D226" i="1"/>
  <c r="D232" i="1"/>
  <c r="D238" i="1"/>
  <c r="D244" i="1"/>
  <c r="D250" i="1"/>
  <c r="D256" i="1"/>
  <c r="D262" i="1"/>
  <c r="D268" i="1"/>
  <c r="D274" i="1"/>
  <c r="D280" i="1"/>
  <c r="D286" i="1"/>
  <c r="D292" i="1"/>
  <c r="D298" i="1"/>
  <c r="D304" i="1"/>
  <c r="D310" i="1"/>
  <c r="D316" i="1"/>
  <c r="D322" i="1"/>
  <c r="D328" i="1"/>
  <c r="D334" i="1"/>
  <c r="D340" i="1"/>
  <c r="D346" i="1"/>
  <c r="D352" i="1"/>
  <c r="D358" i="1"/>
  <c r="D364" i="1"/>
  <c r="D370" i="1"/>
  <c r="D376" i="1"/>
  <c r="D382" i="1"/>
  <c r="D388" i="1"/>
  <c r="D394" i="1"/>
  <c r="D400" i="1"/>
  <c r="D406" i="1"/>
  <c r="D412" i="1"/>
  <c r="D418" i="1"/>
  <c r="D424" i="1"/>
  <c r="D430" i="1"/>
  <c r="D436" i="1"/>
  <c r="D442" i="1"/>
  <c r="D448" i="1"/>
  <c r="D454" i="1"/>
  <c r="D460" i="1"/>
  <c r="D466" i="1"/>
  <c r="D472" i="1"/>
  <c r="D478" i="1"/>
  <c r="D484" i="1"/>
  <c r="D490" i="1"/>
  <c r="D496" i="1"/>
  <c r="D502" i="1"/>
  <c r="D508" i="1"/>
  <c r="D514" i="1"/>
  <c r="D520" i="1"/>
  <c r="D526" i="1"/>
  <c r="D532" i="1"/>
  <c r="D538" i="1"/>
  <c r="D544" i="1"/>
  <c r="D550" i="1"/>
  <c r="D556" i="1"/>
  <c r="D562" i="1"/>
  <c r="D568" i="1"/>
  <c r="D574" i="1"/>
  <c r="D580" i="1"/>
  <c r="D586" i="1"/>
  <c r="D592" i="1"/>
  <c r="D598" i="1"/>
  <c r="D604" i="1"/>
  <c r="D610" i="1"/>
  <c r="D616" i="1"/>
  <c r="D622" i="1"/>
  <c r="D628" i="1"/>
  <c r="D634" i="1"/>
  <c r="D640" i="1"/>
  <c r="D646" i="1"/>
  <c r="D647" i="1"/>
  <c r="D4" i="1"/>
  <c r="E10" i="1"/>
  <c r="E16" i="1"/>
  <c r="E22" i="1"/>
  <c r="E28" i="1"/>
  <c r="E34" i="1"/>
  <c r="E40" i="1"/>
  <c r="E46" i="1"/>
  <c r="E52" i="1"/>
  <c r="E58" i="1"/>
  <c r="E64" i="1"/>
  <c r="E70" i="1"/>
  <c r="E76" i="1"/>
  <c r="E82" i="1"/>
  <c r="E88" i="1"/>
  <c r="E94" i="1"/>
  <c r="E100" i="1"/>
  <c r="E106" i="1"/>
  <c r="E112" i="1"/>
  <c r="E118" i="1"/>
  <c r="E124" i="1"/>
  <c r="E130" i="1"/>
  <c r="E136" i="1"/>
  <c r="E142" i="1"/>
  <c r="E148" i="1"/>
  <c r="E154" i="1"/>
  <c r="E160" i="1"/>
  <c r="E166" i="1"/>
  <c r="E172" i="1"/>
  <c r="E178" i="1"/>
  <c r="E184" i="1"/>
  <c r="E190" i="1"/>
  <c r="E196" i="1"/>
  <c r="E202" i="1"/>
  <c r="E208" i="1"/>
  <c r="E214" i="1"/>
  <c r="E220" i="1"/>
  <c r="E226" i="1"/>
  <c r="E232" i="1"/>
  <c r="E238" i="1"/>
  <c r="E244" i="1"/>
  <c r="E250" i="1"/>
  <c r="E256" i="1"/>
  <c r="E262" i="1"/>
  <c r="E268" i="1"/>
  <c r="E274" i="1"/>
  <c r="E280" i="1"/>
  <c r="E286" i="1"/>
  <c r="E292" i="1"/>
  <c r="E298" i="1"/>
  <c r="E304" i="1"/>
  <c r="E310" i="1"/>
  <c r="E316" i="1"/>
  <c r="E322" i="1"/>
  <c r="E328" i="1"/>
  <c r="E334" i="1"/>
  <c r="E340" i="1"/>
  <c r="E346" i="1"/>
  <c r="E352" i="1"/>
  <c r="E358" i="1"/>
  <c r="E364" i="1"/>
  <c r="E370" i="1"/>
  <c r="E376" i="1"/>
  <c r="E382" i="1"/>
  <c r="E388" i="1"/>
  <c r="E394" i="1"/>
  <c r="E400" i="1"/>
  <c r="E406" i="1"/>
  <c r="E412" i="1"/>
  <c r="E418" i="1"/>
  <c r="E424" i="1"/>
  <c r="E430" i="1"/>
  <c r="E436" i="1"/>
  <c r="E442" i="1"/>
  <c r="E448" i="1"/>
  <c r="E454" i="1"/>
  <c r="E460" i="1"/>
  <c r="E466" i="1"/>
  <c r="E472" i="1"/>
  <c r="E478" i="1"/>
  <c r="E484" i="1"/>
  <c r="E490" i="1"/>
  <c r="E496" i="1"/>
  <c r="E502" i="1"/>
  <c r="E508" i="1"/>
  <c r="E514" i="1"/>
  <c r="E520" i="1"/>
  <c r="E526" i="1"/>
  <c r="E532" i="1"/>
  <c r="E538" i="1"/>
  <c r="E544" i="1"/>
  <c r="E550" i="1"/>
  <c r="E556" i="1"/>
  <c r="E562" i="1"/>
  <c r="E568" i="1"/>
  <c r="E574" i="1"/>
  <c r="E580" i="1"/>
  <c r="E586" i="1"/>
  <c r="E592" i="1"/>
  <c r="E598" i="1"/>
  <c r="E604" i="1"/>
  <c r="E610" i="1"/>
  <c r="E616" i="1"/>
  <c r="E622" i="1"/>
  <c r="E628" i="1"/>
  <c r="E634" i="1"/>
  <c r="E640" i="1"/>
  <c r="E646" i="1"/>
  <c r="E647" i="1"/>
  <c r="E4" i="1"/>
  <c r="I648" i="1"/>
  <c r="H333" i="1"/>
  <c r="H360" i="1"/>
  <c r="H24" i="1"/>
  <c r="H48" i="1"/>
  <c r="H428" i="1"/>
  <c r="H29" i="1"/>
  <c r="H647" i="1"/>
  <c r="H635" i="1"/>
  <c r="H638" i="1"/>
  <c r="H640" i="1"/>
  <c r="H641" i="1"/>
  <c r="H644" i="1"/>
  <c r="H646" i="1"/>
  <c r="H5" i="1" l="1"/>
  <c r="H8" i="1"/>
  <c r="H10" i="1"/>
  <c r="H11" i="1"/>
  <c r="H4" i="1"/>
  <c r="H14" i="1"/>
  <c r="H16" i="1"/>
  <c r="H17" i="1"/>
  <c r="H20" i="1"/>
  <c r="H22" i="1"/>
  <c r="H23" i="1"/>
  <c r="H26" i="1"/>
  <c r="H28" i="1"/>
  <c r="H34" i="1"/>
  <c r="H35" i="1"/>
  <c r="H40" i="1"/>
  <c r="H41" i="1"/>
  <c r="H44" i="1"/>
  <c r="H46" i="1"/>
  <c r="H47" i="1"/>
  <c r="H50" i="1"/>
  <c r="H52" i="1"/>
  <c r="H53" i="1"/>
  <c r="H56" i="1"/>
  <c r="H58" i="1"/>
  <c r="H59" i="1"/>
  <c r="H62" i="1"/>
  <c r="H64" i="1"/>
  <c r="H65" i="1"/>
  <c r="H68" i="1"/>
  <c r="H70" i="1"/>
  <c r="H71" i="1"/>
  <c r="H74" i="1"/>
  <c r="H76" i="1"/>
  <c r="H77" i="1"/>
  <c r="H80" i="1"/>
  <c r="H82" i="1"/>
  <c r="H83" i="1"/>
  <c r="H86" i="1"/>
  <c r="H88" i="1"/>
  <c r="H89" i="1"/>
  <c r="H92" i="1"/>
  <c r="H94" i="1"/>
  <c r="H95" i="1"/>
  <c r="H98" i="1"/>
  <c r="H100" i="1"/>
  <c r="H101" i="1"/>
  <c r="H104" i="1"/>
  <c r="H106" i="1"/>
  <c r="H107" i="1"/>
  <c r="H110" i="1"/>
  <c r="H112" i="1"/>
  <c r="H113" i="1"/>
  <c r="H116" i="1"/>
  <c r="H118" i="1"/>
  <c r="H119" i="1"/>
  <c r="H122" i="1"/>
  <c r="H124" i="1"/>
  <c r="H125" i="1"/>
  <c r="H128" i="1"/>
  <c r="H130" i="1"/>
  <c r="H131" i="1"/>
  <c r="H134" i="1"/>
  <c r="H136" i="1"/>
  <c r="H137" i="1"/>
  <c r="H140" i="1"/>
  <c r="H142" i="1"/>
  <c r="H143" i="1"/>
  <c r="H146" i="1"/>
  <c r="H148" i="1"/>
  <c r="H149" i="1"/>
  <c r="H152" i="1"/>
  <c r="H154" i="1"/>
  <c r="H155" i="1"/>
  <c r="H158" i="1"/>
  <c r="H160" i="1"/>
  <c r="H161" i="1"/>
  <c r="H164" i="1"/>
  <c r="H166" i="1"/>
  <c r="H167" i="1"/>
  <c r="H170" i="1"/>
  <c r="H172" i="1"/>
  <c r="H173" i="1"/>
  <c r="H176" i="1"/>
  <c r="H178" i="1"/>
  <c r="H179" i="1"/>
  <c r="H182" i="1"/>
  <c r="H184" i="1"/>
  <c r="H185" i="1"/>
  <c r="H188" i="1"/>
  <c r="H190" i="1"/>
  <c r="H191" i="1"/>
  <c r="H194" i="1"/>
  <c r="H196" i="1"/>
  <c r="H197" i="1"/>
  <c r="H200" i="1"/>
  <c r="H202" i="1"/>
  <c r="H203" i="1"/>
  <c r="H206" i="1"/>
  <c r="H208" i="1"/>
  <c r="H209" i="1"/>
  <c r="H212" i="1"/>
  <c r="H214" i="1"/>
  <c r="H215" i="1"/>
  <c r="H218" i="1"/>
  <c r="H220" i="1"/>
  <c r="H221" i="1"/>
  <c r="H224" i="1"/>
  <c r="H226" i="1"/>
  <c r="H227" i="1"/>
  <c r="H230" i="1"/>
  <c r="H232" i="1"/>
  <c r="H233" i="1"/>
  <c r="H236" i="1"/>
  <c r="H238" i="1"/>
  <c r="H239" i="1"/>
  <c r="H242" i="1"/>
  <c r="H244" i="1"/>
  <c r="H245" i="1"/>
  <c r="H248" i="1"/>
  <c r="H250" i="1"/>
  <c r="H251" i="1"/>
  <c r="H254" i="1"/>
  <c r="H256" i="1"/>
  <c r="H257" i="1"/>
  <c r="H260" i="1"/>
  <c r="H262" i="1"/>
  <c r="H263" i="1"/>
  <c r="H266" i="1"/>
  <c r="H268" i="1"/>
  <c r="H269" i="1"/>
  <c r="H272" i="1"/>
  <c r="H274" i="1"/>
  <c r="H275" i="1"/>
  <c r="H278" i="1"/>
  <c r="H280" i="1"/>
  <c r="H281" i="1"/>
  <c r="H284" i="1"/>
  <c r="H286" i="1"/>
  <c r="H287" i="1"/>
  <c r="H290" i="1"/>
  <c r="H292" i="1"/>
  <c r="H293" i="1"/>
  <c r="H296" i="1"/>
  <c r="H298" i="1"/>
  <c r="H299" i="1"/>
  <c r="H302" i="1"/>
  <c r="H304" i="1"/>
  <c r="H305" i="1"/>
  <c r="H308" i="1"/>
  <c r="H310" i="1"/>
  <c r="H311" i="1"/>
  <c r="H314" i="1"/>
  <c r="H316" i="1"/>
  <c r="H317" i="1"/>
  <c r="H320" i="1"/>
  <c r="H322" i="1"/>
  <c r="H323" i="1"/>
  <c r="H326" i="1"/>
  <c r="H328" i="1"/>
  <c r="H329" i="1"/>
  <c r="H332" i="1"/>
  <c r="H334" i="1"/>
  <c r="H335" i="1"/>
  <c r="H338" i="1"/>
  <c r="H340" i="1"/>
  <c r="H341" i="1"/>
  <c r="H344" i="1"/>
  <c r="H346" i="1"/>
  <c r="H347" i="1"/>
  <c r="H350" i="1"/>
  <c r="H352" i="1"/>
  <c r="H353" i="1"/>
  <c r="H356" i="1"/>
  <c r="H358" i="1"/>
  <c r="H359" i="1"/>
  <c r="H362" i="1"/>
  <c r="H364" i="1"/>
  <c r="H365" i="1"/>
  <c r="H368" i="1"/>
  <c r="H370" i="1"/>
  <c r="H371" i="1"/>
  <c r="H374" i="1"/>
  <c r="H376" i="1"/>
  <c r="H377" i="1"/>
  <c r="H380" i="1"/>
  <c r="H382" i="1"/>
  <c r="H383" i="1"/>
  <c r="H386" i="1"/>
  <c r="H388" i="1"/>
  <c r="H389" i="1"/>
  <c r="H392" i="1"/>
  <c r="H394" i="1"/>
  <c r="H395" i="1"/>
  <c r="H398" i="1"/>
  <c r="H400" i="1"/>
  <c r="H401" i="1"/>
  <c r="H404" i="1"/>
  <c r="H406" i="1"/>
  <c r="H407" i="1"/>
  <c r="H410" i="1"/>
  <c r="H412" i="1"/>
  <c r="H413" i="1"/>
  <c r="H416" i="1"/>
  <c r="H418" i="1"/>
  <c r="H419" i="1"/>
  <c r="H422" i="1"/>
  <c r="H424" i="1"/>
  <c r="H430" i="1"/>
  <c r="H431" i="1"/>
  <c r="H434" i="1"/>
  <c r="H436" i="1"/>
  <c r="H437" i="1"/>
  <c r="H440" i="1"/>
  <c r="H442" i="1"/>
  <c r="H443" i="1"/>
  <c r="H446" i="1"/>
  <c r="H448" i="1"/>
  <c r="H449" i="1"/>
  <c r="H452" i="1"/>
  <c r="H454" i="1"/>
  <c r="H455" i="1"/>
  <c r="H458" i="1"/>
  <c r="H460" i="1"/>
  <c r="H461" i="1"/>
  <c r="H464" i="1"/>
  <c r="H466" i="1"/>
  <c r="H467" i="1"/>
  <c r="H470" i="1"/>
  <c r="H472" i="1"/>
  <c r="H473" i="1"/>
  <c r="H476" i="1"/>
  <c r="H478" i="1"/>
  <c r="H479" i="1"/>
  <c r="H482" i="1"/>
  <c r="H484" i="1"/>
  <c r="H485" i="1"/>
  <c r="H488" i="1"/>
  <c r="H490" i="1"/>
  <c r="H491" i="1"/>
  <c r="H494" i="1"/>
  <c r="H496" i="1"/>
  <c r="H497" i="1"/>
  <c r="H500" i="1"/>
  <c r="H502" i="1"/>
  <c r="H503" i="1"/>
  <c r="H506" i="1"/>
  <c r="H508" i="1"/>
  <c r="H509" i="1"/>
  <c r="H512" i="1"/>
  <c r="H514" i="1"/>
  <c r="H515" i="1"/>
  <c r="H518" i="1"/>
  <c r="H520" i="1"/>
  <c r="H521" i="1"/>
  <c r="H524" i="1"/>
  <c r="H526" i="1"/>
  <c r="H527" i="1"/>
  <c r="H530" i="1"/>
  <c r="H532" i="1"/>
  <c r="H533" i="1"/>
  <c r="H536" i="1"/>
  <c r="H538" i="1"/>
  <c r="H539" i="1"/>
  <c r="H542" i="1"/>
  <c r="H544" i="1"/>
  <c r="H545" i="1"/>
  <c r="H548" i="1"/>
  <c r="H550" i="1"/>
  <c r="H551" i="1"/>
  <c r="H554" i="1"/>
  <c r="H556" i="1"/>
  <c r="H557" i="1"/>
  <c r="H560" i="1"/>
  <c r="H562" i="1"/>
  <c r="H563" i="1"/>
  <c r="H566" i="1"/>
  <c r="H568" i="1"/>
  <c r="H569" i="1"/>
  <c r="H572" i="1"/>
  <c r="H574" i="1"/>
  <c r="H575" i="1"/>
  <c r="H578" i="1"/>
  <c r="H580" i="1"/>
  <c r="H581" i="1"/>
  <c r="H584" i="1"/>
  <c r="H586" i="1"/>
  <c r="H587" i="1"/>
  <c r="H590" i="1"/>
  <c r="H592" i="1"/>
  <c r="H593" i="1"/>
  <c r="H596" i="1"/>
  <c r="H598" i="1"/>
  <c r="H599" i="1"/>
  <c r="H602" i="1"/>
  <c r="H604" i="1"/>
  <c r="H605" i="1"/>
  <c r="H608" i="1"/>
  <c r="H610" i="1"/>
  <c r="H611" i="1"/>
  <c r="H614" i="1"/>
  <c r="H616" i="1"/>
  <c r="H617" i="1"/>
  <c r="H620" i="1"/>
  <c r="H622" i="1"/>
  <c r="H623" i="1"/>
  <c r="H626" i="1"/>
  <c r="H628" i="1"/>
  <c r="H629" i="1"/>
  <c r="H632" i="1"/>
  <c r="H634" i="1"/>
  <c r="H648" i="1" l="1"/>
</calcChain>
</file>

<file path=xl/sharedStrings.xml><?xml version="1.0" encoding="utf-8"?>
<sst xmlns="http://schemas.openxmlformats.org/spreadsheetml/2006/main" count="2586" uniqueCount="1305">
  <si>
    <t>STT</t>
  </si>
  <si>
    <t>Mã SKU</t>
  </si>
  <si>
    <t>Tên hàng hóa / vật tư</t>
  </si>
  <si>
    <t>Mã xuất xứ</t>
  </si>
  <si>
    <t>Nhóm hàng</t>
  </si>
  <si>
    <t>ĐVT</t>
  </si>
  <si>
    <t>GV01**</t>
  </si>
  <si>
    <t>Tấm GV01** - Acrylic Foil</t>
  </si>
  <si>
    <t>Acrylic Foil</t>
  </si>
  <si>
    <t>Tấm</t>
  </si>
  <si>
    <t>GV01**.TP</t>
  </si>
  <si>
    <t>Tấm GV01** - MDF 1 mặt Acrylic 1 mặt Bakerlic</t>
  </si>
  <si>
    <t>MDF 1 mặt Acrylic 1 mặt Bakerlic</t>
  </si>
  <si>
    <t>GV01**.TP.2M</t>
  </si>
  <si>
    <t>Tấm GV01** - MDF 2 mặt Acrylic</t>
  </si>
  <si>
    <t>MDF 2 mặt Acrylic</t>
  </si>
  <si>
    <t>GV01**.TP.PVC.1M</t>
  </si>
  <si>
    <t>Tấm GV01** - PVC 1 mặt Acrylic</t>
  </si>
  <si>
    <t>PVC 1 mặt Acrylic</t>
  </si>
  <si>
    <t>GV01**.TP.PVC</t>
  </si>
  <si>
    <t>Tấm GV01** - Cốt Nhựa 1 mặt Acrylic chống cong</t>
  </si>
  <si>
    <t>PVC 1 mặt Acrylic 1 mặt Bakerlic</t>
  </si>
  <si>
    <t>GV01**.TP.PVC.2M</t>
  </si>
  <si>
    <t>Tấm GV01** - PVC 2 mặt Acrylic</t>
  </si>
  <si>
    <t>PVC 2 mặt Acrylic</t>
  </si>
  <si>
    <t>GV02**</t>
  </si>
  <si>
    <t>Tấm GV02** - Acrylic Foil</t>
  </si>
  <si>
    <t>GV02**.TP</t>
  </si>
  <si>
    <t>Tấm GV02** - MDF 1 mặt Acrylic 1 mặt Bakerlic</t>
  </si>
  <si>
    <t>GV02**.TP.2M</t>
  </si>
  <si>
    <t>Tấm GV02** - MDF 2 mặt Acrylic</t>
  </si>
  <si>
    <t>GV02**.TP.PVC.1M</t>
  </si>
  <si>
    <t>Tấm GV02** - PVC 1 mặt Acrylic</t>
  </si>
  <si>
    <t>GV02**.TP.PVC</t>
  </si>
  <si>
    <t>Tấm GV02** - Cốt Nhựa 1 mặt Acrylic chống cong</t>
  </si>
  <si>
    <t>GV02**.TP.PVC.2M</t>
  </si>
  <si>
    <t>Tấm GV02** - PVC 2 mặt Acrylic</t>
  </si>
  <si>
    <t>GV03**</t>
  </si>
  <si>
    <t>Tấm GV03** - Acrylic Foil</t>
  </si>
  <si>
    <t>GV03**.TP</t>
  </si>
  <si>
    <t>Tấm GV03** - MDF 1 mặt Acrylic 1 mặt Bakerlic</t>
  </si>
  <si>
    <t>GV03**.TP.2M</t>
  </si>
  <si>
    <t>Tấm GV03** - MDF 2 mặt Acrylic</t>
  </si>
  <si>
    <t>GV03**.TP.PVC.1M</t>
  </si>
  <si>
    <t>Tấm GV03** - PVC 1 mặt Acrylic</t>
  </si>
  <si>
    <t>GV03**.TP.PVC</t>
  </si>
  <si>
    <t>Tấm GV03** - Cốt Nhựa 1 mặt Acrylic chống cong</t>
  </si>
  <si>
    <t>GV03**.TP.PVC.2M</t>
  </si>
  <si>
    <t>Tấm GV03** - PVC 2 mặt Acrylic</t>
  </si>
  <si>
    <t>GV04**</t>
  </si>
  <si>
    <t>Tấm GV04** - Acrylic Foil</t>
  </si>
  <si>
    <t>GV04**.TP</t>
  </si>
  <si>
    <t>Tấm GV04** - MDF 1 mặt Acrylic 1 mặt Bakerlic</t>
  </si>
  <si>
    <t>GV04**.TP.2M</t>
  </si>
  <si>
    <t>Tấm GV04** - MDF 2 mặt Acrylic</t>
  </si>
  <si>
    <t>GV04**.TP.PVC.1M</t>
  </si>
  <si>
    <t>Tấm GV04** - PVC 1 mặt Acrylic</t>
  </si>
  <si>
    <t>GV04**.TP.PVC</t>
  </si>
  <si>
    <t>Tấm GV04** - Cốt Nhựa 1 mặt Acrylic chống cong</t>
  </si>
  <si>
    <t>GV04**.TP.PVC.2M</t>
  </si>
  <si>
    <t>Tấm GV04** - PVC 2 mặt Acrylic</t>
  </si>
  <si>
    <t>GV05</t>
  </si>
  <si>
    <t>Tấm GV05 - Acrylic Foil</t>
  </si>
  <si>
    <t>GV05.TP</t>
  </si>
  <si>
    <t>Tấm GV05 - MDF 1 mặt Acrylic 1 mặt Bakerlic</t>
  </si>
  <si>
    <t>GV05.TP.2M</t>
  </si>
  <si>
    <t>Tấm GV05 - MDF 2 mặt Acrylic</t>
  </si>
  <si>
    <t>GV05.TP.PVC.1M</t>
  </si>
  <si>
    <t>Tấm GV05 - PVC 1 mặt Acrylic</t>
  </si>
  <si>
    <t>GV05.TP.PVC</t>
  </si>
  <si>
    <t>Tấm GV05 - Cốt Nhựa 1 mặt Acrylic chống cong</t>
  </si>
  <si>
    <t>GV05.TP.PVC.2M</t>
  </si>
  <si>
    <t>Tấm GV05 - PVC 2 mặt Acrylic</t>
  </si>
  <si>
    <t>GV06</t>
  </si>
  <si>
    <t>Tấm GV06 - Acrylic Foil</t>
  </si>
  <si>
    <t>GV06.TP</t>
  </si>
  <si>
    <t>Tấm GV06 - MDF 1 mặt Acrylic 1 mặt Bakerlic</t>
  </si>
  <si>
    <t>GV06.TP.2M</t>
  </si>
  <si>
    <t>Tấm GV06 - MDF 2 mặt Acrylic</t>
  </si>
  <si>
    <t>GV06.TP.PVC.1M</t>
  </si>
  <si>
    <t>Tấm GV06 - PVC 1 mặt Acrylic</t>
  </si>
  <si>
    <t>GV06.TP.PVC</t>
  </si>
  <si>
    <t>Tấm GV06 - Cốt Nhựa 1 mặt Acrylic chống cong</t>
  </si>
  <si>
    <t>GV06.TP.PVC.2M</t>
  </si>
  <si>
    <t>Tấm GV06 - PVC 2 mặt Acrylic</t>
  </si>
  <si>
    <t>GV07</t>
  </si>
  <si>
    <t>Tấm GV07 - Acrylic Foil</t>
  </si>
  <si>
    <t>GV07.TP</t>
  </si>
  <si>
    <t>Tấm GV07 - MDF 1 mặt Acrylic 1 mặt Bakerlic</t>
  </si>
  <si>
    <t>GV07.TP.2M</t>
  </si>
  <si>
    <t>Tấm GV07 - MDF 2 mặt Acrylic</t>
  </si>
  <si>
    <t>GV07.TP.PVC.1M</t>
  </si>
  <si>
    <t>Tấm GV07 - PVC 1 mặt Acrylic</t>
  </si>
  <si>
    <t>GV07.TP.PVC</t>
  </si>
  <si>
    <t>Tấm GV07 - Cốt Nhựa 1 mặt Acrylic chống cong</t>
  </si>
  <si>
    <t>GV07.TP.PVC.2M</t>
  </si>
  <si>
    <t>Tấm GV07 - PVC 2 mặt Acrylic</t>
  </si>
  <si>
    <t>GV08</t>
  </si>
  <si>
    <t>Tấm GV08 - Acrylic Foil</t>
  </si>
  <si>
    <t>GV08.TP</t>
  </si>
  <si>
    <t>Tấm GV08 - MDF 1 mặt Acrylic 1 mặt Bakerlic</t>
  </si>
  <si>
    <t>GV08.TP.2M</t>
  </si>
  <si>
    <t>Tấm GV08 - MDF 2 mặt Acrylic</t>
  </si>
  <si>
    <t>GV08.TP.PVC.1M</t>
  </si>
  <si>
    <t>Tấm GV08 - PVC 1 mặt Acrylic</t>
  </si>
  <si>
    <t>GV08.TP.PVC</t>
  </si>
  <si>
    <t>Tấm GV08 - Cốt Nhựa 1 mặt Acrylic chống cong</t>
  </si>
  <si>
    <t>GV08.TP.PVC.2M</t>
  </si>
  <si>
    <t>Tấm GV08 - PVC 2 mặt Acrylic</t>
  </si>
  <si>
    <t>GV09**</t>
  </si>
  <si>
    <t>Tấm GV09** - Acrylic Foil</t>
  </si>
  <si>
    <t>GV09**.TP</t>
  </si>
  <si>
    <t>Tấm GV09** - MDF 1 mặt Acrylic 1 mặt Bakerlic</t>
  </si>
  <si>
    <t>GV09**.TP.2M</t>
  </si>
  <si>
    <t>Tấm GV09** - MDF 2 mặt Acrylic</t>
  </si>
  <si>
    <t>GV09**.TP.PVC.1M</t>
  </si>
  <si>
    <t>Tấm GV09** - PVC 1 mặt Acrylic</t>
  </si>
  <si>
    <t>GV09**.TP.PVC</t>
  </si>
  <si>
    <t>Tấm GV09** - Cốt Nhựa 1 mặt Acrylic chống cong</t>
  </si>
  <si>
    <t>GV09**.TP.PVC.2M</t>
  </si>
  <si>
    <t>Tấm GV09** - PVC 2 mặt Acrylic</t>
  </si>
  <si>
    <t>GV10**</t>
  </si>
  <si>
    <t>Tấm GV10** - Acrylic Foil</t>
  </si>
  <si>
    <t>GV10**.TP</t>
  </si>
  <si>
    <t>Tấm GV10** - MDF 1 mặt Acrylic 1 mặt Bakerlic</t>
  </si>
  <si>
    <t>GV10**.TP.2M</t>
  </si>
  <si>
    <t>Tấm GV10** - MDF 2 mặt Acrylic</t>
  </si>
  <si>
    <t>GV10**.TP.PVC.1M</t>
  </si>
  <si>
    <t>Tấm GV10** - PVC 1 mặt Acrylic</t>
  </si>
  <si>
    <t>GV10**.TP.PVC</t>
  </si>
  <si>
    <t>Tấm GV10** - Cốt Nhựa 1 mặt Acrylic chống cong</t>
  </si>
  <si>
    <t>GV10**.TP.PVC.2M</t>
  </si>
  <si>
    <t>Tấm GV10** - PVC 2 mặt Acrylic</t>
  </si>
  <si>
    <t>GV100*</t>
  </si>
  <si>
    <t>Tấm GV100* - Acrylic Foil</t>
  </si>
  <si>
    <t>GV100*.TP</t>
  </si>
  <si>
    <t>Tấm GV100* - MDF 1 mặt Acrylic 1 mặt Bakerlic</t>
  </si>
  <si>
    <t>GV100*.TP.2M</t>
  </si>
  <si>
    <t>Tấm GV100* - MDF 2 mặt Acrylic</t>
  </si>
  <si>
    <t>GV100*.TP.PVC.1M</t>
  </si>
  <si>
    <t>Tấm GV100* - PVC 1 mặt Acrylic</t>
  </si>
  <si>
    <t>GV100*.TP.PVC</t>
  </si>
  <si>
    <t>Tấm GV100* - Cốt Nhựa 1 mặt Acrylic chống cong</t>
  </si>
  <si>
    <t>GV100*.TP.PVC.2M</t>
  </si>
  <si>
    <t>Tấm GV100* - PVC 2 mặt Acrylic</t>
  </si>
  <si>
    <t>GV102*</t>
  </si>
  <si>
    <t>Tấm GV102* - Acrylic Foil</t>
  </si>
  <si>
    <t>GV102*.TP</t>
  </si>
  <si>
    <t>Tấm GV102* - MDF 1 mặt Acrylic 1 mặt Bakerlic</t>
  </si>
  <si>
    <t>GV102*.TP.2M</t>
  </si>
  <si>
    <t>Tấm GV102* - MDF 2 mặt Acrylic</t>
  </si>
  <si>
    <t>GV102*.TP.PVC.1M</t>
  </si>
  <si>
    <t>Tấm GV102* - PVC 1 mặt Acrylic</t>
  </si>
  <si>
    <t>GV102*.TP.PVC</t>
  </si>
  <si>
    <t>Tấm GV102* - Cốt Nhựa 1 mặt Acrylic chống cong</t>
  </si>
  <si>
    <t>GV102*.TP.PVC.2M</t>
  </si>
  <si>
    <t>Tấm GV102* - PVC 2 mặt Acrylic</t>
  </si>
  <si>
    <t>GV104*</t>
  </si>
  <si>
    <t>Tấm GV104* - Acrylic Foil</t>
  </si>
  <si>
    <t>GV104*.TP</t>
  </si>
  <si>
    <t>Tấm GV104* - MDF 1 mặt Acrylic 1 mặt Bakerlic</t>
  </si>
  <si>
    <t>GV104*.TP.2M</t>
  </si>
  <si>
    <t>Tấm GV104* - MDF 2 mặt Acrylic</t>
  </si>
  <si>
    <t>GV104*.TP.PVC.1M</t>
  </si>
  <si>
    <t>Tấm GV104* - PVC 1 mặt Acrylic</t>
  </si>
  <si>
    <t>GV104*.TP.PVC</t>
  </si>
  <si>
    <t>Tấm GV104* - Cốt Nhựa 1 mặt Acrylic chống cong</t>
  </si>
  <si>
    <t>GV104*.TP.PVC.2M</t>
  </si>
  <si>
    <t>Tấm GV104* - PVC 2 mặt Acrylic</t>
  </si>
  <si>
    <t>GV105</t>
  </si>
  <si>
    <t>Tấm GV105 - Acrylic Foil</t>
  </si>
  <si>
    <t>GV105.TP</t>
  </si>
  <si>
    <t>Tấm GV105 - MDF 1 mặt Acrylic 1 mặt Bakerlic</t>
  </si>
  <si>
    <t>GV105.TP.2M</t>
  </si>
  <si>
    <t>Tấm GV105 - MDF 2 mặt Acrylic</t>
  </si>
  <si>
    <t>GV105.TP.PVC.1M</t>
  </si>
  <si>
    <t>Tấm GV105 - PVC 1 mặt Acrylic</t>
  </si>
  <si>
    <t>GV105.TP.PVC</t>
  </si>
  <si>
    <t>Tấm GV105 - Cốt Nhựa 1 mặt Acrylic chống cong</t>
  </si>
  <si>
    <t>GV105.TP.PVC.2M</t>
  </si>
  <si>
    <t>Tấm GV105 - PVC 2 mặt Acrylic</t>
  </si>
  <si>
    <t>GV106</t>
  </si>
  <si>
    <t>Tấm GV106 - Acrylic Foil</t>
  </si>
  <si>
    <t>GV106.TP</t>
  </si>
  <si>
    <t>Tấm GV106 - MDF 1 mặt Acrylic 1 mặt Bakerlic</t>
  </si>
  <si>
    <t>GV106.TP.2M</t>
  </si>
  <si>
    <t>Tấm GV106 - MDF 2 mặt Acrylic</t>
  </si>
  <si>
    <t>GV106.TP.PVC.1M</t>
  </si>
  <si>
    <t>Tấm GV106 - PVC 1 mặt Acrylic</t>
  </si>
  <si>
    <t>GV106.TP.PVC</t>
  </si>
  <si>
    <t>Tấm GV106 - Cốt Nhựa 1 mặt Acrylic chống cong</t>
  </si>
  <si>
    <t>GV106.TP.PVC.2M</t>
  </si>
  <si>
    <t>Tấm GV106 - PVC 2 mặt Acrylic</t>
  </si>
  <si>
    <t>GV107**</t>
  </si>
  <si>
    <t>Tấm GV107** - Acrylic Foil</t>
  </si>
  <si>
    <t>GV107**.TP</t>
  </si>
  <si>
    <t>Tấm GV107** - MDF 1 mặt Acrylic 1 mặt Bakerlic</t>
  </si>
  <si>
    <t>GV107**.TP.2M</t>
  </si>
  <si>
    <t>Tấm GV107** - MDF 2 mặt Acrylic</t>
  </si>
  <si>
    <t>GV107**.TP.PVC.1M</t>
  </si>
  <si>
    <t>Tấm GV107** - PVC 1 mặt Acrylic</t>
  </si>
  <si>
    <t>GV107**.TP.PVC</t>
  </si>
  <si>
    <t>Tấm GV107** - Cốt Nhựa 1 mặt Acrylic chống cong</t>
  </si>
  <si>
    <t>GV107**.TP.PVC.2M</t>
  </si>
  <si>
    <t>Tấm GV107** - PVC 2 mặt Acrylic</t>
  </si>
  <si>
    <t>GV108**</t>
  </si>
  <si>
    <t>Tấm GV108** - Acrylic Foil</t>
  </si>
  <si>
    <t>GV108**.TP</t>
  </si>
  <si>
    <t>Tấm GV108** - Tấm GV108** - MDF 1mặt Acrylic 1mặt Bakerlic</t>
  </si>
  <si>
    <t>GV108**.TP.2M</t>
  </si>
  <si>
    <t>Tấm GV108** - MDF 2 mặt Acrylic</t>
  </si>
  <si>
    <t>GV108**.TP.PVC.1M</t>
  </si>
  <si>
    <t>Tấm GV108** - PVC 1 mặt Acrylic</t>
  </si>
  <si>
    <t>GV108**.TP.PVC</t>
  </si>
  <si>
    <t>Tấm GV108** - Cốt Nhựa 1 mặt Acrylic chống cong</t>
  </si>
  <si>
    <t>GV108**.TP.PVC.2M</t>
  </si>
  <si>
    <t>Tấm GV108** - PVC 2 mặt Acrylic</t>
  </si>
  <si>
    <t>GV109**</t>
  </si>
  <si>
    <t>Tấm GV109** - Acrylic Foil</t>
  </si>
  <si>
    <t>GV109**.TP</t>
  </si>
  <si>
    <t>Tấm GV109** - MDF 1 mặt Acrylic 1 mặt Bakerlic</t>
  </si>
  <si>
    <t>GV109**.TP.2M</t>
  </si>
  <si>
    <t>Tấm GV109** - MDF 2 mặt Acrylic</t>
  </si>
  <si>
    <t>GV109**.TP.PVC.1M</t>
  </si>
  <si>
    <t>Tấm GV109** - PVC 1 mặt Acrylic</t>
  </si>
  <si>
    <t>GV109**.TP.PVC</t>
  </si>
  <si>
    <t>Tấm GV109** - Cốt Nhựa 1 mặt Acrylic chống cong</t>
  </si>
  <si>
    <t>GV109**.TP.PVC.2M</t>
  </si>
  <si>
    <t>Tấm GV109** - PVC 2 mặt Acrylic</t>
  </si>
  <si>
    <t>GV11**</t>
  </si>
  <si>
    <t>Tấm GV11** - Acrylic Foil</t>
  </si>
  <si>
    <t>GV11**.TP</t>
  </si>
  <si>
    <t>Tấm GV11** - MDF 1 mặt Acrylic 1 mặt Bakerlic</t>
  </si>
  <si>
    <t>GV11**.TP.2M</t>
  </si>
  <si>
    <t>Tấm GV11** - MDF 2 mặt Acrylic</t>
  </si>
  <si>
    <t>GV11**.TP.PVC.1M</t>
  </si>
  <si>
    <t>Tấm GV11** - PVC 1 mặt Acrylic</t>
  </si>
  <si>
    <t>GV11**.TP.PVC</t>
  </si>
  <si>
    <t>Tấm GV11** - Cốt Nhựa 1 mặt Acrylic chống cong</t>
  </si>
  <si>
    <t>GV11**.TP.PVC.2M</t>
  </si>
  <si>
    <t>Tấm GV11** - PVC 2 mặt Acrylic</t>
  </si>
  <si>
    <t>GV110**</t>
  </si>
  <si>
    <t>Tấm GV110** - Acrylic Foil</t>
  </si>
  <si>
    <t>GV110**.TP</t>
  </si>
  <si>
    <t>Tấm GV110** - MDF 1 mặt Acrylic 1 mặt Bakerlic</t>
  </si>
  <si>
    <t>GV110**.TP.2M</t>
  </si>
  <si>
    <t>Tấm GV110** - MDF 2 mặt Acrylic</t>
  </si>
  <si>
    <t>GV110**.TP.PVC.1M</t>
  </si>
  <si>
    <t>Tấm GV110** - PVC 1 mặt Acrylic</t>
  </si>
  <si>
    <t>GV110**.TP.PVC</t>
  </si>
  <si>
    <t>Tấm GV110** - Cốt Nhựa 1 mặt Acrylic chống cong</t>
  </si>
  <si>
    <t>GV110**.TP.PVC.2M</t>
  </si>
  <si>
    <t>Tấm GV110** - PVC 2 mặt Acrylic</t>
  </si>
  <si>
    <t>GV111**</t>
  </si>
  <si>
    <t>Tấm GV111** - Acrylic Foil</t>
  </si>
  <si>
    <t>GV111**.TP</t>
  </si>
  <si>
    <t>Tấm GV111** - MDF 1 mặt Acrylic 1 mặt Bakerlic</t>
  </si>
  <si>
    <t>GV111**.TP.2M</t>
  </si>
  <si>
    <t>Tấm GV111** - MDF 2 mặt Acrylic</t>
  </si>
  <si>
    <t>GV111**.TP.PVC.1M</t>
  </si>
  <si>
    <t>Tấm GV111** - PVC 1 mặt Acrylic</t>
  </si>
  <si>
    <t>GV111**.TP.PVC</t>
  </si>
  <si>
    <t>Tấm GV111** - Cốt Nhựa 1 mặt Acrylic chống cong</t>
  </si>
  <si>
    <t>GV111**.TP.PVC.2M</t>
  </si>
  <si>
    <t>Tấm GV111** - PVC 2 mặt Acrylic</t>
  </si>
  <si>
    <t>GV112**</t>
  </si>
  <si>
    <t>Tấm GV112** - Acrylic Foil</t>
  </si>
  <si>
    <t>GV112**.TP</t>
  </si>
  <si>
    <t>Tấm GV112** - MDF 1 mặt Acrylic 1 mặt Bakerlic</t>
  </si>
  <si>
    <t>GV112**.TP.2M</t>
  </si>
  <si>
    <t>Tấm GV112** - MDF 2 mặt Acrylic</t>
  </si>
  <si>
    <t>GV112**.TP.PVC.1M</t>
  </si>
  <si>
    <t>Tấm GV112** - PVC 1 mặt Acrylic</t>
  </si>
  <si>
    <t>GV112**.TP.PVC</t>
  </si>
  <si>
    <t>Tấm GV112** - Cốt Nhựa 1 mặt Acrylic chống cong</t>
  </si>
  <si>
    <t>GV112**.TP.PVC.2M</t>
  </si>
  <si>
    <t>Tấm GV112** - PVC 2 mặt Acrylic</t>
  </si>
  <si>
    <t>GV113**</t>
  </si>
  <si>
    <t>Tấm GV113** - Acrylic Foil</t>
  </si>
  <si>
    <t>GV113**.TP</t>
  </si>
  <si>
    <t>Tấm GV113** - MDF 1 mặt Acrylic 1 mặt Bakerlic</t>
  </si>
  <si>
    <t>GV113**.TP.2M</t>
  </si>
  <si>
    <t>Tấm GV113** - MDF 2 mặt Acrylic</t>
  </si>
  <si>
    <t>GV113**.TP.PVC.1M</t>
  </si>
  <si>
    <t>Tấm GV113** - PVC 1 mặt Acrylic</t>
  </si>
  <si>
    <t>GV113**.TP.PVC</t>
  </si>
  <si>
    <t>Tấm GV113** - Cốt Nhựa 1 mặt Acrylic chống cong</t>
  </si>
  <si>
    <t>GV113**.TP.PVC.2M</t>
  </si>
  <si>
    <t>Tấm GV113** - PVC 2 mặt Acrylic</t>
  </si>
  <si>
    <t>GV12**</t>
  </si>
  <si>
    <t>Tấm GV12** - Acrylic Foil</t>
  </si>
  <si>
    <t>GV12**.TP</t>
  </si>
  <si>
    <t>Tấm GV12** - MDF 1 mặt Acrylic 1 mặt Bakerlic</t>
  </si>
  <si>
    <t>GV12**.TP.2M</t>
  </si>
  <si>
    <t>Tấm GV12** - MDF 2 mặt Acrylic</t>
  </si>
  <si>
    <t>GV12**.TP.PVC.1M</t>
  </si>
  <si>
    <t>Tấm GV12** - PVC 1 mặt Acrylic</t>
  </si>
  <si>
    <t>GV12**.TP.PVC</t>
  </si>
  <si>
    <t>Tấm GV12** - Cốt Nhựa 1 mặt Acrylic chống cong</t>
  </si>
  <si>
    <t>GV12**.TP.PVC.2M</t>
  </si>
  <si>
    <t>Tấm GV12** - PVC 2 mặt Acrylic</t>
  </si>
  <si>
    <t>GV120</t>
  </si>
  <si>
    <t>Tấm GV120 - Acrylic Foil</t>
  </si>
  <si>
    <t>GV120.TP</t>
  </si>
  <si>
    <t>Tấm GV120 - MDF 1 mặt Acrylic 1 mặt Bakerlic</t>
  </si>
  <si>
    <t>GV120.TP.2M</t>
  </si>
  <si>
    <t>Tấm GV120 - MDF 2 mặt Acrylic</t>
  </si>
  <si>
    <t>GV120.TP.PVC.1M</t>
  </si>
  <si>
    <t>Tấm GV120 - PVC 1 mặt Acrylic</t>
  </si>
  <si>
    <t>GV120.TP.PVC</t>
  </si>
  <si>
    <t>Tấm GV120 - Cốt Nhựa 1 mặt Acrylic chống cong</t>
  </si>
  <si>
    <t>GV120.TP.PVC.2M</t>
  </si>
  <si>
    <t>Tấm GV120 - PVC 2 mặt Acrylic</t>
  </si>
  <si>
    <t>GV121</t>
  </si>
  <si>
    <t>Tấm GV121 - Acrylic Foil</t>
  </si>
  <si>
    <t>GV121.TP</t>
  </si>
  <si>
    <t>Tấm GV121 - MDF 1 mặt Acrylic 1 mặt Bakerlic</t>
  </si>
  <si>
    <t>GV121.TP.2M</t>
  </si>
  <si>
    <t>Tấm GV121 - MDF 2 mặt Acrylic</t>
  </si>
  <si>
    <t>GV121.TP.PVC.1M</t>
  </si>
  <si>
    <t>Tấm GV121 - PVC 1 mặt Acrylic</t>
  </si>
  <si>
    <t>GV121.TP.PVC</t>
  </si>
  <si>
    <t>Tấm GV121 - Cốt Nhựa 1 mặt Acrylic chống cong</t>
  </si>
  <si>
    <t>GV121.TP.PVC.2M</t>
  </si>
  <si>
    <t>Tấm GV121 - PVC 2 mặt Acrylic</t>
  </si>
  <si>
    <t>GV122</t>
  </si>
  <si>
    <t>Tấm GV122 - Acrylic Foil</t>
  </si>
  <si>
    <t>GV122.TP</t>
  </si>
  <si>
    <t>Tấm GV122 - MDF 1 mặt Acrylic 1 mặt Bakerlic</t>
  </si>
  <si>
    <t>GV122.TP.2M</t>
  </si>
  <si>
    <t>Tấm GV122 - MDF 2 mặt Acrylic</t>
  </si>
  <si>
    <t>GV122.TP.PVC.1M</t>
  </si>
  <si>
    <t>Tấm GV122 - PVC 1 mặt Acrylic</t>
  </si>
  <si>
    <t>GV122.TP.PVC</t>
  </si>
  <si>
    <t>Tấm GV122 - Cốt Nhựa 1 mặt Acrylic chống cong</t>
  </si>
  <si>
    <t>GV122.TP.PVC.2M</t>
  </si>
  <si>
    <t>Tấm GV122 - PVC 2 mặt Acrylic</t>
  </si>
  <si>
    <t>GV123</t>
  </si>
  <si>
    <t>Tấm GV123 - Acrylic Foil</t>
  </si>
  <si>
    <t>GV123.TP</t>
  </si>
  <si>
    <t>Tấm GV123 - MDF 1 mặt Acrylic 1 mặt Bakerlic</t>
  </si>
  <si>
    <t>GV123.TP.2M</t>
  </si>
  <si>
    <t>Tấm GV123 - MDF 2 mặt Acrylic</t>
  </si>
  <si>
    <t>GV123.TP.PVC.1M</t>
  </si>
  <si>
    <t>Tấm GV123 - PVC 1 mặt Acrylic</t>
  </si>
  <si>
    <t>GV123.TP.PVC</t>
  </si>
  <si>
    <t>Tấm GV123 - Cốt Nhựa 1 mặt Acrylic chống cong</t>
  </si>
  <si>
    <t>GV123.TP.PVC.2M</t>
  </si>
  <si>
    <t>Tấm GV123 - PVC 2 mặt Acrylic</t>
  </si>
  <si>
    <t>GV124</t>
  </si>
  <si>
    <t>Tấm GV124 - Acrylic Foil</t>
  </si>
  <si>
    <t>GV124.TP</t>
  </si>
  <si>
    <t>Tấm GV124 - MDF 1 mặt Acrylic 1 mặt Bakerlic</t>
  </si>
  <si>
    <t>GV124.TP.2M</t>
  </si>
  <si>
    <t>Tấm GV124 - MDF 2 mặt Acrylic</t>
  </si>
  <si>
    <t>GV124.TP.PVC.1M</t>
  </si>
  <si>
    <t>Tấm GV124 - PVC 1 mặt Acrylic</t>
  </si>
  <si>
    <t>GV124.TP.PVC</t>
  </si>
  <si>
    <t>Tấm GV124 - Cốt Nhựa 1 mặt Acrylic chống cong</t>
  </si>
  <si>
    <t>GV124.TP.PVC.2M</t>
  </si>
  <si>
    <t>Tấm GV124 - PVC 2 mặt Acrylic</t>
  </si>
  <si>
    <t>GV125</t>
  </si>
  <si>
    <t>Tấm GV125 - Acrylic Foil</t>
  </si>
  <si>
    <t>GV125.TP</t>
  </si>
  <si>
    <t>Tấm GV125 - MDF 1 mặt Acrylic 1 mặt Bakerlic</t>
  </si>
  <si>
    <t>GV125.TP.2M</t>
  </si>
  <si>
    <t>Tấm GV125 - MDF 2 mặt Acrylic</t>
  </si>
  <si>
    <t>GV125.TP.PVC.1M</t>
  </si>
  <si>
    <t>Tấm GV125 - PVC 1 mặt Acrylic</t>
  </si>
  <si>
    <t>GV125.TP.PVC</t>
  </si>
  <si>
    <t>Tấm GV125 - Cốt Nhựa 1 mặt Acrylic chống cong</t>
  </si>
  <si>
    <t>GV125.TP.PVC.2M</t>
  </si>
  <si>
    <t>Tấm GV125 - PVC 2 mặt Acrylic</t>
  </si>
  <si>
    <t>GV126</t>
  </si>
  <si>
    <t>Tấm GV126 - Acrylic Foil</t>
  </si>
  <si>
    <t>GV126.TP</t>
  </si>
  <si>
    <t>Tấm GV126 - MDF 1 mặt Acrylic 1 mặt Bakerlic</t>
  </si>
  <si>
    <t>GV126.TP.2M</t>
  </si>
  <si>
    <t>Tấm GV126 - MDF 2 mặt Acrylic</t>
  </si>
  <si>
    <t>GV126.TP.PVC.1M</t>
  </si>
  <si>
    <t>Tấm GV126 - PVC 1 mặt Acrylic</t>
  </si>
  <si>
    <t>GV126.TP.PVC</t>
  </si>
  <si>
    <t>Tấm GV126 - Cốt Nhựa 1 mặt Acrylic chống cong</t>
  </si>
  <si>
    <t>GV126.TP.PVC.2M</t>
  </si>
  <si>
    <t>Tấm GV126 - PVC 2 mặt Acrylic</t>
  </si>
  <si>
    <t>GV127</t>
  </si>
  <si>
    <t>Tấm GV127 - Acrylic Foil</t>
  </si>
  <si>
    <t>GV127.TP</t>
  </si>
  <si>
    <t>Tấm GV127 - MDF 1 mặt Acrylic 1 mặt Bakerlic</t>
  </si>
  <si>
    <t>GV127.TP.2M</t>
  </si>
  <si>
    <t>Tấm GV127 - MDF 2 mặt Acrylic</t>
  </si>
  <si>
    <t>GV127.TP.PVC.1M</t>
  </si>
  <si>
    <t>Tấm GV127 - PVC 1 mặt Acrylic</t>
  </si>
  <si>
    <t>GV127.TP.PVC</t>
  </si>
  <si>
    <t>Tấm GV127 - Cốt Nhựa 1 mặt Acrylic chống cong</t>
  </si>
  <si>
    <t>GV127.TP.PVC.2M</t>
  </si>
  <si>
    <t>Tấm GV127 - PVC 2 mặt Acrylic</t>
  </si>
  <si>
    <t>GV128</t>
  </si>
  <si>
    <t>Tấm GV128 - Acrylic Foil</t>
  </si>
  <si>
    <t>GV128.TP</t>
  </si>
  <si>
    <t>Tấm GV128 - MDF 1 mặt Acrylic 1 mặt Bakerlic</t>
  </si>
  <si>
    <t>GV128.TP.2M</t>
  </si>
  <si>
    <t>Tấm GV128 - MDF 2 mặt Acrylic</t>
  </si>
  <si>
    <t>GV128.TP.PVC.1M</t>
  </si>
  <si>
    <t>Tấm GV128 - PVC 1 mặt Acrylic</t>
  </si>
  <si>
    <t>GV128.TP.PVC</t>
  </si>
  <si>
    <t>Tấm GV128 - Cốt Nhựa 1 mặt Acrylic chống cong</t>
  </si>
  <si>
    <t>GV128.TP.PVC.2M</t>
  </si>
  <si>
    <t>Tấm GV128 - PVC 2 mặt Acrylic</t>
  </si>
  <si>
    <t>GV129</t>
  </si>
  <si>
    <t>Tấm GV129 - Acrylic Foil</t>
  </si>
  <si>
    <t>GV129.TP</t>
  </si>
  <si>
    <t>Tấm GV129 - MDF 1 mặt Acrylic 1 mặt Bakerlic</t>
  </si>
  <si>
    <t>GV129.TP.2M</t>
  </si>
  <si>
    <t>Tấm GV129 - MDF 2 mặt Acrylic</t>
  </si>
  <si>
    <t>GV129.TP.PVC.1M</t>
  </si>
  <si>
    <t>Tấm GV129 - PVC 1 mặt Acrylic</t>
  </si>
  <si>
    <t>GV129.TP.PVC</t>
  </si>
  <si>
    <t>Tấm GV129 - Cốt Nhựa 1 mặt Acrylic chống cong</t>
  </si>
  <si>
    <t>GV129.TP.PVC.2M</t>
  </si>
  <si>
    <t>Tấm GV129 - PVC 2 mặt Acrylic</t>
  </si>
  <si>
    <t>GV13</t>
  </si>
  <si>
    <t>Tấm GV13 - Acrylic Foil</t>
  </si>
  <si>
    <t>GV13.TP</t>
  </si>
  <si>
    <t>Tấm GV13 - MDF 1 mặt Acrylic 1 mặt Bakerlic</t>
  </si>
  <si>
    <t>GV13.TP.2M</t>
  </si>
  <si>
    <t>Tấm GV13 - MDF 2 mặt Acrylic</t>
  </si>
  <si>
    <t>GV13.TP.PVC.1M</t>
  </si>
  <si>
    <t>Tấm GV13 - PVC 1 mặt Acrylic</t>
  </si>
  <si>
    <t>GV13.TP.PVC</t>
  </si>
  <si>
    <t>Tấm GV13 - Cốt Nhựa 1 mặt Acrylic chống cong</t>
  </si>
  <si>
    <t>GV13.TP.PVC.2M</t>
  </si>
  <si>
    <t>Tấm GV13 - PVC 2 mặt Acrylic</t>
  </si>
  <si>
    <t>GV130</t>
  </si>
  <si>
    <t>Tấm GV130 - Acrylic Foil</t>
  </si>
  <si>
    <t>GV130.TP</t>
  </si>
  <si>
    <t>Tấm GV130 - MDF 1 mặt Acrylic 1 mặt Bakerlic</t>
  </si>
  <si>
    <t>GV130.TP.2M</t>
  </si>
  <si>
    <t>Tấm GV130 - MDF 2 mặt Acrylic</t>
  </si>
  <si>
    <t>GV130.TP.PVC.1M</t>
  </si>
  <si>
    <t>Tấm GV130 - PVC 1 mặt Acrylic</t>
  </si>
  <si>
    <t>GV130.TP.PVC</t>
  </si>
  <si>
    <t>Tấm GV130 - Cốt Nhựa 1 mặt Acrylic chống cong</t>
  </si>
  <si>
    <t>GV130.TP.PVC.2M</t>
  </si>
  <si>
    <t>Tấm GV130 - PVC 2 mặt Acrylic</t>
  </si>
  <si>
    <t>GV131</t>
  </si>
  <si>
    <t>Tấm GV131 - Acrylic Foil</t>
  </si>
  <si>
    <t>GV131.TP</t>
  </si>
  <si>
    <t>Tấm GV131 - MDF 1 mặt Acrylic 1 mặt Bakerlic</t>
  </si>
  <si>
    <t>GV131.TP.2M</t>
  </si>
  <si>
    <t>Tấm GV131 - MDF 2 mặt Acrylic</t>
  </si>
  <si>
    <t>GV131.TP.PVC.1M</t>
  </si>
  <si>
    <t>Tấm GV131 - PVC 1 mặt Acrylic</t>
  </si>
  <si>
    <t>GV131.TP.PVC</t>
  </si>
  <si>
    <t>Tấm GV131 - Cốt Nhựa 1 mặt Acrylic chống cong</t>
  </si>
  <si>
    <t>GV131.TP.PVC.2M</t>
  </si>
  <si>
    <t>Tấm GV131 - PVC 2 mặt Acrylic</t>
  </si>
  <si>
    <t>GV132</t>
  </si>
  <si>
    <t>Tấm GV132 - Acrylic Foil</t>
  </si>
  <si>
    <t>GV132.TP</t>
  </si>
  <si>
    <t>Tấm GV132 - MDF 1 mặt Acrylic 1 mặt Bakerlic</t>
  </si>
  <si>
    <t>GV132.TP.2M</t>
  </si>
  <si>
    <t>Tấm GV132 - MDF 2 mặt Acrylic</t>
  </si>
  <si>
    <t>GV132.TP.PVC.1M</t>
  </si>
  <si>
    <t>Tấm GV132 - PVC 1 mặt Acrylic</t>
  </si>
  <si>
    <t>GV132.TP.PVC</t>
  </si>
  <si>
    <t>Tấm GV132 - Cốt Nhựa 1 mặt Acrylic chống cong</t>
  </si>
  <si>
    <t>GV132.TP.PVC.2M</t>
  </si>
  <si>
    <t>Tấm GV132 - PVC 2 mặt Acrylic</t>
  </si>
  <si>
    <t>GV133</t>
  </si>
  <si>
    <t>Tấm GV133 - Acrylic Foil</t>
  </si>
  <si>
    <t>GV133.TP</t>
  </si>
  <si>
    <t>Tấm GV133 - MDF 1 mặt Acrylic 1 mặt Bakerlic</t>
  </si>
  <si>
    <t>GV133.TP.2M</t>
  </si>
  <si>
    <t>Tấm GV133 - MDF 2 mặt Acrylic</t>
  </si>
  <si>
    <t>GV133.TP.PVC.1M</t>
  </si>
  <si>
    <t>Tấm GV133 - PVC 1 mặt Acrylic</t>
  </si>
  <si>
    <t>GV133.TP.PVC</t>
  </si>
  <si>
    <t>Tấm GV133 - Cốt Nhựa 1 mặt Acrylic chống cong</t>
  </si>
  <si>
    <t>GV133.TP.PVC.2M</t>
  </si>
  <si>
    <t>Tấm GV133 - PVC 2 mặt Acrylic</t>
  </si>
  <si>
    <t>GV134</t>
  </si>
  <si>
    <t>Tấm GV134 - Acrylic Foil</t>
  </si>
  <si>
    <t>GV134.TP</t>
  </si>
  <si>
    <t>Tấm GV134 - MDF 1 mặt Acrylic 1 mặt Bakerlic</t>
  </si>
  <si>
    <t>GV134.TP.2M</t>
  </si>
  <si>
    <t>Tấm GV134 - MDF 2 mặt Acrylic</t>
  </si>
  <si>
    <t>GV134.TP.PVC.1M</t>
  </si>
  <si>
    <t>Tấm GV134 - PVC 1 mặt Acrylic</t>
  </si>
  <si>
    <t>GV134.TP.PVC</t>
  </si>
  <si>
    <t>Tấm GV134 - Cốt Nhựa 1 mặt Acrylic chống cong</t>
  </si>
  <si>
    <t>GV134.TP.PVC.2M</t>
  </si>
  <si>
    <t>Tấm GV134 - PVC 2 mặt Acrylic</t>
  </si>
  <si>
    <t>GV135</t>
  </si>
  <si>
    <t>Tấm GV135 - Acrylic Foil</t>
  </si>
  <si>
    <t>GV135.TP</t>
  </si>
  <si>
    <t>Tấm GV135 - MDF 1 mặt Acrylic 1 mặt Bakerlic</t>
  </si>
  <si>
    <t>GV135.TP.2M</t>
  </si>
  <si>
    <t>Tấm GV135 - MDF 2 mặt Acrylic</t>
  </si>
  <si>
    <t>GV135.TP.PVC.1M</t>
  </si>
  <si>
    <t>Tấm GV135 - PVC 1 mặt Acrylic</t>
  </si>
  <si>
    <t>GV135.TP.PVC</t>
  </si>
  <si>
    <t>Tấm GV135 - Cốt Nhựa 1 mặt Acrylic chống cong</t>
  </si>
  <si>
    <t>GV135.TP.PVC.2M</t>
  </si>
  <si>
    <t>Tấm GV135 - PVC 2 mặt Acrylic</t>
  </si>
  <si>
    <t>GV136</t>
  </si>
  <si>
    <t>Tấm GV136 - Acrylic Foil</t>
  </si>
  <si>
    <t>GV136.TP</t>
  </si>
  <si>
    <t>Tấm GV136 - MDF 1 mặt Acrylic 1 mặt Bakerlic</t>
  </si>
  <si>
    <t>GV136.TP.2M</t>
  </si>
  <si>
    <t>Tấm GV136 - MDF 2 mặt Acrylic</t>
  </si>
  <si>
    <t>GV136.TP.PVC.1M</t>
  </si>
  <si>
    <t>Tấm GV136 - PVC 1 mặt Acrylic</t>
  </si>
  <si>
    <t>GV136.TP.PVC</t>
  </si>
  <si>
    <t>Tấm GV136 - Cốt Nhựa 1 mặt Acrylic chống cong</t>
  </si>
  <si>
    <t>GV136.TP.PVC.2M</t>
  </si>
  <si>
    <t>Tấm GV136 - PVC 2 mặt Acrylic</t>
  </si>
  <si>
    <t>GV137</t>
  </si>
  <si>
    <t>Tấm GV137 - Acrylic Foil</t>
  </si>
  <si>
    <t>GV137.TP</t>
  </si>
  <si>
    <t>Tấm GV137 - MDF 1 mặt Acrylic 1 mặt Bakerlic</t>
  </si>
  <si>
    <t>GV137.TP.2M</t>
  </si>
  <si>
    <t>Tấm GV137 - MDF 2 mặt Acrylic</t>
  </si>
  <si>
    <t>GV137.TP.PVC.1M</t>
  </si>
  <si>
    <t>Tấm GV137 - PVC 1 mặt Acrylic</t>
  </si>
  <si>
    <t>GV137.TP.PVC</t>
  </si>
  <si>
    <t>Tấm GV137 - Cốt Nhựa 1 mặt Acrylic chống cong</t>
  </si>
  <si>
    <t>GV137.TP.PVC.2M</t>
  </si>
  <si>
    <t>Tấm GV137 - PVC 2 mặt Acrylic</t>
  </si>
  <si>
    <t>GV138</t>
  </si>
  <si>
    <t>Tấm GV138 - Acrylic Foil</t>
  </si>
  <si>
    <t>GV138.TP</t>
  </si>
  <si>
    <t>Tấm GV138 - MDF 1 mặt Acrylic 1 mặt Bakerlic</t>
  </si>
  <si>
    <t>GV138.TP.2M</t>
  </si>
  <si>
    <t>Tấm GV138 - MDF 2 mặt Acrylic</t>
  </si>
  <si>
    <t>GV138.TP.PVC.1M</t>
  </si>
  <si>
    <t>Tấm GV138 - PVC 1 mặt Acrylic</t>
  </si>
  <si>
    <t>GV138.TP.PVC</t>
  </si>
  <si>
    <t>Tấm GV138 - Cốt Nhựa 1 mặt Acrylic chống cong</t>
  </si>
  <si>
    <t>GV138.TP.PVC.2M</t>
  </si>
  <si>
    <t>Tấm GV138 - PVC 2 mặt Acrylic</t>
  </si>
  <si>
    <t>GV139</t>
  </si>
  <si>
    <t>Tấm GV139 - Acrylic Foil</t>
  </si>
  <si>
    <t>GV139.TP</t>
  </si>
  <si>
    <t>Tấm GV139 - MDF 1 mặt Acrylic 1 mặt Bakerlic</t>
  </si>
  <si>
    <t>GV139.TP.2M</t>
  </si>
  <si>
    <t>Tấm GV139 - MDF 2 mặt Acrylic</t>
  </si>
  <si>
    <t>GV139.TP.PVC.1M</t>
  </si>
  <si>
    <t>Tấm GV139 - PVC 1 mặt Acrylic</t>
  </si>
  <si>
    <t>GV139.TP.PVC</t>
  </si>
  <si>
    <t>Tấm GV139 - Cốt Nhựa 1 mặt Acrylic chống cong</t>
  </si>
  <si>
    <t>GV139.TP.PVC.2M</t>
  </si>
  <si>
    <t>Tấm GV139 - PVC 2 mặt Acrylic</t>
  </si>
  <si>
    <t>GV14</t>
  </si>
  <si>
    <t>Tấm GV14 - Acrylic Foil</t>
  </si>
  <si>
    <t>GV14.TP</t>
  </si>
  <si>
    <t>Tấm GV14 - MDF 1 mặt Acrylic 1 mặt Bakerlic</t>
  </si>
  <si>
    <t>GV14.TP.2M</t>
  </si>
  <si>
    <t>Tấm GV14 - MDF 2 mặt Acrylic</t>
  </si>
  <si>
    <t>GV14.TP.PVC.1M</t>
  </si>
  <si>
    <t>Tấm GV14 - PVC 1 mặt Acrylic</t>
  </si>
  <si>
    <t>GV14.TP.PVC</t>
  </si>
  <si>
    <t>Tấm GV14 - Cốt Nhựa 1 mặt Acrylic chống cong</t>
  </si>
  <si>
    <t>GV14.TP.PVC.2M</t>
  </si>
  <si>
    <t>Tấm GV14 - PVC 2 mặt Acrylic</t>
  </si>
  <si>
    <t>GV140</t>
  </si>
  <si>
    <t>Tấm GV140 - Acrylic Foil</t>
  </si>
  <si>
    <t>GV140.TP</t>
  </si>
  <si>
    <t>Tấm GV140 - MDF 1 mặt Acrylic 1 mặt Bakerlic</t>
  </si>
  <si>
    <t>GV140.TP.2M</t>
  </si>
  <si>
    <t>Tấm GV140 - MDF 2 mặt Acrylic</t>
  </si>
  <si>
    <t>GV140.TP.PVC.1M</t>
  </si>
  <si>
    <t>Tấm GV140 - PVC 1 mặt Acrylic</t>
  </si>
  <si>
    <t>GV140.TP.PVC</t>
  </si>
  <si>
    <t>Tấm GV140 - Cốt Nhựa 1 mặt Acrylic chống cong</t>
  </si>
  <si>
    <t>GV140.TP.PVC.2M</t>
  </si>
  <si>
    <t>Tấm GV140 - PVC 2 mặt Acrylic</t>
  </si>
  <si>
    <t>GV141</t>
  </si>
  <si>
    <t>Tấm GV141 - Acrylic Foil</t>
  </si>
  <si>
    <t>GV141.TP</t>
  </si>
  <si>
    <t>Tấm GV141 - MDF 1 mặt Acrylic 1 mặt Bakerlic</t>
  </si>
  <si>
    <t>GV141.TP.2M</t>
  </si>
  <si>
    <t>Tấm GV141 - MDF 2 mặt Acrylic</t>
  </si>
  <si>
    <t>GV141.TP.PVC.1M</t>
  </si>
  <si>
    <t>Tấm GV141 - PVC 1 mặt Acrylic</t>
  </si>
  <si>
    <t>GV141.TP.PVC</t>
  </si>
  <si>
    <t>Tấm GV141 - Cốt Nhựa 1 mặt Acrylic chống cong</t>
  </si>
  <si>
    <t>GV141.TP.PVC.2M</t>
  </si>
  <si>
    <t>Tấm GV141 - PVC 2 mặt Acrylic</t>
  </si>
  <si>
    <t>GV142</t>
  </si>
  <si>
    <t>Tấm GV142 - Acrylic Foil</t>
  </si>
  <si>
    <t>GV142.TP</t>
  </si>
  <si>
    <t>Tấm GV142 - MDF 1 mặt Acrylic 1 mặt Bakerlic</t>
  </si>
  <si>
    <t>GV142.TP.2M</t>
  </si>
  <si>
    <t>Tấm GV142 - MDF 2 mặt Acrylic</t>
  </si>
  <si>
    <t>GV142.TP.PVC.1M</t>
  </si>
  <si>
    <t>Tấm GV142 - PVC 1 mặt Acrylic</t>
  </si>
  <si>
    <t>GV142.TP.PVC</t>
  </si>
  <si>
    <t>Tấm GV142 - Cốt Nhựa 1 mặt Acrylic chống cong</t>
  </si>
  <si>
    <t>GV142.TP.PVC.2M</t>
  </si>
  <si>
    <t>Tấm GV142 - PVC 2 mặt Acrylic</t>
  </si>
  <si>
    <t>GV15</t>
  </si>
  <si>
    <t>Tấm GV15 - Acrylic Foil</t>
  </si>
  <si>
    <t>GV15.TP</t>
  </si>
  <si>
    <t>Tấm GV15 - MDF 1 mặt Acrylic 1 mặt Bakerlic</t>
  </si>
  <si>
    <t>GV15.TP.2M</t>
  </si>
  <si>
    <t>Tấm GV15 - MDF 2 mặt Acrylic</t>
  </si>
  <si>
    <t>GV15.TP.PVC.1M</t>
  </si>
  <si>
    <t>Tấm GV15 - PVC 1 mặt Acrylic</t>
  </si>
  <si>
    <t>GV15.TP.PVC</t>
  </si>
  <si>
    <t>Tấm GV15 - Cốt Nhựa 1 mặt Acrylic chống cong</t>
  </si>
  <si>
    <t>GV15.TP.PVC.2M</t>
  </si>
  <si>
    <t>Tấm GV15 - PVC 2 mặt Acrylic</t>
  </si>
  <si>
    <t>GV16**</t>
  </si>
  <si>
    <t>Tấm GV16** - Acrylic Foil</t>
  </si>
  <si>
    <t>GV16**.TP</t>
  </si>
  <si>
    <t>Tấm GV16** - MDF 1 mặt Acrylic 1 mặt Bakerlic</t>
  </si>
  <si>
    <t>GV16**.TP.2M</t>
  </si>
  <si>
    <t>Tấm GV16** - MDF 2 mặt Acrylic</t>
  </si>
  <si>
    <t>GV16**.TP.PVC.1M</t>
  </si>
  <si>
    <t>Tấm GV16** - PVC 1 mặt Acrylic</t>
  </si>
  <si>
    <t>GV16**.TP.PVC</t>
  </si>
  <si>
    <t>Tấm GV16** - Cốt Nhựa 1 mặt Acrylic chống cong</t>
  </si>
  <si>
    <t>GV16**.TP.PVC.2M</t>
  </si>
  <si>
    <t>Tấm GV16** - PVC 2 mặt Acrylic</t>
  </si>
  <si>
    <t>GV20</t>
  </si>
  <si>
    <t>Tấm GV20 - Acrylic Foil</t>
  </si>
  <si>
    <t>GV20.TP</t>
  </si>
  <si>
    <t>Tấm GV20 - MDF 1 mặt Acrylic 1 mặt Bakerlic</t>
  </si>
  <si>
    <t>GV20.TP.2M</t>
  </si>
  <si>
    <t>Tấm GV20 - MDF 2 mặt Acrylic</t>
  </si>
  <si>
    <t>GV20.TP.PVC.1M</t>
  </si>
  <si>
    <t>Tấm GV20 - PVC 1 mặt Acrylic</t>
  </si>
  <si>
    <t>GV20.TP.PVC</t>
  </si>
  <si>
    <t>Tấm GV20 - Cốt Nhựa 1 mặt Acrylic chống cong</t>
  </si>
  <si>
    <t>GV20.TP.PVC.2M</t>
  </si>
  <si>
    <t>Tấm GV20 - PVC 2 mặt Acrylic</t>
  </si>
  <si>
    <t>GV21</t>
  </si>
  <si>
    <t>Tấm GV21 - Acrylic Foil</t>
  </si>
  <si>
    <t>GV21.TP</t>
  </si>
  <si>
    <t>Tấm GV21 - MDF 1 mặt Acrylic 1 mặt Bakerlic</t>
  </si>
  <si>
    <t>GV21.TP.2M</t>
  </si>
  <si>
    <t>Tấm GV21 - MDF 2 mặt Acrylic</t>
  </si>
  <si>
    <t>GV21.TP.PVC.1M</t>
  </si>
  <si>
    <t>Tấm GV21 - PVC 1 mặt Acrylic</t>
  </si>
  <si>
    <t>GV21.TP.PVC</t>
  </si>
  <si>
    <t>Tấm GV21 - Cốt Nhựa 1 mặt Acrylic chống cong</t>
  </si>
  <si>
    <t>GV21.TP.PVC.2M</t>
  </si>
  <si>
    <t>Tấm GV21 - PVC 2 mặt Acrylic</t>
  </si>
  <si>
    <t>GV22</t>
  </si>
  <si>
    <t>Tấm GV22 - Acrylic Foil</t>
  </si>
  <si>
    <t>GV22.TP</t>
  </si>
  <si>
    <t>Tấm GV22 - MDF 1 mặt Acrylic 1 mặt Bakerlic</t>
  </si>
  <si>
    <t>GV22.TP.2M</t>
  </si>
  <si>
    <t>Tấm GV22 - MDF 2 mặt Acrylic</t>
  </si>
  <si>
    <t>GV22.TP.PVC.1M</t>
  </si>
  <si>
    <t>Tấm GV22 - PVC 1 mặt Acrylic</t>
  </si>
  <si>
    <t>GV22.TP.PVC</t>
  </si>
  <si>
    <t>Tấm GV22 - Cốt Nhựa 1 mặt Acrylic chống cong</t>
  </si>
  <si>
    <t>GV22.TP.PVC.2M</t>
  </si>
  <si>
    <t>Tấm GV22 - PVC 2 mặt Acrylic</t>
  </si>
  <si>
    <t>GV23**</t>
  </si>
  <si>
    <t>Tấm GV23** - Acrylic Foil</t>
  </si>
  <si>
    <t>GV23**.TP</t>
  </si>
  <si>
    <t>Tấm GV23** - MDF 1 mặt Acrylic 1 mặt Bakerlic</t>
  </si>
  <si>
    <t>GV23**.TP.2M</t>
  </si>
  <si>
    <t>Tấm GV23** - MDF 2 mặt Acrylic</t>
  </si>
  <si>
    <t>GV23**.TP.PVC.1M</t>
  </si>
  <si>
    <t>Tấm GV23** - PVC 1 mặt Acrylic</t>
  </si>
  <si>
    <t>GV23**.TP.PVC</t>
  </si>
  <si>
    <t>Tấm GV23** - Cốt Nhựa 1 mặt Acrylic chống cong</t>
  </si>
  <si>
    <t>GV23**.TP.PVC.2M</t>
  </si>
  <si>
    <t>Tấm GV23** - PVC 2 mặt Acrylic</t>
  </si>
  <si>
    <t>GV24**</t>
  </si>
  <si>
    <t>Tấm GV24** - Acrylic Foil</t>
  </si>
  <si>
    <t>GV24**.TP</t>
  </si>
  <si>
    <t>Tấm GV24** - MDF 1 mặt Acrylic 1 mặt Bakerlic</t>
  </si>
  <si>
    <t>GV24**.TP.2M</t>
  </si>
  <si>
    <t>Tấm GV24** - MDF 2 mặt Acrylic</t>
  </si>
  <si>
    <t>GV24**.TP.PVC.1M</t>
  </si>
  <si>
    <t>Tấm GV24** - PVC 1 mặt Acrylic</t>
  </si>
  <si>
    <t>GV24**.TP.PVC</t>
  </si>
  <si>
    <t>Tấm GV24** - Cốt Nhựa 1 mặt Acrylic chống cong</t>
  </si>
  <si>
    <t>GV24**.TP.PVC.2M</t>
  </si>
  <si>
    <t>Tấm GV24** - PVC 2 mặt Acrylic</t>
  </si>
  <si>
    <t>GV25</t>
  </si>
  <si>
    <t>Tấm GV25 - Acrylic Foil</t>
  </si>
  <si>
    <t>GV25.TP</t>
  </si>
  <si>
    <t>Tấm GV25 - MDF 1 mặt Acrylic 1 mặt Bakerlic</t>
  </si>
  <si>
    <t>GV25.TP.2M</t>
  </si>
  <si>
    <t>Tấm GV25 - MDF 2 mặt Acrylic</t>
  </si>
  <si>
    <t>GV25.TP.PVC.1M</t>
  </si>
  <si>
    <t>Tấm GV25 - PVC 1 mặt Acrylic</t>
  </si>
  <si>
    <t>GV25.TP.PVC</t>
  </si>
  <si>
    <t>Tấm GV25 - Cốt Nhựa 1 mặt Acrylic chống cong</t>
  </si>
  <si>
    <t>GV25.TP.PVC.2M</t>
  </si>
  <si>
    <t>Tấm GV25 - PVC 2 mặt Acrylic</t>
  </si>
  <si>
    <t>GV26**</t>
  </si>
  <si>
    <t>Tấm GV26** - Acrylic Foil</t>
  </si>
  <si>
    <t>GV26**.TP</t>
  </si>
  <si>
    <t>Tấm GV26** - MDF 1 mặt Acrylic 1 mặt Bakerlic</t>
  </si>
  <si>
    <t>GV26**.TP.2M</t>
  </si>
  <si>
    <t>Tấm GV26** - MDF 2 mặt Acrylic</t>
  </si>
  <si>
    <t>GV26**.TP.PVC.1M</t>
  </si>
  <si>
    <t>Tấm GV26** - PVC 1 mặt Acrylic</t>
  </si>
  <si>
    <t>GV26**.TP.PVC</t>
  </si>
  <si>
    <t>Tấm GV26** - Cốt Nhựa 1 mặt Acrylic chống cong</t>
  </si>
  <si>
    <t>GV26**.TP.PVC.2M</t>
  </si>
  <si>
    <t>Tấm GV26** - PVC 2 mặt Acrylic</t>
  </si>
  <si>
    <t>GV27</t>
  </si>
  <si>
    <t>Tấm GV27 - Acrylic Foil</t>
  </si>
  <si>
    <t>GV27.TP</t>
  </si>
  <si>
    <t>Tấm GV27 - MDF 1 mặt Acrylic 1 mặt Bakerlic</t>
  </si>
  <si>
    <t>GV27.TP.2M</t>
  </si>
  <si>
    <t>Tấm GV27 - MDF 2 mặt Acrylic</t>
  </si>
  <si>
    <t>GV27.TP.PVC.1M</t>
  </si>
  <si>
    <t>Tấm GV27 - PVC 1 mặt Acrylic</t>
  </si>
  <si>
    <t>GV27.TP.PVC</t>
  </si>
  <si>
    <t>Tấm GV27 - Cốt Nhựa 1 mặt Acrylic chống cong</t>
  </si>
  <si>
    <t>GV27.TP.PVC.2M</t>
  </si>
  <si>
    <t>Tấm GV27 - PVC 2 mặt Acrylic</t>
  </si>
  <si>
    <t>GV28</t>
  </si>
  <si>
    <t>Tấm GV28 - Acrylic Foil</t>
  </si>
  <si>
    <t>GV28.TP</t>
  </si>
  <si>
    <t>Tấm GV28 - MDF 1 mặt Acrylic 1 mặt Bakerlic</t>
  </si>
  <si>
    <t>GV28.TP.2M</t>
  </si>
  <si>
    <t>Tấm GV28 - MDF 2 mặt Acrylic</t>
  </si>
  <si>
    <t>GV28.TP.PVC.1M</t>
  </si>
  <si>
    <t>Tấm GV28 - PVC 1 mặt Acrylic</t>
  </si>
  <si>
    <t>GV28.TP.PVC</t>
  </si>
  <si>
    <t>Tấm GV28 - Cốt Nhựa 1 mặt Acrylic chống cong</t>
  </si>
  <si>
    <t>GV28.TP.PVC.2M</t>
  </si>
  <si>
    <t>Tấm GV28 - PVC 2 mặt Acrylic</t>
  </si>
  <si>
    <t>GV29**</t>
  </si>
  <si>
    <t>Tấm GV29** - Acrylic Foil</t>
  </si>
  <si>
    <t>GV29**.TP</t>
  </si>
  <si>
    <t>Tấm GV29** - MDF 1 mặt Acrylic 1 mặt Bakerlic</t>
  </si>
  <si>
    <t>GV29**.TP.2M</t>
  </si>
  <si>
    <t>Tấm GV29** - MDF 2 mặt Acrylic</t>
  </si>
  <si>
    <t>GV29**.TP.PVC.1M</t>
  </si>
  <si>
    <t>Tấm GV29** - PVC 1 mặt Acrylic</t>
  </si>
  <si>
    <t>GV29**.TP.PVC</t>
  </si>
  <si>
    <t>Tấm GV29** - Cốt Nhựa 1 mặt Acrylic chống cong</t>
  </si>
  <si>
    <t>GV29**.TP.PVC.2M</t>
  </si>
  <si>
    <t>Tấm GV29** - PVC 2 mặt Acrylic</t>
  </si>
  <si>
    <t>GV30</t>
  </si>
  <si>
    <t>Tấm GV30 - Acrylic Foil</t>
  </si>
  <si>
    <t>GV30.TP</t>
  </si>
  <si>
    <t>Tấm GV30 - MDF 1 mặt Acrylic 1 mặt Bakerlic</t>
  </si>
  <si>
    <t>GV30.TP.2M</t>
  </si>
  <si>
    <t>Tấm GV30 - MDF 2 mặt Acrylic</t>
  </si>
  <si>
    <t>GV30.TP.PVC.1M</t>
  </si>
  <si>
    <t>Tấm GV30 - PVC 1 mặt Acrylic</t>
  </si>
  <si>
    <t>GV30.TP.PVC</t>
  </si>
  <si>
    <t>Tấm GV30 - Cốt Nhựa 1 mặt Acrylic chống cong</t>
  </si>
  <si>
    <t>GV30.TP.PVC.2M</t>
  </si>
  <si>
    <t>Tấm GV30 - PVC 2 mặt Acrylic</t>
  </si>
  <si>
    <t>GV31</t>
  </si>
  <si>
    <t>Tấm GV31 - Acrylic Foil</t>
  </si>
  <si>
    <t>GV31.TP</t>
  </si>
  <si>
    <t>Tấm GV31 - MDF 1 mặt Acrylic 1 mặt Bakerlic</t>
  </si>
  <si>
    <t>GV31.TP.2M</t>
  </si>
  <si>
    <t>Tấm GV31 - MDF 2 mặt Acrylic</t>
  </si>
  <si>
    <t>GV31.TP.PVC.1M</t>
  </si>
  <si>
    <t>Tấm GV31 - PVC 1 mặt Acrylic</t>
  </si>
  <si>
    <t>GV31.TP.PVC</t>
  </si>
  <si>
    <t>Tấm GV31 - Cốt Nhựa 1 mặt Acrylic chống cong</t>
  </si>
  <si>
    <t>GV31.TP.PVC.2M</t>
  </si>
  <si>
    <t>Tấm GV31 - PVC 2 mặt Acrylic</t>
  </si>
  <si>
    <t>GV32</t>
  </si>
  <si>
    <t>Tấm GV32 - Acrylic Foil</t>
  </si>
  <si>
    <t>GV32.TP</t>
  </si>
  <si>
    <t>Tấm GV32 - MDF 1 mặt Acrylic 1 mặt Bakerlic</t>
  </si>
  <si>
    <t>GV32.TP.2M</t>
  </si>
  <si>
    <t>Tấm GV32 - MDF 2 mặt Acrylic</t>
  </si>
  <si>
    <t>GV32.TP.PVC.1M</t>
  </si>
  <si>
    <t>Tấm GV32 - PVC 1 mặt Acrylic</t>
  </si>
  <si>
    <t>GV32.TP.PVC</t>
  </si>
  <si>
    <t>Tấm GV32 - Cốt Nhựa 1 mặt Acrylic chống cong</t>
  </si>
  <si>
    <t>GV32.TP.PVC.2M</t>
  </si>
  <si>
    <t>Tấm GV32 - PVC 2 mặt Acrylic</t>
  </si>
  <si>
    <t>GV33</t>
  </si>
  <si>
    <t>Tấm GV33 - Acrylic Foil</t>
  </si>
  <si>
    <t>GV33.TP</t>
  </si>
  <si>
    <t>Tấm GV33 - MDF 1 mặt Acrylic 1 mặt Bakerlic</t>
  </si>
  <si>
    <t>GV33.TP.2M</t>
  </si>
  <si>
    <t>Tấm GV33 - MDF 2 mặt Acrylic</t>
  </si>
  <si>
    <t>GV33.TP.PVC.1M</t>
  </si>
  <si>
    <t>Tấm GV33 - PVC 1 mặt Acrylic</t>
  </si>
  <si>
    <t>GV33.TP.PVC</t>
  </si>
  <si>
    <t>Tấm GV33 - Cốt Nhựa 1 mặt Acrylic chống cong</t>
  </si>
  <si>
    <t>GV33.TP.PVC.2M</t>
  </si>
  <si>
    <t>Tấm GV33 - PVC 2 mặt Acrylic</t>
  </si>
  <si>
    <t>GV34</t>
  </si>
  <si>
    <t>Tấm GV34 - Acrylic Foil</t>
  </si>
  <si>
    <t>GV34.TP</t>
  </si>
  <si>
    <t>Tấm GV34 - MDF 1 mặt Acrylic 1 mặt Bakerlic</t>
  </si>
  <si>
    <t>GV34.TP.2M</t>
  </si>
  <si>
    <t>Tấm GV34 - MDF 2 mặt Acrylic</t>
  </si>
  <si>
    <t>GV34.TP.PVC.1M</t>
  </si>
  <si>
    <t>Tấm GV34 - PVC 1 mặt Acrylic</t>
  </si>
  <si>
    <t>GV34.TP.PVC</t>
  </si>
  <si>
    <t>Tấm GV34 - Cốt Nhựa 1 mặt Acrylic chống cong</t>
  </si>
  <si>
    <t>GV34.TP.PVC.2M</t>
  </si>
  <si>
    <t>Tấm GV34 - PVC 2 mặt Acrylic</t>
  </si>
  <si>
    <t>GV35</t>
  </si>
  <si>
    <t>Tấm GV35 - Acrylic Foil</t>
  </si>
  <si>
    <t>GV35.TP</t>
  </si>
  <si>
    <t>Tấm GV35 - MDF 1 mặt Acrylic 1 mặt Bakerlic</t>
  </si>
  <si>
    <t>GV35.TP.2M</t>
  </si>
  <si>
    <t>Tấm GV35 - MDF 2 mặt Acrylic</t>
  </si>
  <si>
    <t>GV35.TP.PVC.1M</t>
  </si>
  <si>
    <t>Tấm GV35 - PVC 1 mặt Acrylic</t>
  </si>
  <si>
    <t>GV35.TP.PVC</t>
  </si>
  <si>
    <t>Tấm GV35 - Cốt Nhựa 1 mặt Acrylic chống cong</t>
  </si>
  <si>
    <t>GV35.TP.PVC.2M</t>
  </si>
  <si>
    <t>Tấm GV35 - PVC 2 mặt Acrylic</t>
  </si>
  <si>
    <t>GV36</t>
  </si>
  <si>
    <t>Tấm GV36 - Acrylic Foil</t>
  </si>
  <si>
    <t>GV36.TP</t>
  </si>
  <si>
    <t>Tấm GV36 - MDF 1 mặt Acrylic 1 mặt Bakerlic</t>
  </si>
  <si>
    <t>GV36.TP.2M</t>
  </si>
  <si>
    <t>Tấm GV36 - MDF 2 mặt Acrylic</t>
  </si>
  <si>
    <t>GV36.TP.PVC.1M</t>
  </si>
  <si>
    <t>Tấm GV36 - PVC 1 mặt Acrylic</t>
  </si>
  <si>
    <t>GV36.TP.PVC</t>
  </si>
  <si>
    <t>Tấm GV36 - Cốt Nhựa 1 mặt Acrylic chống cong</t>
  </si>
  <si>
    <t>GV36.TP.PVC.2M</t>
  </si>
  <si>
    <t>Tấm GV36 - PVC 2 mặt Acrylic</t>
  </si>
  <si>
    <t>GV37</t>
  </si>
  <si>
    <t>Tấm GV37 - Acrylic Foil</t>
  </si>
  <si>
    <t>GV37.TP</t>
  </si>
  <si>
    <t>Tấm GV37 - MDF 1 mặt Acrylic 1 mặt Bakerlic</t>
  </si>
  <si>
    <t>GV37.TP.2M</t>
  </si>
  <si>
    <t>Tấm GV37 - MDF 2 mặt Acrylic</t>
  </si>
  <si>
    <t>GV37.TP.PVC.1M</t>
  </si>
  <si>
    <t>Tấm GV37 - PVC 1 mặt Acrylic</t>
  </si>
  <si>
    <t>GV37.TP.PVC</t>
  </si>
  <si>
    <t>Tấm GV37 - Cốt Nhựa 1 mặt Acrylic chống cong</t>
  </si>
  <si>
    <t>GV37.TP.PVC.2M</t>
  </si>
  <si>
    <t>Tấm GV37 - PVC 2 mặt Acrylic</t>
  </si>
  <si>
    <t>GV38</t>
  </si>
  <si>
    <t>Tấm GV38 - Acrylic Foil</t>
  </si>
  <si>
    <t>GV38.TP</t>
  </si>
  <si>
    <t>Tấm GV38 - MDF 1 mặt Acrylic 1 mặt Bakerlic</t>
  </si>
  <si>
    <t>GV38.TP.2M</t>
  </si>
  <si>
    <t>Tấm GV38 - MDF 2 mặt Acrylic</t>
  </si>
  <si>
    <t>GV38.TP.PVC.1M</t>
  </si>
  <si>
    <t>Tấm GV38 - PVC 1 mặt Acrylic</t>
  </si>
  <si>
    <t>GV38.TP.PVC</t>
  </si>
  <si>
    <t>Tấm GV38 - Cốt Nhựa 1 mặt Acrylic chống cong</t>
  </si>
  <si>
    <t>GV38.TP.PVC.2M</t>
  </si>
  <si>
    <t>Tấm GV38 - PVC 2 mặt Acrylic</t>
  </si>
  <si>
    <t>GV39</t>
  </si>
  <si>
    <t>Tấm GV39 - Acrylic Foil</t>
  </si>
  <si>
    <t>GV39.TP</t>
  </si>
  <si>
    <t>Tấm GV39 - MDF 1 mặt Acrylic 1 mặt Bakerlic</t>
  </si>
  <si>
    <t>GV39.TP.2M</t>
  </si>
  <si>
    <t>Tấm GV39 - MDF 2 mặt Acrylic</t>
  </si>
  <si>
    <t>GV39.TP.PVC.1M</t>
  </si>
  <si>
    <t>Tấm GV39 - PVC 1 mặt Acrylic</t>
  </si>
  <si>
    <t>GV39.TP.PVC</t>
  </si>
  <si>
    <t>Tấm GV39 - Cốt Nhựa 1 mặt Acrylic chống cong</t>
  </si>
  <si>
    <t>GV39.TP.PVC.2M</t>
  </si>
  <si>
    <t>Tấm GV39 - PVC 2 mặt Acrylic</t>
  </si>
  <si>
    <t>GV40**</t>
  </si>
  <si>
    <t>Tấm GV40** - Acrylic Foil</t>
  </si>
  <si>
    <t>GV40**.TP</t>
  </si>
  <si>
    <t>Tấm GV40** - MDF 1 mặt Acrylic 1 mặt Bakerlic</t>
  </si>
  <si>
    <t>GV40**.TP.2M</t>
  </si>
  <si>
    <t>Tấm GV40** - MDF 2 mặt Acrylic</t>
  </si>
  <si>
    <t>GV40**.TP.PVC.1M</t>
  </si>
  <si>
    <t>Tấm GV40** - PVC 1 mặt Acrylic</t>
  </si>
  <si>
    <t>GV40**.TP.PVC</t>
  </si>
  <si>
    <t>Tấm GV40** - Cốt Nhựa 1 mặt Acrylic chống cong</t>
  </si>
  <si>
    <t>GV40**.TP.PVC.2M</t>
  </si>
  <si>
    <t>Tấm GV40** - PVC 2 mặt Acrylic</t>
  </si>
  <si>
    <t>GV41**</t>
  </si>
  <si>
    <t>Tấm GV41** - Acrylic Foil</t>
  </si>
  <si>
    <t>GV41**.TP</t>
  </si>
  <si>
    <t>Tấm GV41** - MDF 1 mặt Acrylic 1 mặt Bakerlic</t>
  </si>
  <si>
    <t>GV41**.TP.2M</t>
  </si>
  <si>
    <t>Tấm GV41** - MDF 2 mặt Acrylic</t>
  </si>
  <si>
    <t>GV41**.TP.PVC.1M</t>
  </si>
  <si>
    <t>Tấm GV41** - PVC 1 mặt Acrylic</t>
  </si>
  <si>
    <t>GV41**.TP.PVC</t>
  </si>
  <si>
    <t>Tấm GV41** - Cốt Nhựa 1 mặt Acrylic chống cong</t>
  </si>
  <si>
    <t>GV41**.TP.PVC.2M</t>
  </si>
  <si>
    <t>Tấm GV41** - PVC 2 mặt Acrylic</t>
  </si>
  <si>
    <t>GV42**</t>
  </si>
  <si>
    <t>Tấm GV42** - Acrylic Foil</t>
  </si>
  <si>
    <t>GV42**.TP</t>
  </si>
  <si>
    <t>Tấm GV42** - MDF 1 mặt Acrylic 1 mặt Bakerlic</t>
  </si>
  <si>
    <t>GV42**.TP.2M</t>
  </si>
  <si>
    <t>Tấm GV42** - MDF 2 mặt Acrylic</t>
  </si>
  <si>
    <t>GV42**.TP.PVC.1M</t>
  </si>
  <si>
    <t>Tấm GV42** - PVC 1 mặt Acrylic</t>
  </si>
  <si>
    <t>GV42**.TP.PVC</t>
  </si>
  <si>
    <t>Tấm GV42** - Cốt Nhựa 1 mặt Acrylic chống cong</t>
  </si>
  <si>
    <t>GV42**.TP.PVC.2M</t>
  </si>
  <si>
    <t>Tấm GV42** - PVC 2 mặt Acrylic</t>
  </si>
  <si>
    <t>GV43**</t>
  </si>
  <si>
    <t>Tấm GV43** - Acrylic Foil</t>
  </si>
  <si>
    <t>GV43**.TP</t>
  </si>
  <si>
    <t>Tấm GV43** - MDF 1 mặt Acrylic 1 mặt Bakerlic</t>
  </si>
  <si>
    <t>GV43**.TP.2M</t>
  </si>
  <si>
    <t>Tấm GV43** - MDF 2 mặt Acrylic</t>
  </si>
  <si>
    <t>GV43**.TP.PVC.1M</t>
  </si>
  <si>
    <t>Tấm GV43** - PVC 1 mặt Acrylic</t>
  </si>
  <si>
    <t>GV43**.TP.PVC</t>
  </si>
  <si>
    <t>Tấm GV43** - Cốt Nhựa 1 mặt Acrylic chống cong</t>
  </si>
  <si>
    <t>GV43**.TP.PVC.2M</t>
  </si>
  <si>
    <t>Tấm GV43** - PVC 2 mặt Acrylic</t>
  </si>
  <si>
    <t>GV44</t>
  </si>
  <si>
    <t>Tấm GV44 - Acrylic Foil</t>
  </si>
  <si>
    <t>GV44.TP</t>
  </si>
  <si>
    <t>Tấm GV44 - MDF 1 mặt Acrylic 1 mặt Bakerlic</t>
  </si>
  <si>
    <t>GV44.TP.2M</t>
  </si>
  <si>
    <t>Tấm GV44 - MDF 2 mặt Acrylic</t>
  </si>
  <si>
    <t>GV44.TP.PVC.1M</t>
  </si>
  <si>
    <t>Tấm GV44 - PVC 1 mặt Acrylic</t>
  </si>
  <si>
    <t>GV44.TP.PVC</t>
  </si>
  <si>
    <t>Tấm GV44 - Cốt Nhựa 1 mặt Acrylic chống cong</t>
  </si>
  <si>
    <t>GV44.TP.PVC.2M</t>
  </si>
  <si>
    <t>Tấm GV44 - PVC 2 mặt Acrylic</t>
  </si>
  <si>
    <t>GV45**</t>
  </si>
  <si>
    <t>Tấm GV45** - Acrylic Foil</t>
  </si>
  <si>
    <t>GV45**.TP</t>
  </si>
  <si>
    <t>Tấm GV45** - MDF 1 mặt Acrylic 1 mặt Bakerlic</t>
  </si>
  <si>
    <t>GV45**.TP.2M</t>
  </si>
  <si>
    <t>Tấm GV45** - MDF 2 mặt Acrylic</t>
  </si>
  <si>
    <t>GV45**.TP.PVC.1M</t>
  </si>
  <si>
    <t>Tấm GV45** - PVC 1 mặt Acrylic</t>
  </si>
  <si>
    <t>GV45**.TP.PVC</t>
  </si>
  <si>
    <t>Tấm GV45** - Cốt Nhựa 1 mặt Acrylic chống cong</t>
  </si>
  <si>
    <t>GV45**.TP.PVC.2M</t>
  </si>
  <si>
    <t>Tấm GV45** - PVC 2 mặt Acrylic</t>
  </si>
  <si>
    <t>GV46</t>
  </si>
  <si>
    <t>Tấm GV46 - Acrylic Foil</t>
  </si>
  <si>
    <t>GV46.TP</t>
  </si>
  <si>
    <t>Tấm GV46 - MDF 1 mặt Acrylic 1 mặt Bakerlic</t>
  </si>
  <si>
    <t>GV46.TP.2M</t>
  </si>
  <si>
    <t>Tấm GV46 - MDF 2 mặt Acrylic</t>
  </si>
  <si>
    <t>GV46.TP.PVC.1M</t>
  </si>
  <si>
    <t>Tấm GV46 - PVC 1 mặt Acrylic</t>
  </si>
  <si>
    <t>GV46.TP.PVC</t>
  </si>
  <si>
    <t>Tấm GV46 - Cốt Nhựa 1 mặt Acrylic chống cong</t>
  </si>
  <si>
    <t>GV46.TP.PVC.2M</t>
  </si>
  <si>
    <t>Tấm GV46 - PVC 2 mặt Acrylic</t>
  </si>
  <si>
    <t>GV47**</t>
  </si>
  <si>
    <t>Tấm GV47** - Acrylic Foil</t>
  </si>
  <si>
    <t>GV47**.TP</t>
  </si>
  <si>
    <t>Tấm GV47** - MDF 1 mặt Acrylic 1 mặt Bakerlic</t>
  </si>
  <si>
    <t>GV47**.TP.2M</t>
  </si>
  <si>
    <t>Tấm GV47** - MDF 2 mặt Acrylic</t>
  </si>
  <si>
    <t>GV47**.TP.PVC.1M</t>
  </si>
  <si>
    <t>Tấm GV47** - PVC 1 mặt Acrylic</t>
  </si>
  <si>
    <t>GV47**.TP.PVC</t>
  </si>
  <si>
    <t>Tấm GV47** - Cốt Nhựa 1 mặt Acrylic chống cong</t>
  </si>
  <si>
    <t>GV47**.TP.PVC.2M</t>
  </si>
  <si>
    <t>Tấm GV47** - PVC 2 mặt Acrylic</t>
  </si>
  <si>
    <t>GV48**</t>
  </si>
  <si>
    <t>Tấm GV48** - Acrylic Foil</t>
  </si>
  <si>
    <t>GV48**.TP</t>
  </si>
  <si>
    <t>Tấm GV48** - MDF 1 mặt Acrylic 1 mặt Bakerlic</t>
  </si>
  <si>
    <t>GV48**.TP.2M</t>
  </si>
  <si>
    <t>Tấm GV48** - MDF 2 mặt Acrylic</t>
  </si>
  <si>
    <t>GV48**.TP.PVC.1M</t>
  </si>
  <si>
    <t>Tấm GV48** - PVC 1 mặt Acrylic</t>
  </si>
  <si>
    <t>GV48**.TP.PVC</t>
  </si>
  <si>
    <t>Tấm GV48** - Cốt Nhựa 1 mặt Acrylic chống cong</t>
  </si>
  <si>
    <t>GV48**.TP.PVC.2M</t>
  </si>
  <si>
    <t>Tấm GV48** - PVC 2 mặt Acrylic</t>
  </si>
  <si>
    <t>GV49</t>
  </si>
  <si>
    <t>Tấm GV49 - Acrylic Foil</t>
  </si>
  <si>
    <t>GV49.TP</t>
  </si>
  <si>
    <t>Tấm GV49 - MDF 1 mặt Acrylic 1 mặt Bakerlic</t>
  </si>
  <si>
    <t>GV49.TP.2M</t>
  </si>
  <si>
    <t>Tấm GV49 - MDF 2 mặt Acrylic</t>
  </si>
  <si>
    <t>GV49.TP.PVC.1M</t>
  </si>
  <si>
    <t>Tấm GV49 - PVC 1 mặt Acrylic</t>
  </si>
  <si>
    <t>GV49.TP.PVC</t>
  </si>
  <si>
    <t>Tấm GV49 - Cốt Nhựa 1 mặt Acrylic chống cong</t>
  </si>
  <si>
    <t>GV49.TP.PVC.2M</t>
  </si>
  <si>
    <t>Tấm GV49 - PVC 2 mặt Acrylic</t>
  </si>
  <si>
    <t>GV50</t>
  </si>
  <si>
    <t>Tấm GV50 - Acrylic Foil</t>
  </si>
  <si>
    <t>GV50.TP</t>
  </si>
  <si>
    <t>Tấm GV50 - MDF 1 mặt Acrylic 1 mặt Bakerlic</t>
  </si>
  <si>
    <t>GV50.TP.2M</t>
  </si>
  <si>
    <t>Tấm GV50 - MDF 2 mặt Acrylic</t>
  </si>
  <si>
    <t>GV50.TP.PVC.1M</t>
  </si>
  <si>
    <t>Tấm GV50 - PVC 1 mặt Acrylic</t>
  </si>
  <si>
    <t>GV50.TP.PVC</t>
  </si>
  <si>
    <t>Tấm GV50 - Cốt Nhựa 1 mặt Acrylic chống cong</t>
  </si>
  <si>
    <t>GV50.TP.PVC.2M</t>
  </si>
  <si>
    <t>Tấm GV50 - PVC 2 mặt Acrylic</t>
  </si>
  <si>
    <t>GV51</t>
  </si>
  <si>
    <t>Tấm GV51 - Acrylic Foil</t>
  </si>
  <si>
    <t>GV51.TP</t>
  </si>
  <si>
    <t>Tấm GV51 - MDF 1 mặt Acrylic 1 mặt Bakerlic</t>
  </si>
  <si>
    <t>GV51.TP.2M</t>
  </si>
  <si>
    <t>Tấm GV51 - MDF 2 mặt Acrylic</t>
  </si>
  <si>
    <t>GV51.TP.PVC.1M</t>
  </si>
  <si>
    <t>Tấm GV51 - PVC 1 mặt Acrylic</t>
  </si>
  <si>
    <t>GV51.TP.PVC</t>
  </si>
  <si>
    <t>Tấm GV51 - Cốt Nhựa 1 mặt Acrylic chống cong</t>
  </si>
  <si>
    <t>GV51.TP.PVC.2M</t>
  </si>
  <si>
    <t>Tấm GV51 - PVC 2 mặt Acrylic</t>
  </si>
  <si>
    <t>GV52</t>
  </si>
  <si>
    <t>Tấm GV52 - Acrylic Foil</t>
  </si>
  <si>
    <t>GV52.TP</t>
  </si>
  <si>
    <t>Tấm GV52 - MDF 1 mặt Acrylic 1 mặt Bakerlic</t>
  </si>
  <si>
    <t>GV52.TP.2M</t>
  </si>
  <si>
    <t>Tấm GV52 - MDF 2 mặt Acrylic</t>
  </si>
  <si>
    <t>GV52.TP.PVC.1M</t>
  </si>
  <si>
    <t>Tấm GV52 - PVC 1 mặt Acrylic</t>
  </si>
  <si>
    <t>GV52.TP.PVC</t>
  </si>
  <si>
    <t>Tấm GV52 - Cốt Nhựa 1 mặt Acrylic chống cong</t>
  </si>
  <si>
    <t>GV52.TP.PVC.2M</t>
  </si>
  <si>
    <t>Tấm GV52 - PVC 2 mặt Acrylic</t>
  </si>
  <si>
    <t>GV53</t>
  </si>
  <si>
    <t>Tấm GV53 - Acrylic Foil</t>
  </si>
  <si>
    <t>GV53.TP</t>
  </si>
  <si>
    <t>Tấm GV53 - MDF 1 mặt Acrylic 1 mặt Bakerlic</t>
  </si>
  <si>
    <t>GV53.TP.2M</t>
  </si>
  <si>
    <t>Tấm GV53 - MDF 2 mặt Acrylic</t>
  </si>
  <si>
    <t>GV53.TP.PVC.1M</t>
  </si>
  <si>
    <t>Tấm GV53 - PVC 1 mặt Acrylic</t>
  </si>
  <si>
    <t>GV53.TP.PVC</t>
  </si>
  <si>
    <t>Tấm GV53 - Cốt Nhựa 1 mặt Acrylic chống cong</t>
  </si>
  <si>
    <t>GV53.TP.PVC.2M</t>
  </si>
  <si>
    <t>Tấm GV53 - PVC 2 mặt Acrylic</t>
  </si>
  <si>
    <t>GV54**</t>
  </si>
  <si>
    <t>Tấm GV54** - Acrylic Foil</t>
  </si>
  <si>
    <t>GV54**.TP</t>
  </si>
  <si>
    <t>Tấm GV54** - MDF 1 mặt Acrylic 1 mặt Bakerlic</t>
  </si>
  <si>
    <t>GV54**.TP.2M</t>
  </si>
  <si>
    <t>Tấm GV54** - MDF 2 mặt Acrylic</t>
  </si>
  <si>
    <t>GV54**.TP.PVC.1M</t>
  </si>
  <si>
    <t>Tấm GV54** - PVC 1 mặt Acrylic</t>
  </si>
  <si>
    <t>GV54**.TP.PVC</t>
  </si>
  <si>
    <t>Tấm GV54** - Cốt Nhựa 1 mặt Acrylic chống cong</t>
  </si>
  <si>
    <t>GV54**.TP.PVC.2M</t>
  </si>
  <si>
    <t>Tấm GV54** - PVC 2 mặt Acrylic</t>
  </si>
  <si>
    <t>GV55</t>
  </si>
  <si>
    <t>Tấm GV55 - Acrylic Foil</t>
  </si>
  <si>
    <t>GV55.TP</t>
  </si>
  <si>
    <t>Tấm GV55 - MDF 1 mặt Acrylic 1 mặt Bakerlic</t>
  </si>
  <si>
    <t>GV55.TP.2M</t>
  </si>
  <si>
    <t>Tấm GV55 - MDF 2 mặt Acrylic</t>
  </si>
  <si>
    <t>GV55.TP.PVC.1M</t>
  </si>
  <si>
    <t>Tấm GV55 - PVC 1 mặt Acrylic</t>
  </si>
  <si>
    <t>GV55.TP.PVC</t>
  </si>
  <si>
    <t>Tấm GV55 - Cốt Nhựa 1 mặt Acrylic chống cong</t>
  </si>
  <si>
    <t>GV55.TP.PVC.2M</t>
  </si>
  <si>
    <t>Tấm GV55 - PVC 2 mặt Acrylic</t>
  </si>
  <si>
    <t>GV56</t>
  </si>
  <si>
    <t>Tấm GV56 - Acrylic Foil</t>
  </si>
  <si>
    <t>GV56.TP</t>
  </si>
  <si>
    <t>Tấm GV56 - MDF 1 mặt Acrylic 1 mặt Bakerlic</t>
  </si>
  <si>
    <t>GV56.TP.2M</t>
  </si>
  <si>
    <t>Tấm GV56 - MDF 2 mặt Acrylic</t>
  </si>
  <si>
    <t>GV56.TP.PVC.1M</t>
  </si>
  <si>
    <t>Tấm GV56 - PVC 1 mặt Acrylic</t>
  </si>
  <si>
    <t>GV56.TP.PVC</t>
  </si>
  <si>
    <t>Tấm GV56 - Cốt Nhựa 1 mặt Acrylic chống cong</t>
  </si>
  <si>
    <t>GV56.TP.PVC.2M</t>
  </si>
  <si>
    <t>Tấm GV56 - PVC 2 mặt Acrylic</t>
  </si>
  <si>
    <t>GV57</t>
  </si>
  <si>
    <t>Tấm GV57 - Acrylic Foil</t>
  </si>
  <si>
    <t>GV57.TP</t>
  </si>
  <si>
    <t>Tấm GV57 - MDF 1 mặt Acrylic 1 mặt Bakerlic</t>
  </si>
  <si>
    <t>GV57.TP.2M</t>
  </si>
  <si>
    <t>Tấm GV57 - MDF 2 mặt Acrylic</t>
  </si>
  <si>
    <t>GV57.TP.PVC.1M</t>
  </si>
  <si>
    <t>Tấm GV57 - PVC 1 mặt Acrylic</t>
  </si>
  <si>
    <t>GV57.TP.PVC</t>
  </si>
  <si>
    <t>Tấm GV57 - Cốt Nhựa 1 mặt Acrylic chống cong</t>
  </si>
  <si>
    <t>GV57.TP.PVC.2M</t>
  </si>
  <si>
    <t>Tấm GV57 - PVC 2 mặt Acrylic</t>
  </si>
  <si>
    <t>GV58</t>
  </si>
  <si>
    <t>Tấm GV58 - Acrylic Foil</t>
  </si>
  <si>
    <t>GV58.TP</t>
  </si>
  <si>
    <t>Tấm GV58 - MDF 1 mặt Acrylic 1 mặt Bakerlic</t>
  </si>
  <si>
    <t>GV58.TP.2M</t>
  </si>
  <si>
    <t>Tấm GV58 - MDF 2 mặt Acrylic</t>
  </si>
  <si>
    <t>GV58.TP.PVC.1M</t>
  </si>
  <si>
    <t>Tấm GV58 - PVC 1 mặt Acrylic</t>
  </si>
  <si>
    <t>GV58.TP.PVC</t>
  </si>
  <si>
    <t>Tấm GV58 - Cốt Nhựa 1 mặt Acrylic chống cong</t>
  </si>
  <si>
    <t>GV58.TP.PVC.2M</t>
  </si>
  <si>
    <t>Tấm GV58 - PVC 2 mặt Acrylic</t>
  </si>
  <si>
    <t>GV59</t>
  </si>
  <si>
    <t>Tấm GV59 - Acrylic Foil</t>
  </si>
  <si>
    <t>GV59.TP</t>
  </si>
  <si>
    <t>Tấm GV59 - MDF 1 mặt Acrylic 1 mặt Bakerlic</t>
  </si>
  <si>
    <t>GV59.TP.2M</t>
  </si>
  <si>
    <t>Tấm GV59 - MDF 2 mặt Acrylic</t>
  </si>
  <si>
    <t>GV59.TP.PVC.1M</t>
  </si>
  <si>
    <t>Tấm GV59 - PVC 1 mặt Acrylic</t>
  </si>
  <si>
    <t>GV59.TP.PVC</t>
  </si>
  <si>
    <t>Tấm GV59 - Cốt Nhựa 1 mặt Acrylic chống cong</t>
  </si>
  <si>
    <t>GV59.TP.PVC.2M</t>
  </si>
  <si>
    <t>Tấm GV59 - PVC 2 mặt Acrylic</t>
  </si>
  <si>
    <t>GV60</t>
  </si>
  <si>
    <t>Tấm GV60 - Acrylic Foil</t>
  </si>
  <si>
    <t>GV60.TP</t>
  </si>
  <si>
    <t>Tấm GV60 - MDF 1 mặt Acrylic 1 mặt Bakerlic</t>
  </si>
  <si>
    <t>GV60.TP.2M</t>
  </si>
  <si>
    <t>Tấm GV60 - MDF 2 mặt Acrylic</t>
  </si>
  <si>
    <t>GV60.TP.PVC.1M</t>
  </si>
  <si>
    <t>Tấm GV60 - PVC 1 mặt Acrylic</t>
  </si>
  <si>
    <t>GV60.TP.PVC</t>
  </si>
  <si>
    <t>Tấm GV60 - Cốt Nhựa 1 mặt Acrylic chống cong</t>
  </si>
  <si>
    <t>GV60.TP.PVC.2M</t>
  </si>
  <si>
    <t>Tấm GV60 - PVC 2 mặt Acrylic</t>
  </si>
  <si>
    <t>GV61</t>
  </si>
  <si>
    <t>Tấm GV61 - Acrylic Foil</t>
  </si>
  <si>
    <t>GV61.TP</t>
  </si>
  <si>
    <t>Tấm GV61 - MDF 1 mặt Acrylic 1 mặt Bakerlic</t>
  </si>
  <si>
    <t>GV61.TP.2M</t>
  </si>
  <si>
    <t>Tấm GV61 - MDF 2 mặt Acrylic</t>
  </si>
  <si>
    <t>GV61.TP.PVC.1M</t>
  </si>
  <si>
    <t>Tấm GV61 - PVC 1 mặt Acrylic</t>
  </si>
  <si>
    <t>GV61.TP.PVC</t>
  </si>
  <si>
    <t>Tấm GV61 - Cốt Nhựa 1 mặt Acrylic chống cong</t>
  </si>
  <si>
    <t>GV61.TP.PVC.2M</t>
  </si>
  <si>
    <t>Tấm GV61 - PVC 2 mặt Acrylic</t>
  </si>
  <si>
    <t>GV62**</t>
  </si>
  <si>
    <t>Tấm GV62** - Acrylic Foil</t>
  </si>
  <si>
    <t>GV62**.TP</t>
  </si>
  <si>
    <t>Tấm GV62** - MDF 1 mặt Acrylic 1 mặt Bakerlic</t>
  </si>
  <si>
    <t>GV62**.TP.2M</t>
  </si>
  <si>
    <t>Tấm GV62** - MDF 2 mặt Acrylic</t>
  </si>
  <si>
    <t>GV62**.TP.PVC.1M</t>
  </si>
  <si>
    <t>Tấm GV62** - PVC 1 mặt Acrylic</t>
  </si>
  <si>
    <t>GV62**.TP.PVC</t>
  </si>
  <si>
    <t>Tấm GV62** - Cốt Nhựa 1 mặt Acrylic chống cong</t>
  </si>
  <si>
    <t>GV62**.TP.PVC.2M</t>
  </si>
  <si>
    <t>Tấm GV62** - PVC 2 mặt Acrylic</t>
  </si>
  <si>
    <t>GV63</t>
  </si>
  <si>
    <t>Tấm GV63 - Acrylic Foil</t>
  </si>
  <si>
    <t>GV63.TP</t>
  </si>
  <si>
    <t>Tấm GV63 - MDF 1 mặt Acrylic 1 mặt Bakerlic</t>
  </si>
  <si>
    <t>GV63.TP.2M</t>
  </si>
  <si>
    <t>Tấm GV63 - MDF 2 mặt Acrylic</t>
  </si>
  <si>
    <t>GV63.TP.PVC.1M</t>
  </si>
  <si>
    <t>Tấm GV63 - PVC 1 mặt Acrylic</t>
  </si>
  <si>
    <t>GV63.TP.PVC</t>
  </si>
  <si>
    <t>Tấm GV63 - Cốt Nhựa 1 mặt Acrylic chống cong</t>
  </si>
  <si>
    <t>GV63.TP.PVC.2M</t>
  </si>
  <si>
    <t>Tấm GV63 - PVC 2 mặt Acrylic</t>
  </si>
  <si>
    <t>GV64</t>
  </si>
  <si>
    <t>Tấm GV64 - Acrylic Foil</t>
  </si>
  <si>
    <t>GV64.TP</t>
  </si>
  <si>
    <t>Tấm GV64 - MDF 1 mặt Acrylic 1 mặt Bakerlic</t>
  </si>
  <si>
    <t>GV64.TP.2M</t>
  </si>
  <si>
    <t>Tấm GV64 - MDF 2 mặt Acrylic</t>
  </si>
  <si>
    <t>GV64.TP.PVC.1M</t>
  </si>
  <si>
    <t>Tấm GV64 - PVC 1 mặt Acrylic</t>
  </si>
  <si>
    <t>GV64.TP.PVC</t>
  </si>
  <si>
    <t>Tấm GV64 - Cốt Nhựa 1 mặt Acrylic chống cong</t>
  </si>
  <si>
    <t>GV64.TP.PVC.2M</t>
  </si>
  <si>
    <t>Tấm GV64 - PVC 2 mặt Acrylic</t>
  </si>
  <si>
    <t>GV65</t>
  </si>
  <si>
    <t>Tấm GV65 - Acrylic Foil</t>
  </si>
  <si>
    <t>GV65.TP</t>
  </si>
  <si>
    <t>Tấm GV65 - MDF 1 mặt Acrylic 1 mặt Bakerlic</t>
  </si>
  <si>
    <t>GV65.TP.2M</t>
  </si>
  <si>
    <t>Tấm GV65 - MDF 2 mặt Acrylic</t>
  </si>
  <si>
    <t>GV65.TP.PVC.1M</t>
  </si>
  <si>
    <t>Tấm GV65 - PVC 1 mặt Acrylic</t>
  </si>
  <si>
    <t>GV65.TP.PVC</t>
  </si>
  <si>
    <t>Tấm GV65 - Cốt Nhựa 1 mặt Acrylic chống cong</t>
  </si>
  <si>
    <t>GV65.TP.PVC.2M</t>
  </si>
  <si>
    <t>Tấm GV65 - PVC 2 mặt Acrylic</t>
  </si>
  <si>
    <t>GV66</t>
  </si>
  <si>
    <t>Tấm GV66 - Acrylic Foil</t>
  </si>
  <si>
    <t>GV66.TP</t>
  </si>
  <si>
    <t>Tấm GV66 - MDF 1 mặt Acrylic 1 mặt Bakerlic</t>
  </si>
  <si>
    <t>GV66.TP.2M</t>
  </si>
  <si>
    <t>Tấm GV66 - MDF 2 mặt Acrylic</t>
  </si>
  <si>
    <t>GV66.TP.PVC.1M</t>
  </si>
  <si>
    <t>Tấm GV66 - PVC 1 mặt Acrylic</t>
  </si>
  <si>
    <t>GV66.TP.PVC</t>
  </si>
  <si>
    <t>Tấm GV66 - Cốt Nhựa 1 mặt Acrylic chống cong</t>
  </si>
  <si>
    <t>GV66.TP.PVC.2M</t>
  </si>
  <si>
    <t>Tấm GV66 - PVC 2 mặt Acrylic</t>
  </si>
  <si>
    <t>GV67</t>
  </si>
  <si>
    <t>Tấm GV67 - Acrylic Foil</t>
  </si>
  <si>
    <t>GV67.TP</t>
  </si>
  <si>
    <t>Tấm GV67 - MDF 1 mặt Acrylic 1 mặt Bakerlic</t>
  </si>
  <si>
    <t>GV67.TP.2M</t>
  </si>
  <si>
    <t>Tấm GV67 - MDF 2 mặt Acrylic</t>
  </si>
  <si>
    <t>GV67.TP.PVC.1M</t>
  </si>
  <si>
    <t>Tấm GV67 - PVC 1 mặt Acrylic</t>
  </si>
  <si>
    <t>GV67.TP.PVC</t>
  </si>
  <si>
    <t>Tấm GV67 - Cốt Nhựa 1 mặt Acrylic chống cong</t>
  </si>
  <si>
    <t>GV67.TP.PVC.2M</t>
  </si>
  <si>
    <t>Tấm GV67 - PVC 2 mặt Acrylic</t>
  </si>
  <si>
    <t>GV68</t>
  </si>
  <si>
    <t>Tấm GV68 - Acrylic Foil</t>
  </si>
  <si>
    <t>GV68.TP</t>
  </si>
  <si>
    <t>Tấm GV68 - MDF 1 mặt Acrylic 1 mặt Bakerlic</t>
  </si>
  <si>
    <t>GV68.TP.2M</t>
  </si>
  <si>
    <t>Tấm GV68 - MDF 2 mặt Acrylic</t>
  </si>
  <si>
    <t>GV68.TP.PVC.1M</t>
  </si>
  <si>
    <t>Tấm GV68 - PVC 1 mặt Acrylic</t>
  </si>
  <si>
    <t>GV68.TP.PVC</t>
  </si>
  <si>
    <t>Tấm GV68 - Cốt Nhựa 1 mặt Acrylic chống cong</t>
  </si>
  <si>
    <t>GV68.TP.PVC.2M</t>
  </si>
  <si>
    <t>Tấm GV68 - PVC 2 mặt Acrylic</t>
  </si>
  <si>
    <t>GV69</t>
  </si>
  <si>
    <t>Tấm GV69 - Acrylic Foil</t>
  </si>
  <si>
    <t>GV69.TP</t>
  </si>
  <si>
    <t>Tấm GV69 - MDF 1 mặt Acrylic 1 mặt Bakerlic</t>
  </si>
  <si>
    <t>GV69.TP.2M</t>
  </si>
  <si>
    <t>Tấm GV69 - MDF 2 mặt Acrylic</t>
  </si>
  <si>
    <t>GV69.TP.PVC.1M</t>
  </si>
  <si>
    <t>Tấm GV69 - PVC 1 mặt Acrylic</t>
  </si>
  <si>
    <t>GV69.TP.PVC</t>
  </si>
  <si>
    <t>Tấm GV69 - Cốt Nhựa 1 mặt Acrylic chống cong</t>
  </si>
  <si>
    <t>GV69.TP.PVC.2M</t>
  </si>
  <si>
    <t>Tấm GV69 - PVC 2 mặt Acrylic</t>
  </si>
  <si>
    <t>GV70</t>
  </si>
  <si>
    <t>Tấm GV70 - Acrylic Foil</t>
  </si>
  <si>
    <t>GV70.TP</t>
  </si>
  <si>
    <t>Tấm GV70 - MDF 1 mặt Acrylic 1 mặt Bakerlic</t>
  </si>
  <si>
    <t>GV70.TP.2M</t>
  </si>
  <si>
    <t>Tấm GV70 - MDF 2 mặt Acrylic</t>
  </si>
  <si>
    <t>GV70.TP.PVC.1M</t>
  </si>
  <si>
    <t>Tấm GV70 - PVC 1 mặt Acrylic</t>
  </si>
  <si>
    <t>GV70.TP.PVC</t>
  </si>
  <si>
    <t>Tấm GV70 - Cốt Nhựa 1 mặt Acrylic chống cong</t>
  </si>
  <si>
    <t>GV70.TP.PVC.2M</t>
  </si>
  <si>
    <t>Tấm GV70 - PVC 2 mặt Acrylic</t>
  </si>
  <si>
    <t>GV71</t>
  </si>
  <si>
    <t>Tấm GV71 - Acrylic Foil</t>
  </si>
  <si>
    <t>GV71.TP</t>
  </si>
  <si>
    <t>Tấm GV71 - MDF 1 mặt Acrylic 1 mặt Bakerlic</t>
  </si>
  <si>
    <t>GV71.TP.2M</t>
  </si>
  <si>
    <t>Tấm GV71 - MDF 2 mặt Acrylic</t>
  </si>
  <si>
    <t>GV71.TP.PVC.1M</t>
  </si>
  <si>
    <t>Tấm GV71 - PVC 1 mặt Acrylic</t>
  </si>
  <si>
    <t>GV71.TP.PVC</t>
  </si>
  <si>
    <t>Tấm GV71 - Cốt Nhựa 1 mặt Acrylic chống cong</t>
  </si>
  <si>
    <t>GV71.TP.PVC.2M</t>
  </si>
  <si>
    <t>Tấm GV71 - PVC 2 mặt Acrylic</t>
  </si>
  <si>
    <t>GV72</t>
  </si>
  <si>
    <t>Tấm GV72 - Acrylic Foil</t>
  </si>
  <si>
    <t>GV72.TP</t>
  </si>
  <si>
    <t>Tấm GV72 - MDF 1 mặt Acrylic 1 mặt Bakerlic</t>
  </si>
  <si>
    <t>GV72.TP.2M</t>
  </si>
  <si>
    <t>Tấm GV72 - MDF 2 mặt Acrylic</t>
  </si>
  <si>
    <t>GV72.TP.PVC.1M</t>
  </si>
  <si>
    <t>Tấm GV72 - PVC 1 mặt Acrylic</t>
  </si>
  <si>
    <t>GV72.TP.PVC</t>
  </si>
  <si>
    <t>Tấm GV72 - Cốt Nhựa 1 mặt Acrylic chống cong</t>
  </si>
  <si>
    <t>GV72.TP.PVC.2M</t>
  </si>
  <si>
    <t>Tấm GV72 - PVC 2 mặt Acrylic</t>
  </si>
  <si>
    <t>GV73</t>
  </si>
  <si>
    <t>Tấm GV73 - Acrylic Foil</t>
  </si>
  <si>
    <t>GV73.TP</t>
  </si>
  <si>
    <t>Tấm GV73 - MDF 1 mặt Acrylic 1 mặt Bakerlic</t>
  </si>
  <si>
    <t>GV73.TP.2M</t>
  </si>
  <si>
    <t>Tấm GV73 - MDF 2 mặt Acrylic</t>
  </si>
  <si>
    <t>GV73.TP.PVC.1M</t>
  </si>
  <si>
    <t>Tấm GV73 - PVC 1 mặt Acrylic</t>
  </si>
  <si>
    <t>GV73.TP.PVC</t>
  </si>
  <si>
    <t>Tấm GV73 - Cốt Nhựa 1 mặt Acrylic chống cong</t>
  </si>
  <si>
    <t>GV73.TP.PVC.2M</t>
  </si>
  <si>
    <t>Tấm GV73 - PVC 2 mặt Acrylic</t>
  </si>
  <si>
    <t>GV74</t>
  </si>
  <si>
    <t>Tấm GV74 - Acrylic Foil</t>
  </si>
  <si>
    <t>GV74.TP</t>
  </si>
  <si>
    <t>Tấm GV74 - MDF 1 mặt Acrylic 1 mặt Bakerlic</t>
  </si>
  <si>
    <t>GV74.TP.2M</t>
  </si>
  <si>
    <t>Tấm GV74 - MDF 2 mặt Acrylic</t>
  </si>
  <si>
    <t>GV74.TP.PVC.1M</t>
  </si>
  <si>
    <t>Tấm GV74 - PVC 1 mặt Acrylic</t>
  </si>
  <si>
    <t>GV74.TP.PVC</t>
  </si>
  <si>
    <t>Tấm GV74 - Cốt Nhựa 1 mặt Acrylic chống cong</t>
  </si>
  <si>
    <t>GV74.TP.PVC.2M</t>
  </si>
  <si>
    <t>Tấm GV74 - PVC 2 mặt Acrylic</t>
  </si>
  <si>
    <t>GV75</t>
  </si>
  <si>
    <t>Tấm GV75 - Acrylic Foil</t>
  </si>
  <si>
    <t>GV75.TP</t>
  </si>
  <si>
    <t>Tấm GV75 - MDF 1 mặt Acrylic 1 mặt Bakerlic</t>
  </si>
  <si>
    <t>GV75.TP.2M</t>
  </si>
  <si>
    <t>Tấm GV75 - MDF 2 mặt Acrylic</t>
  </si>
  <si>
    <t>GV75.TP.PVC.1M</t>
  </si>
  <si>
    <t>Tấm GV75 - PVC 1 mặt Acrylic</t>
  </si>
  <si>
    <t>GV75.TP.PVC</t>
  </si>
  <si>
    <t>Tấm GV75 - Cốt Nhựa 1 mặt Acrylic chống cong</t>
  </si>
  <si>
    <t>GV75.TP.PVC.2M</t>
  </si>
  <si>
    <t>Tấm GV75 - PVC 2 mặt Acrylic</t>
  </si>
  <si>
    <t>TỔNG CỘNG:</t>
  </si>
  <si>
    <t>GV05W</t>
  </si>
  <si>
    <t>Tấm GV05W - Acrylic Foil</t>
  </si>
  <si>
    <t>GV50C</t>
  </si>
  <si>
    <t>Tấm GV50 Cũ - Acrylic Foil</t>
  </si>
  <si>
    <t>TỒN KHO KIỂM TỪ 15/10</t>
  </si>
  <si>
    <t xml:space="preserve">THÊM HAI MÃ NÀY CÓ TỒN </t>
  </si>
  <si>
    <t xml:space="preserve">TÊN HÀNG FOIL THAY THẾ TÊN CŨ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</si>
</sst>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b/>
      <sz val="12"/>
      <color rgb="FFFFFFFF"/>
      <name val="Times New Roman"/>
      <family val="1"/>
    </font>
    <font>
      <sz val="12"/>
      <color rgb="FF000000"/>
      <name val="Times New Roman"/>
      <family val="1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1" tint="4.9989318521683403E-2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4" fillId="0" borderId="1" xfId="0" applyFont="1" applyBorder="1"/>
    <xf numFmtId="0" fontId="4" fillId="3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5" fillId="3" borderId="2" xfId="0" applyFont="1" applyFill="1" applyBorder="1" applyAlignment="1">
      <alignment horizontal="center" wrapText="1"/>
    </xf>
    <xf numFmtId="0" fontId="2" fillId="5" borderId="3" xfId="0" applyFont="1" applyFill="1" applyBorder="1"/>
    <xf numFmtId="0" fontId="2" fillId="6" borderId="1" xfId="0" applyFont="1" applyFill="1" applyBorder="1"/>
    <xf numFmtId="0" fontId="0" fillId="7" borderId="1" xfId="0" applyFill="1" applyBorder="1"/>
    <xf numFmtId="0" fontId="2" fillId="8" borderId="1" xfId="0" applyFont="1" applyFill="1" applyBorder="1"/>
    <xf numFmtId="0" fontId="0" fillId="4" borderId="0" xfId="0" applyFill="1"/>
    <xf numFmtId="0" fontId="1" fillId="0" borderId="0" xfId="0" applyFont="1" applyFill="1"/>
    <xf numFmtId="0" fontId="0" fillId="0" borderId="0" xfId="0" applyFill="1"/>
    <xf numFmtId="0" fontId="3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TONG_HOP_TON_KHO%20T10.2026%20theo%20ki&#7875;m%20k&#234;.%20s&#7917;a.xlsx" TargetMode="External"/><Relationship Id="rId1" Type="http://schemas.openxmlformats.org/officeDocument/2006/relationships/externalLinkPath" Target="TONG_HOP_TON_KHO%20T10.2026%20theo%20ki&#7875;m%20k&#234;.%20s&#7917;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ồn Late BM T10"/>
      <sheetName val="TỔN KHO TỔNG T10"/>
      <sheetName val="Tồn Kho Thành Phẩm T10"/>
      <sheetName val="Tồn Acrilic  T10"/>
      <sheetName val="NOTE"/>
      <sheetName val="Sheet2"/>
      <sheetName val="Tồn Acrilic  T1"/>
      <sheetName val="Tồn Acrilic  T10 .nháp"/>
    </sheetNames>
    <sheetDataSet>
      <sheetData sheetId="0"/>
      <sheetData sheetId="1"/>
      <sheetData sheetId="2"/>
      <sheetData sheetId="3">
        <row r="6">
          <cell r="C6" t="str">
            <v>GV01**</v>
          </cell>
          <cell r="D6" t="str">
            <v>Acrylic siêu chống xước Áo, AM1800TopX, white 11046 color GV01</v>
          </cell>
          <cell r="E6" t="str">
            <v>Tấm</v>
          </cell>
          <cell r="F6">
            <v>1203</v>
          </cell>
        </row>
        <row r="7">
          <cell r="C7" t="str">
            <v>GV02**</v>
          </cell>
          <cell r="D7" t="str">
            <v>Acrylic siêu chống xước Áo, AM1800TopX, white 1982 color GV02</v>
          </cell>
          <cell r="E7" t="str">
            <v>Tấm</v>
          </cell>
          <cell r="F7">
            <v>287</v>
          </cell>
        </row>
        <row r="8">
          <cell r="C8" t="str">
            <v>GV03**</v>
          </cell>
          <cell r="D8" t="str">
            <v>Acrylic siêu chống xước Áo, AM1800TopX, white 1994 color GV03</v>
          </cell>
          <cell r="E8" t="str">
            <v>Tấm</v>
          </cell>
          <cell r="F8">
            <v>54</v>
          </cell>
        </row>
        <row r="9">
          <cell r="C9" t="str">
            <v>GV04**</v>
          </cell>
          <cell r="D9" t="str">
            <v>Acrylic siêu chống xước Áo, AM1800TopX Pearl, white metallic color 11035 GV04</v>
          </cell>
          <cell r="E9" t="str">
            <v>Tấm</v>
          </cell>
          <cell r="F9">
            <v>58</v>
          </cell>
        </row>
        <row r="10">
          <cell r="C10" t="str">
            <v>GV05</v>
          </cell>
          <cell r="D10" t="str">
            <v>Acrylic UltraGloss, Arctic white SO10-102 color GV05</v>
          </cell>
          <cell r="E10" t="str">
            <v>Tấm</v>
          </cell>
          <cell r="F10">
            <v>1200</v>
          </cell>
        </row>
        <row r="11">
          <cell r="C11" t="str">
            <v>GV05W</v>
          </cell>
          <cell r="D11" t="str">
            <v>High Gloss Acrylic sheet, White, 17W</v>
          </cell>
          <cell r="E11" t="str">
            <v>Tấm</v>
          </cell>
          <cell r="F11">
            <v>1302</v>
          </cell>
        </row>
        <row r="12">
          <cell r="C12" t="str">
            <v>GV06</v>
          </cell>
          <cell r="D12" t="str">
            <v>Acrylic UltraGloss, White metallic SO10-901 color GV06</v>
          </cell>
          <cell r="E12" t="str">
            <v>Tấm</v>
          </cell>
          <cell r="F12">
            <v>447</v>
          </cell>
        </row>
        <row r="13">
          <cell r="C13" t="str">
            <v>GV07</v>
          </cell>
          <cell r="D13" t="str">
            <v>Acrylic UltraGloss, Alabaster SO10-103 color  GV07</v>
          </cell>
          <cell r="E13" t="str">
            <v>Tấm</v>
          </cell>
          <cell r="F13">
            <v>318</v>
          </cell>
        </row>
        <row r="14">
          <cell r="C14" t="str">
            <v>GV08</v>
          </cell>
          <cell r="D14" t="str">
            <v>Acrylic UltraGloss, Creme SO10-201 color  GV08</v>
          </cell>
          <cell r="E14" t="str">
            <v>Tấm</v>
          </cell>
          <cell r="F14">
            <v>466</v>
          </cell>
        </row>
        <row r="15">
          <cell r="C15" t="str">
            <v>GV09**</v>
          </cell>
          <cell r="D15" t="str">
            <v>Acrylic siêu chống xước Áo, AM1800TopX, grey 85468 color  GV09**</v>
          </cell>
          <cell r="E15" t="str">
            <v>Tấm</v>
          </cell>
          <cell r="F15">
            <v>257</v>
          </cell>
        </row>
        <row r="16">
          <cell r="C16" t="str">
            <v>GV10**</v>
          </cell>
          <cell r="D16" t="str">
            <v>Acrylic siêu chống xước Áo, AM1800TopX, grey 85384 color GV10**</v>
          </cell>
          <cell r="E16" t="str">
            <v>Tấm</v>
          </cell>
          <cell r="F16">
            <v>420</v>
          </cell>
        </row>
        <row r="17">
          <cell r="C17" t="str">
            <v>GV100*</v>
          </cell>
          <cell r="D17" t="str">
            <v>Acrylic, AM1700XU, beige 7315 color GV12</v>
          </cell>
          <cell r="E17" t="str">
            <v>Tấm</v>
          </cell>
          <cell r="F17">
            <v>54</v>
          </cell>
        </row>
        <row r="18">
          <cell r="C18" t="str">
            <v>GV102*</v>
          </cell>
          <cell r="D18" t="str">
            <v>Acrylic, AM1700XU, beige 7368 color GV15</v>
          </cell>
          <cell r="E18" t="str">
            <v>Tấm</v>
          </cell>
          <cell r="F18">
            <v>88</v>
          </cell>
        </row>
        <row r="19">
          <cell r="C19" t="str">
            <v>GV104*</v>
          </cell>
          <cell r="D19" t="str">
            <v>Acrylic, AM1500X, blue metallic 4472 color GV41</v>
          </cell>
          <cell r="E19" t="str">
            <v>Tấm</v>
          </cell>
          <cell r="F19">
            <v>0</v>
          </cell>
        </row>
        <row r="20">
          <cell r="C20" t="str">
            <v>GV107**</v>
          </cell>
          <cell r="D20" t="str">
            <v>High Gloss Acrylic sheet, Beige metallic, EB-PG006</v>
          </cell>
          <cell r="E20" t="str">
            <v>Tấm</v>
          </cell>
          <cell r="F20">
            <v>64</v>
          </cell>
        </row>
        <row r="21">
          <cell r="C21" t="str">
            <v>GV108**</v>
          </cell>
          <cell r="D21" t="str">
            <v>High Gloss Acrylic sheet, Light silver metallic, EB-PG007</v>
          </cell>
          <cell r="E21" t="str">
            <v>Tấm</v>
          </cell>
          <cell r="F21">
            <v>141</v>
          </cell>
        </row>
        <row r="22">
          <cell r="C22" t="str">
            <v>GV109**</v>
          </cell>
          <cell r="D22" t="str">
            <v>High Gloss Acrylic sheet, Dark silver metallic, EB-PG009</v>
          </cell>
          <cell r="E22" t="str">
            <v>Tấm</v>
          </cell>
          <cell r="F22">
            <v>0</v>
          </cell>
        </row>
        <row r="23">
          <cell r="C23" t="str">
            <v>GV11**</v>
          </cell>
          <cell r="D23" t="str">
            <v>Acrylic siêu chống xước Áo, AM1800TopX, Beige metallic 7499 color GV11**</v>
          </cell>
          <cell r="E23" t="str">
            <v>Tấm</v>
          </cell>
          <cell r="F23">
            <v>82</v>
          </cell>
        </row>
        <row r="24">
          <cell r="C24" t="str">
            <v>GV110**</v>
          </cell>
          <cell r="D24" t="str">
            <v>High Gloss Acrylic sheet, Silver metallic, EB-PG018</v>
          </cell>
          <cell r="E24" t="str">
            <v>Tấm</v>
          </cell>
          <cell r="F24">
            <v>84</v>
          </cell>
        </row>
        <row r="25">
          <cell r="C25" t="str">
            <v>GV111**</v>
          </cell>
          <cell r="D25" t="str">
            <v>High Gloss Acrylic sheet, Grey metallic, EB-PG024</v>
          </cell>
          <cell r="E25" t="str">
            <v>Tấm</v>
          </cell>
          <cell r="F25">
            <v>189</v>
          </cell>
        </row>
        <row r="26">
          <cell r="C26" t="str">
            <v>GV112**</v>
          </cell>
          <cell r="D26" t="str">
            <v>High Gloss Acrylic sheet, Dark grey metallic, EB-PG025</v>
          </cell>
          <cell r="E26" t="str">
            <v>Tấm</v>
          </cell>
          <cell r="F26">
            <v>250</v>
          </cell>
        </row>
        <row r="27">
          <cell r="C27" t="str">
            <v>GV113**</v>
          </cell>
          <cell r="D27" t="str">
            <v>High Gloss Acrylic sheet, Copper silver metallic, EB-PG028</v>
          </cell>
          <cell r="E27" t="str">
            <v>Tấm</v>
          </cell>
          <cell r="F27">
            <v>214</v>
          </cell>
        </row>
        <row r="28">
          <cell r="C28" t="str">
            <v>GV12**</v>
          </cell>
          <cell r="D28" t="str">
            <v>Acrylic siêu chống xước Áo, AM1800TopX, beige 7496 GV12**</v>
          </cell>
          <cell r="E28" t="str">
            <v>Tấm</v>
          </cell>
          <cell r="F28">
            <v>127</v>
          </cell>
        </row>
        <row r="29">
          <cell r="C29" t="str">
            <v>GV120</v>
          </cell>
          <cell r="E29" t="str">
            <v>Tấm</v>
          </cell>
          <cell r="F29">
            <v>6460</v>
          </cell>
        </row>
        <row r="30">
          <cell r="C30" t="str">
            <v>GV121</v>
          </cell>
          <cell r="D30" t="str">
            <v>High Gloss Acrylic sheet, Grey, AC110,GV121</v>
          </cell>
          <cell r="E30" t="str">
            <v>Tấm</v>
          </cell>
          <cell r="F30">
            <v>205</v>
          </cell>
        </row>
        <row r="31">
          <cell r="C31" t="str">
            <v>GV122</v>
          </cell>
          <cell r="D31" t="str">
            <v>High Gloss Acrylic sheet, Milk grey, ASA-20105-L,GV122</v>
          </cell>
          <cell r="E31" t="str">
            <v>Tấm</v>
          </cell>
          <cell r="F31">
            <v>271</v>
          </cell>
        </row>
        <row r="32">
          <cell r="C32" t="str">
            <v>GV123</v>
          </cell>
          <cell r="D32" t="str">
            <v>High Gloss Acrylic sheet, Light pearl iron, ASA-20204-Z, GV123</v>
          </cell>
          <cell r="E32" t="str">
            <v>Tấm</v>
          </cell>
          <cell r="F32">
            <v>428</v>
          </cell>
        </row>
        <row r="33">
          <cell r="C33" t="str">
            <v>GV124</v>
          </cell>
          <cell r="D33" t="str">
            <v>High Gloss Acrylic sheet, Purple pearl metallic, ASA-20208-81Z, GV124</v>
          </cell>
          <cell r="E33" t="str">
            <v>Tấm</v>
          </cell>
          <cell r="F33">
            <v>179</v>
          </cell>
        </row>
        <row r="34">
          <cell r="C34" t="str">
            <v>GV125</v>
          </cell>
          <cell r="D34" t="str">
            <v>High Gloss Acrylic sheet, Silver iron metallic, ASA-20212-Z, GV125</v>
          </cell>
          <cell r="E34" t="str">
            <v>Tấm</v>
          </cell>
          <cell r="F34">
            <v>279</v>
          </cell>
        </row>
        <row r="35">
          <cell r="C35" t="str">
            <v>GV126</v>
          </cell>
          <cell r="D35" t="str">
            <v>High Gloss Acrylic sheet, Grey, ASA-20109-L, GV126</v>
          </cell>
          <cell r="E35" t="str">
            <v>Tấm</v>
          </cell>
          <cell r="F35">
            <v>251</v>
          </cell>
        </row>
        <row r="36">
          <cell r="C36" t="str">
            <v>GV127</v>
          </cell>
          <cell r="D36" t="str">
            <v>High Gloss Acrylic sheet, Dark grey, ASA-20110-L,GV127</v>
          </cell>
          <cell r="E36" t="str">
            <v>Tấm</v>
          </cell>
          <cell r="F36">
            <v>121</v>
          </cell>
        </row>
        <row r="37">
          <cell r="C37" t="str">
            <v>GV128</v>
          </cell>
          <cell r="D37" t="str">
            <v>High Gloss Acrylic sheet, Silver metallic, ASA-20211-Z,GV128</v>
          </cell>
          <cell r="E37" t="str">
            <v>Tấm</v>
          </cell>
          <cell r="F37">
            <v>173</v>
          </cell>
        </row>
        <row r="38">
          <cell r="C38" t="str">
            <v>GV129</v>
          </cell>
          <cell r="D38" t="str">
            <v>High Gloss Acrylic sheet, Gold iron, ASA-20206-Z, GV129</v>
          </cell>
          <cell r="E38" t="str">
            <v>Tấm</v>
          </cell>
          <cell r="F38">
            <v>176</v>
          </cell>
        </row>
        <row r="39">
          <cell r="C39" t="str">
            <v>GV13</v>
          </cell>
          <cell r="D39" t="str">
            <v>High Gloss Acrylic sheet, Brown, 99BR GV13</v>
          </cell>
          <cell r="E39" t="str">
            <v>Tấm</v>
          </cell>
          <cell r="F39">
            <v>94</v>
          </cell>
        </row>
        <row r="40">
          <cell r="C40" t="str">
            <v>GV130</v>
          </cell>
          <cell r="D40" t="str">
            <v>High Gloss Acrylic sheet, Grey metallic, ASA-20214-Z,GV130</v>
          </cell>
          <cell r="E40" t="str">
            <v>Tấm</v>
          </cell>
          <cell r="F40">
            <v>163</v>
          </cell>
        </row>
        <row r="41">
          <cell r="C41" t="str">
            <v>GV131</v>
          </cell>
          <cell r="D41" t="str">
            <v>High Gloss Acrylic sheet, Copper metallic, ASA-20217-Z, GV131</v>
          </cell>
          <cell r="E41" t="str">
            <v>Tấm</v>
          </cell>
          <cell r="F41">
            <v>178</v>
          </cell>
        </row>
        <row r="42">
          <cell r="C42" t="str">
            <v>GV132</v>
          </cell>
          <cell r="D42" t="str">
            <v>High Gloss Acrylic sheet, Pearl iron metallic, ASA-20102-81L, GV132</v>
          </cell>
          <cell r="E42" t="str">
            <v>Tấm</v>
          </cell>
          <cell r="F42">
            <v>133</v>
          </cell>
        </row>
        <row r="43">
          <cell r="C43" t="str">
            <v>GV133</v>
          </cell>
          <cell r="D43" t="str">
            <v>High Gloss Acrylic sheet, Light brown metallic, ASA-20107-82L, GV133</v>
          </cell>
          <cell r="E43" t="str">
            <v>Tấm</v>
          </cell>
          <cell r="F43">
            <v>203</v>
          </cell>
        </row>
        <row r="44">
          <cell r="C44" t="str">
            <v>GV134</v>
          </cell>
          <cell r="D44" t="str">
            <v>High Gloss Acrylic sheet, Navy blue metallic, ASA-20218-Z, GV134</v>
          </cell>
          <cell r="E44" t="str">
            <v>Tấm</v>
          </cell>
          <cell r="F44">
            <v>220</v>
          </cell>
        </row>
        <row r="45">
          <cell r="C45" t="str">
            <v>GV135</v>
          </cell>
          <cell r="D45" t="str">
            <v>High Gloss Acrylic sheet, Ivory white, ASA-20113-L, GV135</v>
          </cell>
          <cell r="E45" t="str">
            <v>Tấm</v>
          </cell>
          <cell r="F45">
            <v>163</v>
          </cell>
        </row>
        <row r="46">
          <cell r="C46" t="str">
            <v>GV136</v>
          </cell>
          <cell r="D46" t="str">
            <v>High Gloss Acrylic sheet, Pearl cream white metallic, ASA-K0018-Z, GV136</v>
          </cell>
          <cell r="E46" t="str">
            <v>Tấm</v>
          </cell>
          <cell r="F46">
            <v>189</v>
          </cell>
        </row>
        <row r="47">
          <cell r="C47" t="str">
            <v>GV137</v>
          </cell>
          <cell r="D47" t="str">
            <v>High Gloss Acrylic sheet, Grey iron purple metallic, ASA-20110-81L, GV137</v>
          </cell>
          <cell r="E47" t="str">
            <v>Tấm</v>
          </cell>
          <cell r="F47">
            <v>208</v>
          </cell>
        </row>
        <row r="48">
          <cell r="C48" t="str">
            <v>GV138</v>
          </cell>
          <cell r="D48" t="str">
            <v>High Gloss Acrylic sheet, Dark purple, ASA-20112-L, GV138</v>
          </cell>
          <cell r="E48" t="str">
            <v>Tấm</v>
          </cell>
          <cell r="F48">
            <v>197</v>
          </cell>
        </row>
        <row r="49">
          <cell r="C49" t="str">
            <v>GV139</v>
          </cell>
          <cell r="D49" t="str">
            <v>High Gloss Acrylic sheet, Blue grey metallic, ASA-20202-Z, GV139</v>
          </cell>
          <cell r="E49" t="str">
            <v>Tấm</v>
          </cell>
          <cell r="F49">
            <v>145</v>
          </cell>
        </row>
        <row r="50">
          <cell r="C50" t="str">
            <v>GV14</v>
          </cell>
          <cell r="D50" t="str">
            <v>Acrylic UltraGloss, Mocha SO10-204 color GV14</v>
          </cell>
          <cell r="E50" t="str">
            <v>Tấm</v>
          </cell>
          <cell r="F50">
            <v>355</v>
          </cell>
        </row>
        <row r="51">
          <cell r="C51" t="str">
            <v>GV140</v>
          </cell>
          <cell r="D51" t="str">
            <v>High Gloss Acrylic sheet, Beige metallic, AC66, GV140</v>
          </cell>
          <cell r="E51" t="str">
            <v>Tấm</v>
          </cell>
          <cell r="F51">
            <v>352</v>
          </cell>
        </row>
        <row r="52">
          <cell r="C52" t="str">
            <v>GV141</v>
          </cell>
          <cell r="D52" t="str">
            <v>High Gloss Acrylic sheet, Rose gold metallic, AC80, GV141</v>
          </cell>
          <cell r="E52" t="str">
            <v>Tấm</v>
          </cell>
          <cell r="F52">
            <v>162</v>
          </cell>
        </row>
        <row r="53">
          <cell r="C53" t="str">
            <v>GV142</v>
          </cell>
          <cell r="D53" t="str">
            <v>High Gloss Acrylic sheet, Champangne, AC26, GV142</v>
          </cell>
          <cell r="E53" t="str">
            <v>Tấm</v>
          </cell>
          <cell r="F53">
            <v>177</v>
          </cell>
        </row>
        <row r="54">
          <cell r="C54" t="str">
            <v>GV15</v>
          </cell>
          <cell r="D54" t="str">
            <v>Acrylic, Tiara Prime F1 Grey_7402M, 2440x1220x0.8mm</v>
          </cell>
          <cell r="E54" t="str">
            <v>Tấm</v>
          </cell>
          <cell r="F54">
            <v>191</v>
          </cell>
        </row>
        <row r="55">
          <cell r="C55" t="str">
            <v>GV16**</v>
          </cell>
          <cell r="D55" t="str">
            <v>Acrylic siêu chống xước Áo, AM1800TopX, beige 7498 color GV16</v>
          </cell>
          <cell r="E55" t="str">
            <v>Tấm</v>
          </cell>
          <cell r="F55">
            <v>156</v>
          </cell>
        </row>
        <row r="56">
          <cell r="C56" t="str">
            <v>GV20</v>
          </cell>
          <cell r="D56" t="str">
            <v>High Gloss Acrylic sheet, Gray, 86GR, GV20</v>
          </cell>
          <cell r="E56" t="str">
            <v>Tấm</v>
          </cell>
          <cell r="F56">
            <v>509</v>
          </cell>
        </row>
        <row r="57">
          <cell r="C57" t="str">
            <v>GV21</v>
          </cell>
          <cell r="D57" t="str">
            <v>Acrylic UltraGloss, Gray SO10-701 color GV21</v>
          </cell>
          <cell r="E57" t="str">
            <v>Tấm</v>
          </cell>
          <cell r="F57">
            <v>125</v>
          </cell>
        </row>
        <row r="58">
          <cell r="C58" t="str">
            <v>GV22</v>
          </cell>
          <cell r="D58" t="str">
            <v>UltraGloss SO10-903_Silver Metallic GV22</v>
          </cell>
          <cell r="E58" t="str">
            <v>Tấm</v>
          </cell>
          <cell r="F58">
            <v>302</v>
          </cell>
        </row>
        <row r="59">
          <cell r="C59" t="str">
            <v>GV23**</v>
          </cell>
          <cell r="D59" t="str">
            <v>Acrylic, AM1800TopX, silver metallic 85385 color, size 1220x2440x0.8mm</v>
          </cell>
          <cell r="E59" t="str">
            <v>Tấm</v>
          </cell>
          <cell r="F59">
            <v>1241</v>
          </cell>
        </row>
        <row r="60">
          <cell r="C60" t="str">
            <v>GV24**</v>
          </cell>
          <cell r="D60" t="str">
            <v>Acrylic siêu chống xước Áo, AM1800TopX, grey 85383 color GV24</v>
          </cell>
          <cell r="E60" t="str">
            <v>Tấm</v>
          </cell>
          <cell r="F60">
            <v>302</v>
          </cell>
        </row>
        <row r="61">
          <cell r="C61" t="str">
            <v>GV25</v>
          </cell>
          <cell r="D61" t="str">
            <v>High Gloss Acrylic sheet, 72GR, GV25 mới</v>
          </cell>
          <cell r="E61" t="str">
            <v>Tấm</v>
          </cell>
          <cell r="F61">
            <v>406</v>
          </cell>
        </row>
        <row r="62">
          <cell r="C62" t="str">
            <v>GV25.C</v>
          </cell>
          <cell r="D62" t="str">
            <v>Acrylic, AM1700XU, grey 85335 color GV25</v>
          </cell>
          <cell r="E62" t="str">
            <v>Tấm</v>
          </cell>
        </row>
        <row r="63">
          <cell r="C63" t="str">
            <v>GV26**</v>
          </cell>
          <cell r="D63" t="str">
            <v>Acrylic, AM1800TopX, silver metallic 85387 color, size 1220x2440x0.8mm</v>
          </cell>
          <cell r="E63" t="str">
            <v>Tấm</v>
          </cell>
          <cell r="F63">
            <v>460</v>
          </cell>
        </row>
        <row r="64">
          <cell r="C64" t="str">
            <v>GV27</v>
          </cell>
          <cell r="D64" t="str">
            <v>Acrylic UltraGloss, Graphite Metallic SO10-905 color GV27</v>
          </cell>
          <cell r="E64" t="str">
            <v>Tấm</v>
          </cell>
          <cell r="F64">
            <v>806</v>
          </cell>
        </row>
        <row r="65">
          <cell r="C65" t="str">
            <v>GV28</v>
          </cell>
          <cell r="D65" t="str">
            <v>Acrylic UltraGloss, Slate SO10-702 color GV28</v>
          </cell>
          <cell r="E65" t="str">
            <v>Tấm</v>
          </cell>
          <cell r="F65">
            <v>1156</v>
          </cell>
        </row>
        <row r="66">
          <cell r="C66" t="str">
            <v>GV29**</v>
          </cell>
          <cell r="D66" t="str">
            <v>Acrylic siêu chống xước Áo, AM1800TopX, dark grey 85382 color GV29</v>
          </cell>
          <cell r="E66" t="str">
            <v>Tấm</v>
          </cell>
          <cell r="F66">
            <v>480</v>
          </cell>
        </row>
        <row r="67">
          <cell r="C67" t="str">
            <v>GV30</v>
          </cell>
          <cell r="D67" t="str">
            <v>Acrylic UltraGloss, Cappuccino SO10-203 color GV30</v>
          </cell>
          <cell r="E67" t="str">
            <v>Tấm</v>
          </cell>
          <cell r="F67">
            <v>180</v>
          </cell>
        </row>
        <row r="68">
          <cell r="C68" t="str">
            <v>GV31</v>
          </cell>
          <cell r="D68" t="str">
            <v>UltraGloss_Gold Metallic 902 color GV31</v>
          </cell>
          <cell r="E68" t="str">
            <v>Tấm</v>
          </cell>
          <cell r="F68">
            <v>369</v>
          </cell>
        </row>
        <row r="69">
          <cell r="C69" t="str">
            <v>GV32</v>
          </cell>
          <cell r="D69" t="str">
            <v>Acrylic UltraMatte Arctic White SM10-102 color, GV32</v>
          </cell>
          <cell r="E69" t="str">
            <v>Tấm</v>
          </cell>
          <cell r="F69">
            <v>386</v>
          </cell>
        </row>
        <row r="70">
          <cell r="C70" t="str">
            <v>GV33</v>
          </cell>
          <cell r="D70" t="str">
            <v>Acrylic UltraMatte Arctic Slate SM10-702 color, GV33</v>
          </cell>
          <cell r="E70" t="str">
            <v>Tấm</v>
          </cell>
          <cell r="F70">
            <v>233</v>
          </cell>
        </row>
        <row r="71">
          <cell r="C71" t="str">
            <v>GV34</v>
          </cell>
          <cell r="D71" t="str">
            <v>Acrylic UltraMatte Arctic Black SM10-801 color, GV34</v>
          </cell>
          <cell r="E71" t="str">
            <v>Tấm</v>
          </cell>
          <cell r="F71">
            <v>677</v>
          </cell>
        </row>
        <row r="72">
          <cell r="C72" t="str">
            <v>GV35</v>
          </cell>
          <cell r="D72" t="str">
            <v>Acrylic, Tiara Prime F1 Grey_7901M, 2440x1220x0.8mm</v>
          </cell>
          <cell r="E72" t="str">
            <v>Tấm</v>
          </cell>
          <cell r="F72">
            <v>430</v>
          </cell>
        </row>
        <row r="73">
          <cell r="C73" t="str">
            <v>GV36</v>
          </cell>
          <cell r="D73" t="str">
            <v>High Gloss Acrylic sheet, Pink, 61R, size 1220x2440x0.8mm</v>
          </cell>
          <cell r="E73" t="str">
            <v>Tấm</v>
          </cell>
          <cell r="F73">
            <v>429</v>
          </cell>
        </row>
        <row r="74">
          <cell r="C74" t="str">
            <v>GV37</v>
          </cell>
          <cell r="D74" t="str">
            <v>High Gloss Acrylic sheet, Gold, 35Y, size 1220x2440x0.8mm</v>
          </cell>
          <cell r="E74" t="str">
            <v>Tấm</v>
          </cell>
          <cell r="F74">
            <v>292</v>
          </cell>
        </row>
        <row r="75">
          <cell r="C75" t="str">
            <v>GV38</v>
          </cell>
          <cell r="D75" t="str">
            <v>High Gloss Acrylic sheet, Light blue, 62BL, size 1220x2440x0.8mm</v>
          </cell>
          <cell r="E75" t="str">
            <v>Tấm</v>
          </cell>
          <cell r="F75">
            <v>392</v>
          </cell>
        </row>
        <row r="76">
          <cell r="C76" t="str">
            <v>GV39</v>
          </cell>
          <cell r="D76" t="str">
            <v>High gloss sheet AC37 color GV39</v>
          </cell>
          <cell r="E76" t="str">
            <v>Tấm</v>
          </cell>
          <cell r="F76">
            <v>361</v>
          </cell>
        </row>
        <row r="77">
          <cell r="C77" t="str">
            <v>GV40**</v>
          </cell>
          <cell r="D77" t="str">
            <v>Acrylic siêu chống xước Áo, AM1800TopX, green 5357 color GV40</v>
          </cell>
          <cell r="E77" t="str">
            <v>Tấm</v>
          </cell>
          <cell r="F77">
            <v>181</v>
          </cell>
        </row>
        <row r="78">
          <cell r="C78" t="str">
            <v>GV41**</v>
          </cell>
          <cell r="D78" t="str">
            <v>Acrylic siêu chống xước Áo, AM1800TopX, blue metallic 4562 color GV41**</v>
          </cell>
          <cell r="E78" t="str">
            <v>Tấm</v>
          </cell>
          <cell r="F78">
            <v>233</v>
          </cell>
        </row>
        <row r="79">
          <cell r="C79" t="str">
            <v>GV42**</v>
          </cell>
          <cell r="D79" t="str">
            <v>Acrylic siêu chống xước Áo, AM1800TopX, blue 4670 color GV42</v>
          </cell>
          <cell r="E79" t="str">
            <v>Tấm</v>
          </cell>
          <cell r="F79">
            <v>172</v>
          </cell>
        </row>
        <row r="80">
          <cell r="C80" t="str">
            <v>GV43**</v>
          </cell>
          <cell r="D80" t="str">
            <v>Acrylic siêu chống xước Áo, AM1800TopX, blue 4644 color GV43</v>
          </cell>
          <cell r="E80" t="str">
            <v>Tấm</v>
          </cell>
          <cell r="F80">
            <v>252</v>
          </cell>
        </row>
        <row r="81">
          <cell r="C81" t="str">
            <v>GV44</v>
          </cell>
          <cell r="D81" t="str">
            <v>Acrylic, Tiara Prime F1 Black_0108M, 2440x1220x0.8mm</v>
          </cell>
          <cell r="E81" t="str">
            <v>Tấm</v>
          </cell>
          <cell r="F81">
            <v>264</v>
          </cell>
        </row>
        <row r="82">
          <cell r="C82" t="str">
            <v>GV45**</v>
          </cell>
          <cell r="D82" t="str">
            <v>Acrylic, AM1800TopX, black metallic 8427 color, size 1220x2440x0.8mm</v>
          </cell>
          <cell r="E82" t="str">
            <v>Tấm</v>
          </cell>
          <cell r="F82">
            <v>318</v>
          </cell>
        </row>
        <row r="83">
          <cell r="C83" t="str">
            <v>GV46</v>
          </cell>
          <cell r="D83" t="str">
            <v>UltraGloss_Wine Metallic color GV46</v>
          </cell>
          <cell r="E83" t="str">
            <v>Tấm</v>
          </cell>
          <cell r="F83">
            <v>83</v>
          </cell>
        </row>
        <row r="84">
          <cell r="C84" t="str">
            <v>GV47**</v>
          </cell>
          <cell r="D84" t="str">
            <v>Acrylic siêu chống xước Áo, AM1800TopX, violet 4548 color GV47</v>
          </cell>
          <cell r="E84" t="str">
            <v>Tấm</v>
          </cell>
          <cell r="F84">
            <v>10</v>
          </cell>
        </row>
        <row r="85">
          <cell r="C85" t="str">
            <v>GV48**</v>
          </cell>
          <cell r="D85" t="str">
            <v>Acrylic siêu chống xước Áo, AM1800TopX, red 3362 color GV48</v>
          </cell>
          <cell r="E85" t="str">
            <v>Tấm</v>
          </cell>
          <cell r="F85">
            <v>30</v>
          </cell>
        </row>
        <row r="86">
          <cell r="C86" t="str">
            <v>GV49</v>
          </cell>
          <cell r="D86" t="str">
            <v>Acrylic UltraGloss, Burgundi SO10-402 color GV49</v>
          </cell>
          <cell r="E86" t="str">
            <v>Tấm</v>
          </cell>
          <cell r="F86">
            <v>345</v>
          </cell>
        </row>
        <row r="87">
          <cell r="C87" t="str">
            <v>GV50</v>
          </cell>
          <cell r="D87" t="str">
            <v>High Gloss Acrylic sheet Orange, 05O</v>
          </cell>
          <cell r="E87" t="str">
            <v>Tấm</v>
          </cell>
          <cell r="F87">
            <v>297</v>
          </cell>
        </row>
        <row r="88">
          <cell r="C88" t="str">
            <v>GV50C</v>
          </cell>
          <cell r="E88" t="str">
            <v>Tấm</v>
          </cell>
          <cell r="F88">
            <v>1</v>
          </cell>
        </row>
        <row r="89">
          <cell r="C89" t="str">
            <v>GV51</v>
          </cell>
          <cell r="D89" t="str">
            <v>UltraGloss_Verde color GV51</v>
          </cell>
          <cell r="E89" t="str">
            <v>Tấm</v>
          </cell>
          <cell r="F89">
            <v>84</v>
          </cell>
        </row>
        <row r="90">
          <cell r="C90" t="str">
            <v>GV52</v>
          </cell>
          <cell r="D90" t="str">
            <v>Acrylic, 54BL, light blue color GV52</v>
          </cell>
          <cell r="E90" t="str">
            <v>Tấm</v>
          </cell>
          <cell r="F90">
            <v>75</v>
          </cell>
        </row>
        <row r="91">
          <cell r="C91" t="str">
            <v>GV53</v>
          </cell>
          <cell r="D91" t="str">
            <v>Acrylic, 49G, dark blue color GV53</v>
          </cell>
          <cell r="E91" t="str">
            <v>Tấm</v>
          </cell>
          <cell r="F91">
            <v>136</v>
          </cell>
        </row>
        <row r="92">
          <cell r="C92" t="str">
            <v>GV54**</v>
          </cell>
          <cell r="D92" t="str">
            <v>Acrylic, Tiara Prime F1 White_9086P, 2440x1220x0.8mm</v>
          </cell>
          <cell r="E92" t="str">
            <v>Tấm</v>
          </cell>
          <cell r="F92">
            <v>174</v>
          </cell>
        </row>
        <row r="93">
          <cell r="C93" t="str">
            <v>GV55</v>
          </cell>
          <cell r="D93" t="str">
            <v>Acrylic, Tiara Prime F1 Beige_1402P, 2440x1220x0.8mm</v>
          </cell>
          <cell r="E93" t="str">
            <v>Tấm</v>
          </cell>
          <cell r="F93">
            <v>198</v>
          </cell>
        </row>
        <row r="94">
          <cell r="C94" t="str">
            <v>GV60</v>
          </cell>
          <cell r="D94" t="str">
            <v>Acrylic, 88BR, Coffee color GV60</v>
          </cell>
          <cell r="E94" t="str">
            <v>Tấm</v>
          </cell>
          <cell r="F94">
            <v>163</v>
          </cell>
        </row>
        <row r="95">
          <cell r="C95" t="str">
            <v>GV61</v>
          </cell>
          <cell r="D95" t="str">
            <v>High Gloss Acrylic sheet Brown, TBA 95BR</v>
          </cell>
          <cell r="E95" t="str">
            <v>Tấm</v>
          </cell>
          <cell r="F95">
            <v>263</v>
          </cell>
        </row>
        <row r="96">
          <cell r="C96" t="str">
            <v>GV62**</v>
          </cell>
          <cell r="D96" t="str">
            <v>Acrylic siêu chống xước Áo, AM1800TopX, black 8421 color GV62</v>
          </cell>
          <cell r="E96" t="str">
            <v>Tấm</v>
          </cell>
          <cell r="F96">
            <v>80</v>
          </cell>
        </row>
        <row r="97">
          <cell r="C97" t="str">
            <v>GV63</v>
          </cell>
          <cell r="D97" t="str">
            <v>Acrylic UltraGloss, Black SO10-801 color GV63</v>
          </cell>
          <cell r="E97" t="str">
            <v>Tấm</v>
          </cell>
          <cell r="F97">
            <v>668</v>
          </cell>
        </row>
        <row r="98">
          <cell r="C98" t="str">
            <v>GV64</v>
          </cell>
          <cell r="D98" t="str">
            <v>High Gloss Acrylic sheet, wood grain, M8908-4 color GV64</v>
          </cell>
          <cell r="E98" t="str">
            <v>Tấm</v>
          </cell>
          <cell r="F98">
            <v>111</v>
          </cell>
        </row>
        <row r="99">
          <cell r="C99" t="str">
            <v>GV65</v>
          </cell>
          <cell r="D99" t="str">
            <v>High Gloss Acrylic sheet, wood grain, M9580-4 color GV65</v>
          </cell>
          <cell r="E99" t="str">
            <v>Tấm</v>
          </cell>
          <cell r="F99">
            <v>187</v>
          </cell>
        </row>
        <row r="100">
          <cell r="C100" t="str">
            <v>GV66</v>
          </cell>
          <cell r="D100" t="str">
            <v>High Gloss Acrylic sheet, wood grain, M7284-4 color GV66</v>
          </cell>
          <cell r="E100" t="str">
            <v>Tấm</v>
          </cell>
          <cell r="F100">
            <v>106</v>
          </cell>
        </row>
        <row r="101">
          <cell r="C101" t="str">
            <v>GV67</v>
          </cell>
          <cell r="D101" t="str">
            <v>High Gloss Acrylic sheet, wood grain, M9588 color GV67</v>
          </cell>
          <cell r="E101" t="str">
            <v>Tấm</v>
          </cell>
          <cell r="F101">
            <v>54</v>
          </cell>
        </row>
        <row r="102">
          <cell r="C102" t="str">
            <v>GV68</v>
          </cell>
          <cell r="D102" t="str">
            <v>High Gloss Acrylic sheet, wood grain, T-RF5552 color GV68</v>
          </cell>
          <cell r="E102" t="str">
            <v>Tấm</v>
          </cell>
          <cell r="F102">
            <v>177</v>
          </cell>
        </row>
        <row r="103">
          <cell r="C103" t="str">
            <v>GV69</v>
          </cell>
          <cell r="D103" t="str">
            <v>Acrylic UltraGloss, Dusky ASH color GV69</v>
          </cell>
          <cell r="E103" t="str">
            <v>Tấm</v>
          </cell>
          <cell r="F103">
            <v>95</v>
          </cell>
        </row>
        <row r="104">
          <cell r="C104" t="str">
            <v>GV70</v>
          </cell>
          <cell r="D104" t="str">
            <v>High Gloss Acrylic sheet, wood grain, M9750-4 color GV70</v>
          </cell>
          <cell r="E104" t="str">
            <v>Tấm</v>
          </cell>
          <cell r="F104">
            <v>222</v>
          </cell>
        </row>
        <row r="105">
          <cell r="C105" t="str">
            <v>GV71</v>
          </cell>
          <cell r="D105" t="str">
            <v>High Gloss Acrylic sheet, wood grain, M3573-10-4 color GV71</v>
          </cell>
          <cell r="E105" t="str">
            <v>Tấm</v>
          </cell>
          <cell r="F105">
            <v>101</v>
          </cell>
        </row>
        <row r="106">
          <cell r="C106" t="str">
            <v>GV72</v>
          </cell>
          <cell r="D106" t="str">
            <v>High Gloss Acrylic sheet, wood grain, M9289-4 color GV72</v>
          </cell>
          <cell r="E106" t="str">
            <v>Tấm</v>
          </cell>
          <cell r="F106">
            <v>221</v>
          </cell>
        </row>
        <row r="107">
          <cell r="C107" t="str">
            <v>GV73</v>
          </cell>
          <cell r="D107" t="str">
            <v>High Gloss Acrylic sheet, wood grain, MS7402 color GV73</v>
          </cell>
          <cell r="E107" t="str">
            <v>Tấm</v>
          </cell>
          <cell r="F107">
            <v>140</v>
          </cell>
        </row>
        <row r="108">
          <cell r="C108" t="str">
            <v>GV74</v>
          </cell>
          <cell r="D108" t="str">
            <v>High Gloss Acrylic sheet, wood grain, MS5374 color GV74</v>
          </cell>
          <cell r="E108" t="str">
            <v>Tấm</v>
          </cell>
          <cell r="F108">
            <v>453</v>
          </cell>
        </row>
        <row r="109">
          <cell r="C109" t="str">
            <v>GV105</v>
          </cell>
          <cell r="D109" t="str">
            <v>High Gloss Acrylic sheet, CREAM WHITE, 16W</v>
          </cell>
          <cell r="E109" t="str">
            <v>Tấm</v>
          </cell>
          <cell r="F109">
            <v>70</v>
          </cell>
        </row>
        <row r="110">
          <cell r="C110" t="str">
            <v>GV106</v>
          </cell>
          <cell r="D110" t="str">
            <v>High Gloss Acrylic sheet, WHITE PEARL, 16WS</v>
          </cell>
          <cell r="E110" t="str">
            <v>Tấm</v>
          </cell>
          <cell r="F110">
            <v>167</v>
          </cell>
        </row>
        <row r="111">
          <cell r="C111" t="str">
            <v>GV56</v>
          </cell>
          <cell r="D111" t="str">
            <v>Màu PARC 68 An Cường</v>
          </cell>
          <cell r="E111" t="str">
            <v>Tấm</v>
          </cell>
          <cell r="F111">
            <v>821</v>
          </cell>
        </row>
        <row r="112">
          <cell r="C112" t="str">
            <v>GV57</v>
          </cell>
          <cell r="D112" t="str">
            <v>Màu PARC 51 An Cường</v>
          </cell>
          <cell r="E112" t="str">
            <v>Tấm</v>
          </cell>
          <cell r="F112">
            <v>267</v>
          </cell>
        </row>
        <row r="113">
          <cell r="C113" t="str">
            <v>GV75</v>
          </cell>
          <cell r="D113" t="str">
            <v>Màu PARC 50 An Cường</v>
          </cell>
          <cell r="E113" t="str">
            <v>Tấm</v>
          </cell>
          <cell r="F113">
            <v>80</v>
          </cell>
        </row>
        <row r="114">
          <cell r="C114" t="str">
            <v>GV58</v>
          </cell>
          <cell r="E114" t="str">
            <v>Tấm</v>
          </cell>
          <cell r="F114">
            <v>151</v>
          </cell>
        </row>
        <row r="115">
          <cell r="C115" t="str">
            <v>GV59</v>
          </cell>
          <cell r="D115" t="str">
            <v>Màu PARC 30 An Cường</v>
          </cell>
          <cell r="E115" t="str">
            <v>Tấm</v>
          </cell>
          <cell r="F115">
            <v>231</v>
          </cell>
        </row>
        <row r="116">
          <cell r="C116" t="str">
            <v>GV01**.TP</v>
          </cell>
          <cell r="E116">
            <v>16</v>
          </cell>
          <cell r="F116">
            <v>13</v>
          </cell>
        </row>
        <row r="117">
          <cell r="C117" t="str">
            <v>GV02**.TP</v>
          </cell>
          <cell r="E117">
            <v>10</v>
          </cell>
          <cell r="F117">
            <v>16</v>
          </cell>
        </row>
        <row r="118">
          <cell r="C118" t="str">
            <v>GV03**.TP</v>
          </cell>
          <cell r="E118">
            <v>6</v>
          </cell>
          <cell r="F118">
            <v>15</v>
          </cell>
        </row>
        <row r="119">
          <cell r="C119" t="str">
            <v>GV04**.TP</v>
          </cell>
          <cell r="E119">
            <v>22</v>
          </cell>
          <cell r="F119">
            <v>17</v>
          </cell>
        </row>
        <row r="120">
          <cell r="C120" t="str">
            <v>GV05.TP</v>
          </cell>
          <cell r="E120">
            <v>6</v>
          </cell>
        </row>
        <row r="121">
          <cell r="C121" t="str">
            <v>GV06.TP</v>
          </cell>
          <cell r="E121">
            <v>16</v>
          </cell>
          <cell r="F121">
            <v>11</v>
          </cell>
        </row>
        <row r="122">
          <cell r="C122" t="str">
            <v>GV07.TP</v>
          </cell>
          <cell r="E122">
            <v>7</v>
          </cell>
          <cell r="F122">
            <v>16</v>
          </cell>
        </row>
        <row r="123">
          <cell r="C123" t="str">
            <v>GV08.TP</v>
          </cell>
          <cell r="E123">
            <v>2</v>
          </cell>
          <cell r="F123">
            <v>20</v>
          </cell>
        </row>
        <row r="124">
          <cell r="C124" t="str">
            <v>GV09**.TP</v>
          </cell>
          <cell r="E124">
            <v>-3</v>
          </cell>
          <cell r="F124">
            <v>13</v>
          </cell>
        </row>
        <row r="125">
          <cell r="C125" t="str">
            <v>GV10**.TP</v>
          </cell>
          <cell r="E125">
            <v>64</v>
          </cell>
          <cell r="F125">
            <v>13</v>
          </cell>
        </row>
        <row r="126">
          <cell r="C126" t="str">
            <v>GV11**.TP</v>
          </cell>
          <cell r="E126">
            <v>33</v>
          </cell>
          <cell r="F126">
            <v>17</v>
          </cell>
        </row>
        <row r="127">
          <cell r="C127" t="str">
            <v>GV12**.TP</v>
          </cell>
          <cell r="E127">
            <v>52</v>
          </cell>
          <cell r="F127">
            <v>12</v>
          </cell>
        </row>
        <row r="128">
          <cell r="C128" t="str">
            <v>GV13.TP</v>
          </cell>
          <cell r="E128">
            <v>16</v>
          </cell>
          <cell r="F128">
            <v>13</v>
          </cell>
        </row>
        <row r="129">
          <cell r="C129" t="str">
            <v>GV14.TP</v>
          </cell>
          <cell r="E129">
            <v>10</v>
          </cell>
        </row>
        <row r="130">
          <cell r="C130" t="str">
            <v>GV15.TP</v>
          </cell>
          <cell r="E130">
            <v>20</v>
          </cell>
          <cell r="F130">
            <v>21</v>
          </cell>
        </row>
        <row r="131">
          <cell r="C131" t="str">
            <v>GV16**.TP</v>
          </cell>
          <cell r="E131">
            <v>12</v>
          </cell>
        </row>
        <row r="132">
          <cell r="C132" t="str">
            <v>GV20.TP</v>
          </cell>
          <cell r="E132">
            <v>27</v>
          </cell>
        </row>
        <row r="133">
          <cell r="C133" t="str">
            <v>GV21.TP</v>
          </cell>
          <cell r="E133">
            <v>20</v>
          </cell>
        </row>
        <row r="134">
          <cell r="C134" t="str">
            <v>GV22.TP</v>
          </cell>
          <cell r="E134">
            <v>-2</v>
          </cell>
        </row>
        <row r="135">
          <cell r="C135" t="str">
            <v>GV23**.TP</v>
          </cell>
          <cell r="E135">
            <v>47</v>
          </cell>
        </row>
        <row r="136">
          <cell r="C136" t="str">
            <v>GV24**.TP</v>
          </cell>
          <cell r="E136">
            <v>3</v>
          </cell>
        </row>
        <row r="137">
          <cell r="C137" t="str">
            <v>GV25.TP</v>
          </cell>
          <cell r="E137">
            <v>15</v>
          </cell>
        </row>
        <row r="138">
          <cell r="C138" t="str">
            <v>GV26**.TP</v>
          </cell>
          <cell r="E138">
            <v>-16</v>
          </cell>
        </row>
        <row r="139">
          <cell r="C139" t="str">
            <v>GV27.TP</v>
          </cell>
          <cell r="E139">
            <v>19</v>
          </cell>
        </row>
        <row r="140">
          <cell r="C140" t="str">
            <v>GV28.TP</v>
          </cell>
          <cell r="E140">
            <v>-8</v>
          </cell>
        </row>
        <row r="141">
          <cell r="C141" t="str">
            <v>GV29**.TP</v>
          </cell>
          <cell r="E141">
            <v>23</v>
          </cell>
          <cell r="F141">
            <v>13</v>
          </cell>
        </row>
        <row r="142">
          <cell r="C142" t="str">
            <v>GV30.TP</v>
          </cell>
          <cell r="E142">
            <v>21</v>
          </cell>
          <cell r="F142">
            <v>18</v>
          </cell>
        </row>
        <row r="143">
          <cell r="C143" t="str">
            <v>GV31.TP</v>
          </cell>
          <cell r="E143">
            <v>0</v>
          </cell>
        </row>
        <row r="144">
          <cell r="C144" t="str">
            <v>GV32.TP</v>
          </cell>
          <cell r="E144">
            <v>18</v>
          </cell>
        </row>
        <row r="145">
          <cell r="C145" t="str">
            <v>GV33.TP</v>
          </cell>
          <cell r="E145">
            <v>14</v>
          </cell>
        </row>
        <row r="146">
          <cell r="C146" t="str">
            <v>GV34.TP</v>
          </cell>
          <cell r="E146">
            <v>13</v>
          </cell>
        </row>
        <row r="147">
          <cell r="C147" t="str">
            <v>GV35.TP</v>
          </cell>
          <cell r="E147">
            <v>28</v>
          </cell>
        </row>
        <row r="148">
          <cell r="C148" t="str">
            <v>GV36.TP</v>
          </cell>
          <cell r="E148">
            <v>5</v>
          </cell>
        </row>
        <row r="149">
          <cell r="C149" t="str">
            <v>GV37.TP</v>
          </cell>
          <cell r="E149">
            <v>0</v>
          </cell>
        </row>
        <row r="150">
          <cell r="C150" t="str">
            <v>GV38.TP</v>
          </cell>
          <cell r="E150">
            <v>12</v>
          </cell>
        </row>
        <row r="151">
          <cell r="C151" t="str">
            <v>GV39TP</v>
          </cell>
          <cell r="E151">
            <v>30</v>
          </cell>
        </row>
        <row r="152">
          <cell r="C152" t="str">
            <v>GV40**.TP</v>
          </cell>
          <cell r="E152">
            <v>17</v>
          </cell>
        </row>
        <row r="153">
          <cell r="C153" t="str">
            <v>GV41**.TP</v>
          </cell>
          <cell r="E153">
            <v>6</v>
          </cell>
        </row>
        <row r="154">
          <cell r="C154" t="str">
            <v>GV42**.TP</v>
          </cell>
          <cell r="E154">
            <v>6</v>
          </cell>
        </row>
        <row r="155">
          <cell r="C155" t="str">
            <v>GV43**.TP</v>
          </cell>
          <cell r="E155">
            <v>0</v>
          </cell>
        </row>
        <row r="156">
          <cell r="C156" t="str">
            <v>GV44.TP</v>
          </cell>
          <cell r="E156">
            <v>-5</v>
          </cell>
        </row>
        <row r="157">
          <cell r="C157" t="str">
            <v>GV45**.TP</v>
          </cell>
          <cell r="E157">
            <v>46</v>
          </cell>
          <cell r="F157">
            <v>1</v>
          </cell>
        </row>
        <row r="158">
          <cell r="C158" t="str">
            <v>GV46.TP</v>
          </cell>
          <cell r="E158">
            <v>5</v>
          </cell>
        </row>
        <row r="159">
          <cell r="C159" t="str">
            <v>GV47**.TP</v>
          </cell>
          <cell r="E159">
            <v>0</v>
          </cell>
          <cell r="F159">
            <v>8</v>
          </cell>
        </row>
        <row r="160">
          <cell r="C160" t="str">
            <v>GV48**.TP</v>
          </cell>
          <cell r="E160">
            <v>1</v>
          </cell>
          <cell r="F160">
            <v>6</v>
          </cell>
        </row>
        <row r="161">
          <cell r="C161" t="str">
            <v>GV49.TP</v>
          </cell>
          <cell r="E161">
            <v>0</v>
          </cell>
          <cell r="F161">
            <v>1</v>
          </cell>
        </row>
        <row r="162">
          <cell r="C162" t="str">
            <v>GV50.TP</v>
          </cell>
          <cell r="E162">
            <v>0</v>
          </cell>
        </row>
        <row r="163">
          <cell r="C163" t="str">
            <v>GV51.TP</v>
          </cell>
          <cell r="E163">
            <v>5</v>
          </cell>
        </row>
        <row r="164">
          <cell r="C164" t="str">
            <v>GV52.TP</v>
          </cell>
          <cell r="E164">
            <v>10</v>
          </cell>
        </row>
        <row r="165">
          <cell r="C165" t="str">
            <v>GV53.TP</v>
          </cell>
          <cell r="E165">
            <v>4</v>
          </cell>
        </row>
        <row r="166">
          <cell r="C166" t="str">
            <v>GV54**.TP</v>
          </cell>
          <cell r="E166">
            <v>2</v>
          </cell>
        </row>
        <row r="167">
          <cell r="C167" t="str">
            <v>GV55.TP</v>
          </cell>
          <cell r="E167">
            <v>-4</v>
          </cell>
        </row>
        <row r="168">
          <cell r="C168" t="str">
            <v>GV56.TP</v>
          </cell>
          <cell r="E168">
            <v>1</v>
          </cell>
        </row>
        <row r="169">
          <cell r="C169" t="str">
            <v>GV57.TP</v>
          </cell>
          <cell r="E169">
            <v>15</v>
          </cell>
        </row>
        <row r="170">
          <cell r="C170" t="str">
            <v>GV58.TP</v>
          </cell>
          <cell r="E170">
            <v>23</v>
          </cell>
        </row>
        <row r="171">
          <cell r="C171" t="str">
            <v>GV59.TP</v>
          </cell>
          <cell r="E171">
            <v>17</v>
          </cell>
        </row>
        <row r="172">
          <cell r="C172" t="str">
            <v>GV60.TP</v>
          </cell>
          <cell r="E172">
            <v>13</v>
          </cell>
        </row>
        <row r="173">
          <cell r="C173" t="str">
            <v>GV61.TP</v>
          </cell>
          <cell r="E173">
            <v>5</v>
          </cell>
        </row>
        <row r="174">
          <cell r="C174" t="str">
            <v>GV62**.TP</v>
          </cell>
          <cell r="E174">
            <v>12</v>
          </cell>
        </row>
        <row r="175">
          <cell r="C175" t="str">
            <v>GV63.TP</v>
          </cell>
          <cell r="E175">
            <v>11</v>
          </cell>
        </row>
        <row r="176">
          <cell r="C176" t="str">
            <v>GV64.TP</v>
          </cell>
          <cell r="E176">
            <v>7</v>
          </cell>
        </row>
        <row r="177">
          <cell r="C177" t="str">
            <v>GV65.TP</v>
          </cell>
          <cell r="E177">
            <v>20</v>
          </cell>
        </row>
        <row r="178">
          <cell r="C178" t="str">
            <v>GV66.TP</v>
          </cell>
          <cell r="E178">
            <v>15</v>
          </cell>
        </row>
        <row r="179">
          <cell r="C179" t="str">
            <v>GV67.TP</v>
          </cell>
          <cell r="E179">
            <v>-2</v>
          </cell>
        </row>
        <row r="180">
          <cell r="C180" t="str">
            <v>GV68.TP</v>
          </cell>
          <cell r="E180">
            <v>8</v>
          </cell>
        </row>
        <row r="181">
          <cell r="C181" t="str">
            <v>GV69.TP</v>
          </cell>
          <cell r="E181">
            <v>20</v>
          </cell>
        </row>
        <row r="182">
          <cell r="C182" t="str">
            <v>GV70.TP</v>
          </cell>
          <cell r="E182">
            <v>2</v>
          </cell>
        </row>
        <row r="183">
          <cell r="C183" t="str">
            <v>GV71.TP</v>
          </cell>
          <cell r="E183">
            <v>-4</v>
          </cell>
        </row>
        <row r="184">
          <cell r="C184" t="str">
            <v>GV72.TP</v>
          </cell>
          <cell r="E184">
            <v>5</v>
          </cell>
          <cell r="F184">
            <v>13</v>
          </cell>
        </row>
        <row r="185">
          <cell r="C185" t="str">
            <v>GV73.TP</v>
          </cell>
          <cell r="E185">
            <v>7</v>
          </cell>
        </row>
        <row r="186">
          <cell r="C186" t="str">
            <v>GV74.TP</v>
          </cell>
          <cell r="E186">
            <v>9</v>
          </cell>
          <cell r="F186">
            <v>19</v>
          </cell>
        </row>
        <row r="187">
          <cell r="C187" t="str">
            <v>GV75.TP</v>
          </cell>
          <cell r="E187">
            <v>15</v>
          </cell>
        </row>
        <row r="188">
          <cell r="C188" t="str">
            <v>GV100*.TP</v>
          </cell>
          <cell r="E188">
            <v>-27</v>
          </cell>
        </row>
        <row r="189">
          <cell r="C189" t="str">
            <v>GV102*.TP</v>
          </cell>
          <cell r="E189">
            <v>9</v>
          </cell>
        </row>
        <row r="190">
          <cell r="C190" t="str">
            <v>GV104*.TP</v>
          </cell>
          <cell r="E190">
            <v>0</v>
          </cell>
        </row>
        <row r="191">
          <cell r="C191" t="str">
            <v>GV105.TP</v>
          </cell>
          <cell r="E191">
            <v>20</v>
          </cell>
        </row>
        <row r="192">
          <cell r="C192" t="str">
            <v>GV106.TP</v>
          </cell>
          <cell r="E192">
            <v>21</v>
          </cell>
        </row>
        <row r="193">
          <cell r="C193" t="str">
            <v>GV107**.TP</v>
          </cell>
          <cell r="E193">
            <v>21</v>
          </cell>
        </row>
        <row r="194">
          <cell r="C194" t="str">
            <v>GV108**.TP</v>
          </cell>
          <cell r="E194">
            <v>0</v>
          </cell>
        </row>
        <row r="195">
          <cell r="C195" t="str">
            <v>GV109**.TP</v>
          </cell>
          <cell r="E195">
            <v>0</v>
          </cell>
        </row>
        <row r="196">
          <cell r="C196" t="str">
            <v>GV110**.TP</v>
          </cell>
          <cell r="E196">
            <v>21</v>
          </cell>
        </row>
        <row r="197">
          <cell r="C197" t="str">
            <v>GV111**.TP</v>
          </cell>
          <cell r="E197">
            <v>10</v>
          </cell>
        </row>
        <row r="198">
          <cell r="C198" t="str">
            <v>GV112**.TP</v>
          </cell>
          <cell r="E198">
            <v>10</v>
          </cell>
        </row>
        <row r="199">
          <cell r="C199" t="str">
            <v>GV113**.TP</v>
          </cell>
          <cell r="E199">
            <v>15</v>
          </cell>
        </row>
        <row r="200">
          <cell r="C200" t="str">
            <v>GV120.TP</v>
          </cell>
          <cell r="E200">
            <v>8</v>
          </cell>
        </row>
        <row r="201">
          <cell r="C201" t="str">
            <v>GV121.TP</v>
          </cell>
          <cell r="E201">
            <v>6</v>
          </cell>
        </row>
        <row r="202">
          <cell r="C202" t="str">
            <v>GV122.TP</v>
          </cell>
          <cell r="E202">
            <v>-6</v>
          </cell>
        </row>
        <row r="203">
          <cell r="C203" t="str">
            <v>GV123.TP</v>
          </cell>
          <cell r="E203">
            <v>3</v>
          </cell>
        </row>
        <row r="204">
          <cell r="C204" t="str">
            <v>GV124.TP</v>
          </cell>
          <cell r="E204">
            <v>-3</v>
          </cell>
        </row>
        <row r="205">
          <cell r="C205" t="str">
            <v>GV125.TP</v>
          </cell>
          <cell r="E205">
            <v>22</v>
          </cell>
        </row>
        <row r="206">
          <cell r="C206" t="str">
            <v>GV126.TP</v>
          </cell>
          <cell r="E206">
            <v>50</v>
          </cell>
        </row>
        <row r="207">
          <cell r="C207" t="str">
            <v>GV127.TP</v>
          </cell>
        </row>
        <row r="208">
          <cell r="C208" t="str">
            <v>GV128.TP</v>
          </cell>
          <cell r="E208">
            <v>2</v>
          </cell>
        </row>
        <row r="209">
          <cell r="C209" t="str">
            <v>GV129.TP</v>
          </cell>
          <cell r="E209">
            <v>15</v>
          </cell>
        </row>
        <row r="210">
          <cell r="C210" t="str">
            <v>GV130.TP</v>
          </cell>
          <cell r="E210">
            <v>7</v>
          </cell>
        </row>
        <row r="211">
          <cell r="C211" t="str">
            <v>GV131.TP</v>
          </cell>
          <cell r="E211">
            <v>20</v>
          </cell>
        </row>
        <row r="212">
          <cell r="C212" t="str">
            <v>GV132.TP</v>
          </cell>
          <cell r="E212">
            <v>16</v>
          </cell>
        </row>
        <row r="213">
          <cell r="C213" t="str">
            <v>GV133.TP</v>
          </cell>
          <cell r="E213">
            <v>12</v>
          </cell>
        </row>
        <row r="214">
          <cell r="C214" t="str">
            <v>GV134.TP</v>
          </cell>
          <cell r="E214">
            <v>15</v>
          </cell>
          <cell r="F214">
            <v>11</v>
          </cell>
        </row>
        <row r="215">
          <cell r="C215" t="str">
            <v>GV135.TP</v>
          </cell>
          <cell r="E215">
            <v>10</v>
          </cell>
        </row>
        <row r="216">
          <cell r="C216" t="str">
            <v>GV136.TP</v>
          </cell>
          <cell r="E216">
            <v>7</v>
          </cell>
        </row>
        <row r="217">
          <cell r="C217" t="str">
            <v>GV137.TP</v>
          </cell>
          <cell r="E217">
            <v>23</v>
          </cell>
        </row>
        <row r="218">
          <cell r="C218" t="str">
            <v>GV138.TP</v>
          </cell>
          <cell r="E218">
            <v>18</v>
          </cell>
        </row>
        <row r="219">
          <cell r="C219" t="str">
            <v>GV139.TP</v>
          </cell>
          <cell r="E219">
            <v>11</v>
          </cell>
        </row>
        <row r="220">
          <cell r="C220" t="str">
            <v>GV140.TP</v>
          </cell>
          <cell r="E220">
            <v>31</v>
          </cell>
        </row>
        <row r="221">
          <cell r="C221" t="str">
            <v>GV141.TP</v>
          </cell>
          <cell r="E221">
            <v>13</v>
          </cell>
        </row>
        <row r="222">
          <cell r="C222" t="str">
            <v>GV142.TP</v>
          </cell>
          <cell r="E222">
            <v>17</v>
          </cell>
        </row>
        <row r="223">
          <cell r="C223" t="str">
            <v>GV01**.TP.PVC</v>
          </cell>
          <cell r="E223">
            <v>4</v>
          </cell>
          <cell r="F223">
            <v>9</v>
          </cell>
        </row>
        <row r="224">
          <cell r="C224" t="str">
            <v>GV02**.TP.PVC</v>
          </cell>
          <cell r="E224">
            <v>1</v>
          </cell>
          <cell r="F224">
            <v>7</v>
          </cell>
        </row>
        <row r="225">
          <cell r="C225" t="str">
            <v>GV03**.TP.PVC</v>
          </cell>
          <cell r="E225">
            <v>15</v>
          </cell>
          <cell r="F225">
            <v>8</v>
          </cell>
        </row>
        <row r="226">
          <cell r="C226" t="str">
            <v>GV04**.TP.PVC</v>
          </cell>
          <cell r="E226">
            <v>2</v>
          </cell>
          <cell r="F226">
            <v>8</v>
          </cell>
        </row>
        <row r="227">
          <cell r="C227" t="str">
            <v xml:space="preserve">GV05.TP.PVC </v>
          </cell>
          <cell r="E227">
            <v>-8</v>
          </cell>
          <cell r="F227">
            <v>7</v>
          </cell>
        </row>
        <row r="228">
          <cell r="C228" t="str">
            <v>GV06.TP.PVC</v>
          </cell>
          <cell r="E228">
            <v>8</v>
          </cell>
          <cell r="F228">
            <v>11</v>
          </cell>
        </row>
        <row r="229">
          <cell r="C229" t="str">
            <v>GV07.TP.PVC</v>
          </cell>
          <cell r="E229">
            <v>12</v>
          </cell>
          <cell r="F229">
            <v>11</v>
          </cell>
        </row>
        <row r="230">
          <cell r="C230" t="str">
            <v>GV08.TP.PVC</v>
          </cell>
          <cell r="E230">
            <v>4</v>
          </cell>
          <cell r="F230">
            <v>9</v>
          </cell>
        </row>
        <row r="231">
          <cell r="C231" t="str">
            <v>GV09**.TP.PVC</v>
          </cell>
          <cell r="E231">
            <v>12</v>
          </cell>
          <cell r="F231">
            <v>6</v>
          </cell>
        </row>
        <row r="232">
          <cell r="C232" t="str">
            <v>GV10**.TP.PVC</v>
          </cell>
          <cell r="E232">
            <v>-6</v>
          </cell>
        </row>
        <row r="233">
          <cell r="C233" t="str">
            <v>GV11**.TP.PVC</v>
          </cell>
          <cell r="E233">
            <v>10</v>
          </cell>
          <cell r="F233">
            <v>13</v>
          </cell>
        </row>
        <row r="234">
          <cell r="C234" t="str">
            <v>GV12**.TP.PVC</v>
          </cell>
          <cell r="E234">
            <v>20</v>
          </cell>
          <cell r="F234">
            <v>10</v>
          </cell>
        </row>
        <row r="235">
          <cell r="C235" t="str">
            <v>GV13.TP.PVC</v>
          </cell>
          <cell r="E235">
            <v>20</v>
          </cell>
          <cell r="F235">
            <v>6</v>
          </cell>
        </row>
        <row r="236">
          <cell r="C236" t="str">
            <v>GV14.TP.PVC</v>
          </cell>
          <cell r="E236">
            <v>29</v>
          </cell>
          <cell r="F236">
            <v>9</v>
          </cell>
        </row>
        <row r="237">
          <cell r="C237" t="str">
            <v>GV15.TP.PVC</v>
          </cell>
          <cell r="E237">
            <v>19</v>
          </cell>
          <cell r="F237">
            <v>4</v>
          </cell>
        </row>
        <row r="238">
          <cell r="C238" t="str">
            <v>GV16**.TP.PVC</v>
          </cell>
          <cell r="E238">
            <v>7</v>
          </cell>
          <cell r="F238">
            <v>7</v>
          </cell>
        </row>
        <row r="239">
          <cell r="C239" t="str">
            <v>GV20.TP.PVC</v>
          </cell>
          <cell r="E239">
            <v>-8</v>
          </cell>
          <cell r="F239">
            <v>5</v>
          </cell>
        </row>
        <row r="240">
          <cell r="C240" t="str">
            <v>GV21.TP.PVC</v>
          </cell>
          <cell r="E240">
            <v>45</v>
          </cell>
        </row>
        <row r="241">
          <cell r="C241" t="str">
            <v>GV22.TP.PVC</v>
          </cell>
          <cell r="E241">
            <v>26</v>
          </cell>
        </row>
        <row r="242">
          <cell r="C242" t="str">
            <v>GV23.TP.PVC</v>
          </cell>
          <cell r="E242">
            <v>30</v>
          </cell>
        </row>
        <row r="243">
          <cell r="C243" t="str">
            <v>GV24**.TP.PVC</v>
          </cell>
          <cell r="E243">
            <v>7</v>
          </cell>
          <cell r="F243">
            <v>8</v>
          </cell>
        </row>
        <row r="244">
          <cell r="C244" t="str">
            <v>GV25.TP.PVC</v>
          </cell>
          <cell r="E244">
            <v>14</v>
          </cell>
          <cell r="F244">
            <v>7</v>
          </cell>
        </row>
        <row r="245">
          <cell r="C245" t="str">
            <v>GV26**.TP.PVC</v>
          </cell>
          <cell r="E245">
            <v>14</v>
          </cell>
        </row>
        <row r="246">
          <cell r="C246" t="str">
            <v>GV27.TP.PVC</v>
          </cell>
          <cell r="E246">
            <v>-3</v>
          </cell>
          <cell r="F246">
            <v>7</v>
          </cell>
        </row>
        <row r="247">
          <cell r="C247" t="str">
            <v>GV28.TP.PVC</v>
          </cell>
          <cell r="E247">
            <v>-9</v>
          </cell>
        </row>
        <row r="248">
          <cell r="C248" t="str">
            <v>GV29**.TP.PVC</v>
          </cell>
          <cell r="E248">
            <v>12</v>
          </cell>
          <cell r="F248">
            <v>12</v>
          </cell>
        </row>
        <row r="249">
          <cell r="C249" t="str">
            <v>GV30.TP.PVC</v>
          </cell>
          <cell r="E249">
            <v>0</v>
          </cell>
          <cell r="F249">
            <v>6</v>
          </cell>
        </row>
        <row r="250">
          <cell r="C250" t="str">
            <v>GV31.TP.PVC</v>
          </cell>
          <cell r="E250">
            <v>32</v>
          </cell>
          <cell r="F250">
            <v>5</v>
          </cell>
        </row>
        <row r="251">
          <cell r="C251" t="str">
            <v>GV32.TP.PVC</v>
          </cell>
          <cell r="E251">
            <v>9</v>
          </cell>
          <cell r="F251">
            <v>5</v>
          </cell>
        </row>
        <row r="252">
          <cell r="C252" t="str">
            <v>GV33.TP.PVC</v>
          </cell>
          <cell r="E252">
            <v>23</v>
          </cell>
          <cell r="F252">
            <v>14</v>
          </cell>
        </row>
        <row r="253">
          <cell r="C253" t="str">
            <v>GV34.TP.PVC</v>
          </cell>
          <cell r="E253">
            <v>3</v>
          </cell>
          <cell r="F253">
            <v>6</v>
          </cell>
        </row>
        <row r="254">
          <cell r="C254" t="str">
            <v>GV35.TP.PVC</v>
          </cell>
          <cell r="E254">
            <v>7</v>
          </cell>
        </row>
        <row r="255">
          <cell r="C255" t="str">
            <v>GV36.TP.PVC</v>
          </cell>
          <cell r="E255">
            <v>20</v>
          </cell>
        </row>
        <row r="256">
          <cell r="C256" t="str">
            <v>GV37.TP.PVC</v>
          </cell>
          <cell r="E256">
            <v>14</v>
          </cell>
        </row>
        <row r="257">
          <cell r="C257" t="str">
            <v>GV38.TP.PVC</v>
          </cell>
          <cell r="E257">
            <v>14</v>
          </cell>
          <cell r="F257">
            <v>2</v>
          </cell>
        </row>
        <row r="258">
          <cell r="C258" t="str">
            <v>GV39TP.PVC</v>
          </cell>
          <cell r="E258">
            <v>8</v>
          </cell>
          <cell r="F258">
            <v>5</v>
          </cell>
        </row>
        <row r="259">
          <cell r="C259" t="str">
            <v>GV40**.TP.PVC</v>
          </cell>
          <cell r="E259">
            <v>12</v>
          </cell>
          <cell r="F259">
            <v>5</v>
          </cell>
        </row>
        <row r="260">
          <cell r="C260" t="str">
            <v>GV41**.TP.PVC</v>
          </cell>
          <cell r="E260">
            <v>15</v>
          </cell>
          <cell r="F260">
            <v>8</v>
          </cell>
        </row>
        <row r="261">
          <cell r="C261" t="str">
            <v>GV42**.TP.PVC</v>
          </cell>
          <cell r="E261">
            <v>10</v>
          </cell>
          <cell r="F261">
            <v>8</v>
          </cell>
        </row>
        <row r="262">
          <cell r="C262" t="str">
            <v>GV43**.TP.PVC</v>
          </cell>
          <cell r="E262">
            <v>10</v>
          </cell>
          <cell r="F262">
            <v>10</v>
          </cell>
        </row>
        <row r="263">
          <cell r="C263" t="str">
            <v>GV44.TP.PVC</v>
          </cell>
          <cell r="E263">
            <v>5</v>
          </cell>
          <cell r="F263">
            <v>11</v>
          </cell>
        </row>
        <row r="264">
          <cell r="C264" t="str">
            <v>GV45**.TP.PVC</v>
          </cell>
          <cell r="E264">
            <v>0</v>
          </cell>
          <cell r="F264">
            <v>1</v>
          </cell>
        </row>
        <row r="265">
          <cell r="C265" t="str">
            <v>GV46.TP.PVC</v>
          </cell>
          <cell r="E265">
            <v>12</v>
          </cell>
          <cell r="F265">
            <v>7</v>
          </cell>
        </row>
        <row r="266">
          <cell r="C266" t="str">
            <v>GV47**.TP.PVC</v>
          </cell>
          <cell r="E266">
            <v>10</v>
          </cell>
          <cell r="F266">
            <v>1</v>
          </cell>
        </row>
        <row r="267">
          <cell r="C267" t="str">
            <v>GV48**.TP.PVC</v>
          </cell>
          <cell r="E267">
            <v>8</v>
          </cell>
        </row>
        <row r="268">
          <cell r="C268" t="str">
            <v>GV49.TP.PVC</v>
          </cell>
          <cell r="E268">
            <v>6</v>
          </cell>
          <cell r="F268">
            <v>2</v>
          </cell>
        </row>
        <row r="269">
          <cell r="C269" t="str">
            <v>GV50.TP.PVC</v>
          </cell>
          <cell r="E269">
            <v>0</v>
          </cell>
        </row>
        <row r="270">
          <cell r="C270" t="str">
            <v>GV51.TP.PVC</v>
          </cell>
          <cell r="E270">
            <v>1</v>
          </cell>
          <cell r="F270">
            <v>4</v>
          </cell>
        </row>
        <row r="271">
          <cell r="C271" t="str">
            <v>GV52.TP.PVC</v>
          </cell>
          <cell r="E271">
            <v>-3</v>
          </cell>
          <cell r="F271">
            <v>7</v>
          </cell>
        </row>
        <row r="272">
          <cell r="C272" t="str">
            <v>GV53.TP.PVC</v>
          </cell>
          <cell r="E272">
            <v>46</v>
          </cell>
          <cell r="F272">
            <v>7</v>
          </cell>
        </row>
        <row r="273">
          <cell r="C273" t="str">
            <v>GV54**.TP.PVC</v>
          </cell>
          <cell r="E273">
            <v>-2</v>
          </cell>
          <cell r="F273">
            <v>6</v>
          </cell>
        </row>
        <row r="274">
          <cell r="C274" t="str">
            <v>GV55.TP.PVC</v>
          </cell>
          <cell r="E274">
            <v>-16</v>
          </cell>
          <cell r="F274">
            <v>4</v>
          </cell>
        </row>
        <row r="275">
          <cell r="C275" t="str">
            <v>GV56.TP.PVC</v>
          </cell>
          <cell r="E275">
            <v>-3</v>
          </cell>
          <cell r="F275">
            <v>10</v>
          </cell>
        </row>
        <row r="276">
          <cell r="C276" t="str">
            <v>GV57.TP.PVC</v>
          </cell>
          <cell r="E276">
            <v>13</v>
          </cell>
          <cell r="F276">
            <v>5</v>
          </cell>
        </row>
        <row r="277">
          <cell r="C277" t="str">
            <v>GV58.TP.PVC</v>
          </cell>
          <cell r="E277">
            <v>10</v>
          </cell>
          <cell r="F277">
            <v>11</v>
          </cell>
        </row>
        <row r="278">
          <cell r="C278" t="str">
            <v>GV59.TP.PVC</v>
          </cell>
          <cell r="E278">
            <v>13</v>
          </cell>
          <cell r="F278">
            <v>12</v>
          </cell>
        </row>
        <row r="279">
          <cell r="C279" t="str">
            <v>GV60.TP.PVC</v>
          </cell>
          <cell r="E279">
            <v>13</v>
          </cell>
          <cell r="F279">
            <v>5</v>
          </cell>
        </row>
        <row r="280">
          <cell r="C280" t="str">
            <v>GV61.TP.PVC</v>
          </cell>
          <cell r="E280">
            <v>8</v>
          </cell>
        </row>
        <row r="281">
          <cell r="C281" t="str">
            <v>GV62**.TP.PVC</v>
          </cell>
          <cell r="E281">
            <v>20</v>
          </cell>
          <cell r="F281">
            <v>15</v>
          </cell>
        </row>
        <row r="282">
          <cell r="C282" t="str">
            <v>GV63.TP.PVC</v>
          </cell>
          <cell r="E282">
            <v>3</v>
          </cell>
        </row>
        <row r="283">
          <cell r="C283" t="str">
            <v>GV64.TP.PVC</v>
          </cell>
          <cell r="E283">
            <v>5</v>
          </cell>
          <cell r="F283">
            <v>1</v>
          </cell>
        </row>
        <row r="284">
          <cell r="C284" t="str">
            <v>GV65.TP.PVC</v>
          </cell>
          <cell r="E284">
            <v>0</v>
          </cell>
        </row>
        <row r="285">
          <cell r="C285" t="str">
            <v>GV66.TP.PVC</v>
          </cell>
          <cell r="E285">
            <v>15</v>
          </cell>
        </row>
        <row r="286">
          <cell r="C286" t="str">
            <v>GV67.TP.PVC</v>
          </cell>
          <cell r="E286">
            <v>0</v>
          </cell>
        </row>
        <row r="287">
          <cell r="C287" t="str">
            <v>GV68.TP.PVC</v>
          </cell>
          <cell r="E287">
            <v>0</v>
          </cell>
        </row>
        <row r="288">
          <cell r="C288" t="str">
            <v>GV69.TP.PVC</v>
          </cell>
          <cell r="E288">
            <v>15</v>
          </cell>
        </row>
        <row r="289">
          <cell r="C289" t="str">
            <v>GV70.TP.PVC</v>
          </cell>
          <cell r="E289">
            <v>9</v>
          </cell>
        </row>
        <row r="290">
          <cell r="C290" t="str">
            <v>GV71.TP.PVC</v>
          </cell>
          <cell r="E290">
            <v>6</v>
          </cell>
        </row>
        <row r="291">
          <cell r="C291" t="str">
            <v>GV72.TP.PVC</v>
          </cell>
          <cell r="E291">
            <v>5</v>
          </cell>
          <cell r="F291">
            <v>6</v>
          </cell>
        </row>
        <row r="292">
          <cell r="C292" t="str">
            <v>GV73.TP.PVC</v>
          </cell>
          <cell r="E292">
            <v>13</v>
          </cell>
          <cell r="F292">
            <v>1</v>
          </cell>
        </row>
        <row r="293">
          <cell r="C293" t="str">
            <v>GV74.TP.PVC</v>
          </cell>
          <cell r="E293">
            <v>4</v>
          </cell>
          <cell r="F293">
            <v>6</v>
          </cell>
        </row>
        <row r="294">
          <cell r="C294" t="str">
            <v>GV75.TP.PVC</v>
          </cell>
          <cell r="E294">
            <v>7</v>
          </cell>
        </row>
        <row r="295">
          <cell r="C295" t="str">
            <v>GV100*.TP.PVC</v>
          </cell>
          <cell r="E295">
            <v>24</v>
          </cell>
          <cell r="F295">
            <v>5</v>
          </cell>
        </row>
        <row r="296">
          <cell r="C296" t="str">
            <v>GV102*.TP.PVC</v>
          </cell>
          <cell r="E296">
            <v>20</v>
          </cell>
          <cell r="F296">
            <v>5</v>
          </cell>
        </row>
        <row r="297">
          <cell r="C297" t="str">
            <v>GV104*.TP.PVC</v>
          </cell>
          <cell r="E297">
            <v>2</v>
          </cell>
          <cell r="F297">
            <v>1</v>
          </cell>
        </row>
        <row r="298">
          <cell r="C298" t="str">
            <v>GV105.TP.PVC</v>
          </cell>
          <cell r="E298">
            <v>-2</v>
          </cell>
          <cell r="F298">
            <v>4</v>
          </cell>
        </row>
        <row r="299">
          <cell r="C299" t="str">
            <v>GV106.TP.PVC</v>
          </cell>
          <cell r="E299">
            <v>12</v>
          </cell>
          <cell r="F299">
            <v>8</v>
          </cell>
        </row>
        <row r="300">
          <cell r="C300" t="str">
            <v>GV107**.TP.PVC</v>
          </cell>
          <cell r="E300">
            <v>2</v>
          </cell>
          <cell r="F300">
            <v>9</v>
          </cell>
        </row>
        <row r="301">
          <cell r="C301" t="str">
            <v>GV108**.TP.PVC</v>
          </cell>
          <cell r="E301">
            <v>13</v>
          </cell>
          <cell r="F301">
            <v>10</v>
          </cell>
        </row>
        <row r="302">
          <cell r="C302" t="str">
            <v>GV109**.TP.PVC</v>
          </cell>
          <cell r="E302">
            <v>18</v>
          </cell>
          <cell r="F302">
            <v>3</v>
          </cell>
        </row>
        <row r="303">
          <cell r="C303" t="str">
            <v>GV110**.TP.PVC</v>
          </cell>
          <cell r="E303">
            <v>17</v>
          </cell>
          <cell r="F303">
            <v>11</v>
          </cell>
        </row>
        <row r="304">
          <cell r="C304" t="str">
            <v>GV111**.TP.PVC</v>
          </cell>
          <cell r="E304">
            <v>18</v>
          </cell>
          <cell r="F304">
            <v>9</v>
          </cell>
        </row>
        <row r="305">
          <cell r="C305" t="str">
            <v>GV112**.TP.PVC</v>
          </cell>
          <cell r="E305">
            <v>6</v>
          </cell>
          <cell r="F305">
            <v>11</v>
          </cell>
        </row>
        <row r="306">
          <cell r="C306" t="str">
            <v>GV113**.TP.PVC</v>
          </cell>
          <cell r="E306">
            <v>11</v>
          </cell>
          <cell r="F306">
            <v>7</v>
          </cell>
        </row>
        <row r="307">
          <cell r="C307" t="str">
            <v>GV120.TP.PVC</v>
          </cell>
          <cell r="E307">
            <v>21</v>
          </cell>
          <cell r="F307">
            <v>2</v>
          </cell>
        </row>
        <row r="308">
          <cell r="C308" t="str">
            <v>GV121.TP.PVC</v>
          </cell>
          <cell r="E308">
            <v>21</v>
          </cell>
          <cell r="F308">
            <v>15</v>
          </cell>
        </row>
        <row r="309">
          <cell r="C309" t="str">
            <v>GV122.TP.PVC</v>
          </cell>
          <cell r="E309">
            <v>-16</v>
          </cell>
          <cell r="F309">
            <v>9</v>
          </cell>
        </row>
        <row r="310">
          <cell r="C310" t="str">
            <v>GV123.TP.PVC</v>
          </cell>
          <cell r="E310">
            <v>0</v>
          </cell>
          <cell r="F310">
            <v>3</v>
          </cell>
        </row>
        <row r="311">
          <cell r="C311" t="str">
            <v>GV124.TP.PVC</v>
          </cell>
          <cell r="E311">
            <v>9</v>
          </cell>
          <cell r="F311">
            <v>11</v>
          </cell>
        </row>
        <row r="312">
          <cell r="C312" t="str">
            <v>GV125.TP.PVC</v>
          </cell>
          <cell r="E312">
            <v>13</v>
          </cell>
          <cell r="F312">
            <v>7</v>
          </cell>
        </row>
        <row r="313">
          <cell r="C313" t="str">
            <v>GV126.TP.PVC</v>
          </cell>
          <cell r="E313">
            <v>15</v>
          </cell>
          <cell r="F313">
            <v>12</v>
          </cell>
        </row>
        <row r="314">
          <cell r="C314" t="str">
            <v>GV127.TP.PVC</v>
          </cell>
          <cell r="E314">
            <v>7</v>
          </cell>
          <cell r="F314">
            <v>5</v>
          </cell>
        </row>
        <row r="315">
          <cell r="C315" t="str">
            <v>GV128.TP.PVC</v>
          </cell>
          <cell r="E315">
            <v>-4</v>
          </cell>
          <cell r="F315">
            <v>5</v>
          </cell>
        </row>
        <row r="316">
          <cell r="C316" t="str">
            <v>GV129.TP.PVC</v>
          </cell>
          <cell r="E316">
            <v>7</v>
          </cell>
          <cell r="F316">
            <v>7</v>
          </cell>
        </row>
        <row r="317">
          <cell r="C317" t="str">
            <v>GV130.TP.PVC</v>
          </cell>
          <cell r="E317">
            <v>-2</v>
          </cell>
          <cell r="F317">
            <v>7</v>
          </cell>
        </row>
        <row r="318">
          <cell r="C318" t="str">
            <v>GV131.TP.PVC</v>
          </cell>
          <cell r="E318">
            <v>-3</v>
          </cell>
          <cell r="F318">
            <v>8</v>
          </cell>
        </row>
        <row r="319">
          <cell r="C319" t="str">
            <v>GV132.TP.PVC</v>
          </cell>
          <cell r="E319">
            <v>-10</v>
          </cell>
          <cell r="F319">
            <v>8</v>
          </cell>
        </row>
        <row r="320">
          <cell r="C320" t="str">
            <v>GV133.TP.PVC</v>
          </cell>
          <cell r="E320">
            <v>0</v>
          </cell>
          <cell r="F320">
            <v>6</v>
          </cell>
        </row>
        <row r="321">
          <cell r="C321" t="str">
            <v>GV134.TP.PVC</v>
          </cell>
          <cell r="E321">
            <v>15</v>
          </cell>
          <cell r="F321">
            <v>5</v>
          </cell>
        </row>
        <row r="322">
          <cell r="C322" t="str">
            <v>GV135.TP.PVC</v>
          </cell>
          <cell r="E322">
            <v>-2</v>
          </cell>
          <cell r="F322">
            <v>4</v>
          </cell>
        </row>
        <row r="323">
          <cell r="C323" t="str">
            <v>GV136.TP.PVC</v>
          </cell>
          <cell r="E323">
            <v>4</v>
          </cell>
          <cell r="F323">
            <v>4</v>
          </cell>
        </row>
        <row r="324">
          <cell r="C324" t="str">
            <v>GV137.TP.PVC</v>
          </cell>
          <cell r="E324">
            <v>11</v>
          </cell>
          <cell r="F324">
            <v>5</v>
          </cell>
        </row>
        <row r="325">
          <cell r="C325" t="str">
            <v>GV138.TP.PVC</v>
          </cell>
          <cell r="E325">
            <v>3</v>
          </cell>
          <cell r="F325">
            <v>6</v>
          </cell>
        </row>
        <row r="326">
          <cell r="C326" t="str">
            <v>GV139.TP.PVC</v>
          </cell>
          <cell r="E326">
            <v>15</v>
          </cell>
          <cell r="F326">
            <v>7</v>
          </cell>
        </row>
        <row r="327">
          <cell r="C327" t="str">
            <v>GV140.TP.PVC</v>
          </cell>
          <cell r="E327">
            <v>8</v>
          </cell>
          <cell r="F327">
            <v>11</v>
          </cell>
        </row>
        <row r="328">
          <cell r="C328" t="str">
            <v>GV141.TP.PVC</v>
          </cell>
          <cell r="E328">
            <v>19</v>
          </cell>
        </row>
        <row r="329">
          <cell r="C329" t="str">
            <v>GV142.TP.PVC</v>
          </cell>
          <cell r="E329">
            <v>9</v>
          </cell>
          <cell r="F329">
            <v>5</v>
          </cell>
        </row>
        <row r="330">
          <cell r="C330" t="str">
            <v>GV08.TP.MDF.2M</v>
          </cell>
          <cell r="F330">
            <v>3</v>
          </cell>
        </row>
        <row r="331">
          <cell r="C331" t="str">
            <v>GV04.TP.MDF.2M</v>
          </cell>
          <cell r="F331">
            <v>2</v>
          </cell>
        </row>
        <row r="332">
          <cell r="C332" t="str">
            <v>GV28.MDF.2M</v>
          </cell>
        </row>
        <row r="346">
          <cell r="C346" t="str">
            <v>GV23**.PVC.2M</v>
          </cell>
          <cell r="F346">
            <v>1</v>
          </cell>
        </row>
      </sheetData>
      <sheetData sheetId="4"/>
      <sheetData sheetId="5"/>
      <sheetData sheetId="6"/>
      <sheetData sheetId="7">
        <row r="6">
          <cell r="C6" t="str">
            <v>GV01</v>
          </cell>
          <cell r="D6" t="str">
            <v>Acrylic siêu chống xước Áo, AM1800TopX, white 11046 color GV01</v>
          </cell>
          <cell r="E6" t="str">
            <v>Austria</v>
          </cell>
        </row>
        <row r="7">
          <cell r="C7" t="str">
            <v>GV02</v>
          </cell>
          <cell r="D7" t="str">
            <v>Acrylic siêu chống xước Áo, AM1800TopX, white 1982 color GV02</v>
          </cell>
          <cell r="E7" t="str">
            <v>Austria</v>
          </cell>
        </row>
        <row r="8">
          <cell r="C8" t="str">
            <v>GV03</v>
          </cell>
          <cell r="D8" t="str">
            <v>Acrylic siêu chống xước Áo, AM1800TopX, white 1994 color GV03</v>
          </cell>
          <cell r="E8" t="str">
            <v>Austria</v>
          </cell>
        </row>
        <row r="9">
          <cell r="C9" t="str">
            <v>GV04</v>
          </cell>
          <cell r="D9" t="str">
            <v>Acrylic siêu chống xước Áo, AM1800TopX Pearl, white metallic color 11035 GV04</v>
          </cell>
          <cell r="E9" t="str">
            <v>Austria</v>
          </cell>
        </row>
        <row r="10">
          <cell r="C10" t="str">
            <v>GV05</v>
          </cell>
          <cell r="D10" t="str">
            <v>Acrylic UltraGloss, Arctic white SO10-102 color GV05</v>
          </cell>
          <cell r="E10" t="str">
            <v>Korea</v>
          </cell>
        </row>
        <row r="11">
          <cell r="C11" t="str">
            <v>GV05W</v>
          </cell>
          <cell r="D11" t="str">
            <v>High Gloss Acrylic sheet, White, 17W</v>
          </cell>
          <cell r="E11" t="str">
            <v>Taiwan</v>
          </cell>
        </row>
        <row r="12">
          <cell r="C12" t="str">
            <v>GV06</v>
          </cell>
          <cell r="D12" t="str">
            <v>Acrylic UltraGloss, White metallic SO10-901 color GV06</v>
          </cell>
          <cell r="E12" t="str">
            <v>Korea</v>
          </cell>
        </row>
        <row r="13">
          <cell r="C13" t="str">
            <v>GV07</v>
          </cell>
          <cell r="D13" t="str">
            <v>Acrylic UltraGloss, Alabaster SO10-103 color  GV07</v>
          </cell>
          <cell r="E13" t="str">
            <v>Korea</v>
          </cell>
        </row>
        <row r="14">
          <cell r="C14" t="str">
            <v>GV08</v>
          </cell>
          <cell r="D14" t="str">
            <v>Acrylic UltraGloss, Creme SO10-201 color  GV08</v>
          </cell>
          <cell r="E14" t="str">
            <v>Korea</v>
          </cell>
        </row>
        <row r="15">
          <cell r="C15" t="str">
            <v>GV09**</v>
          </cell>
          <cell r="D15" t="str">
            <v>Acrylic siêu chống xước Áo, AM1800TopX, grey 85468 color  GV09**</v>
          </cell>
          <cell r="E15" t="str">
            <v>Austria</v>
          </cell>
        </row>
        <row r="16">
          <cell r="C16" t="str">
            <v>GV10**</v>
          </cell>
          <cell r="D16" t="str">
            <v>Acrylic siêu chống xước Áo, AM1800TopX, grey 85384 color GV10**</v>
          </cell>
          <cell r="E16" t="str">
            <v>Austria</v>
          </cell>
        </row>
        <row r="17">
          <cell r="C17" t="str">
            <v>GV100</v>
          </cell>
          <cell r="D17" t="str">
            <v>Acrylic, AM1700XU, beige 7315 color GV12</v>
          </cell>
          <cell r="E17" t="str">
            <v>Austria</v>
          </cell>
        </row>
        <row r="18">
          <cell r="C18" t="str">
            <v>GV102</v>
          </cell>
          <cell r="D18" t="str">
            <v>Acrylic, AM1700XU, beige 7368 color GV15</v>
          </cell>
          <cell r="E18" t="str">
            <v>Austria</v>
          </cell>
        </row>
        <row r="19">
          <cell r="C19" t="str">
            <v>GV104</v>
          </cell>
          <cell r="D19" t="str">
            <v>Acrylic, AM1500X, blue metallic 4472 color GV41</v>
          </cell>
          <cell r="E19" t="str">
            <v>Austria</v>
          </cell>
        </row>
        <row r="20">
          <cell r="C20" t="str">
            <v>GV107**</v>
          </cell>
          <cell r="D20" t="str">
            <v>High Gloss Acrylic sheet, Beige metallic, EB-PG006</v>
          </cell>
          <cell r="E20" t="str">
            <v>China</v>
          </cell>
        </row>
        <row r="21">
          <cell r="C21" t="str">
            <v>GV108**</v>
          </cell>
          <cell r="D21" t="str">
            <v>High Gloss Acrylic sheet, Light silver metallic, EB-PG007</v>
          </cell>
          <cell r="E21" t="str">
            <v>China</v>
          </cell>
        </row>
        <row r="22">
          <cell r="C22" t="str">
            <v>GV109**</v>
          </cell>
          <cell r="D22" t="str">
            <v>High Gloss Acrylic sheet, Dark silver metallic, EB-PG009</v>
          </cell>
          <cell r="E22" t="str">
            <v>China</v>
          </cell>
        </row>
        <row r="23">
          <cell r="C23" t="str">
            <v>GV11**</v>
          </cell>
          <cell r="D23" t="str">
            <v>Acrylic siêu chống xước Áo, AM1800TopX, Beige metallic 7499 color GV11**</v>
          </cell>
          <cell r="E23" t="str">
            <v>Austria</v>
          </cell>
        </row>
        <row r="24">
          <cell r="C24" t="str">
            <v>GV110**</v>
          </cell>
          <cell r="D24" t="str">
            <v>High Gloss Acrylic sheet, Silver metallic, EB-PG018</v>
          </cell>
          <cell r="E24" t="str">
            <v>China</v>
          </cell>
        </row>
        <row r="25">
          <cell r="C25" t="str">
            <v>GV111**</v>
          </cell>
          <cell r="D25" t="str">
            <v>High Gloss Acrylic sheet, Grey metallic, EB-PG024</v>
          </cell>
          <cell r="E25" t="str">
            <v>China</v>
          </cell>
        </row>
        <row r="26">
          <cell r="C26" t="str">
            <v>GV112**</v>
          </cell>
          <cell r="D26" t="str">
            <v>High Gloss Acrylic sheet, Dark grey metallic, EB-PG025</v>
          </cell>
          <cell r="E26" t="str">
            <v>China</v>
          </cell>
        </row>
        <row r="27">
          <cell r="C27" t="str">
            <v>GV113**</v>
          </cell>
          <cell r="D27" t="str">
            <v>High Gloss Acrylic sheet, Copper silver metallic, EB-PG028</v>
          </cell>
          <cell r="E27" t="str">
            <v>China</v>
          </cell>
        </row>
        <row r="28">
          <cell r="C28" t="str">
            <v>GV12**</v>
          </cell>
          <cell r="D28" t="str">
            <v>Acrylic siêu chống xước Áo, AM1800TopX, beige 7496 GV12**</v>
          </cell>
          <cell r="E28" t="str">
            <v>Austria</v>
          </cell>
        </row>
        <row r="29">
          <cell r="C29" t="str">
            <v>GV120</v>
          </cell>
          <cell r="E29" t="str">
            <v>China</v>
          </cell>
        </row>
        <row r="30">
          <cell r="C30" t="str">
            <v>GV121</v>
          </cell>
          <cell r="D30" t="str">
            <v>High Gloss Acrylic sheet, Grey, AC110,GV121</v>
          </cell>
          <cell r="E30" t="str">
            <v>China</v>
          </cell>
        </row>
        <row r="31">
          <cell r="C31" t="str">
            <v>GV122</v>
          </cell>
          <cell r="D31" t="str">
            <v>High Gloss Acrylic sheet, Milk grey, ASA-20105-L,GV122</v>
          </cell>
          <cell r="E31" t="str">
            <v>China</v>
          </cell>
        </row>
        <row r="32">
          <cell r="C32" t="str">
            <v>GV123</v>
          </cell>
          <cell r="D32" t="str">
            <v>High Gloss Acrylic sheet, Light pearl iron, ASA-20204-Z, GV123</v>
          </cell>
          <cell r="E32" t="str">
            <v>China</v>
          </cell>
        </row>
        <row r="33">
          <cell r="C33" t="str">
            <v>GV124</v>
          </cell>
          <cell r="D33" t="str">
            <v>High Gloss Acrylic sheet, Purple pearl metallic, ASA-20208-81Z, GV124</v>
          </cell>
          <cell r="E33" t="str">
            <v>China</v>
          </cell>
        </row>
        <row r="34">
          <cell r="C34" t="str">
            <v>GV125</v>
          </cell>
          <cell r="D34" t="str">
            <v>High Gloss Acrylic sheet, Silver iron metallic, ASA-20212-Z, GV125</v>
          </cell>
          <cell r="E34" t="str">
            <v>China</v>
          </cell>
        </row>
        <row r="35">
          <cell r="C35" t="str">
            <v>GV126</v>
          </cell>
          <cell r="D35" t="str">
            <v>High Gloss Acrylic sheet, Grey, ASA-20109-L, GV126</v>
          </cell>
          <cell r="E35" t="str">
            <v>China</v>
          </cell>
        </row>
        <row r="36">
          <cell r="C36" t="str">
            <v>GV127</v>
          </cell>
          <cell r="D36" t="str">
            <v>High Gloss Acrylic sheet, Dark grey, ASA-20110-L,GV127</v>
          </cell>
          <cell r="E36" t="str">
            <v>China</v>
          </cell>
        </row>
        <row r="37">
          <cell r="C37" t="str">
            <v>GV128</v>
          </cell>
          <cell r="D37" t="str">
            <v>High Gloss Acrylic sheet, Silver metallic, ASA-20211-Z,GV128</v>
          </cell>
          <cell r="E37" t="str">
            <v>China</v>
          </cell>
        </row>
        <row r="38">
          <cell r="C38" t="str">
            <v>GV129</v>
          </cell>
          <cell r="D38" t="str">
            <v>High Gloss Acrylic sheet, Gold iron, ASA-20206-Z, GV129</v>
          </cell>
          <cell r="E38" t="str">
            <v>China</v>
          </cell>
        </row>
        <row r="39">
          <cell r="C39" t="str">
            <v>GV13</v>
          </cell>
          <cell r="D39" t="str">
            <v>High Gloss Acrylic sheet, Brown, 99BR GV13</v>
          </cell>
          <cell r="E39" t="str">
            <v>Taiwan</v>
          </cell>
        </row>
        <row r="40">
          <cell r="C40" t="str">
            <v>GV130</v>
          </cell>
          <cell r="D40" t="str">
            <v>High Gloss Acrylic sheet, Grey metallic, ASA-20214-Z,GV130</v>
          </cell>
          <cell r="E40" t="str">
            <v>China</v>
          </cell>
        </row>
        <row r="41">
          <cell r="C41" t="str">
            <v>GV131</v>
          </cell>
          <cell r="D41" t="str">
            <v>High Gloss Acrylic sheet, Copper metallic, ASA-20217-Z, GV131</v>
          </cell>
          <cell r="E41" t="str">
            <v>China</v>
          </cell>
        </row>
        <row r="42">
          <cell r="C42" t="str">
            <v>GV132</v>
          </cell>
          <cell r="D42" t="str">
            <v>High Gloss Acrylic sheet, Pearl iron metallic, ASA-20102-81L, GV132</v>
          </cell>
          <cell r="E42" t="str">
            <v>China</v>
          </cell>
        </row>
        <row r="43">
          <cell r="C43" t="str">
            <v>GV133</v>
          </cell>
          <cell r="D43" t="str">
            <v>High Gloss Acrylic sheet, Light brown metallic, ASA-20107-82L, GV133</v>
          </cell>
          <cell r="E43" t="str">
            <v>China</v>
          </cell>
        </row>
        <row r="44">
          <cell r="C44" t="str">
            <v>GV134</v>
          </cell>
          <cell r="D44" t="str">
            <v>High Gloss Acrylic sheet, Navy blue metallic, ASA-20218-Z, GV134</v>
          </cell>
          <cell r="E44" t="str">
            <v>China</v>
          </cell>
        </row>
        <row r="45">
          <cell r="C45" t="str">
            <v>GV135</v>
          </cell>
          <cell r="D45" t="str">
            <v>High Gloss Acrylic sheet, Ivory white, ASA-20113-L, GV135</v>
          </cell>
          <cell r="E45" t="str">
            <v>China</v>
          </cell>
        </row>
        <row r="46">
          <cell r="C46" t="str">
            <v>GV136</v>
          </cell>
          <cell r="D46" t="str">
            <v>High Gloss Acrylic sheet, Pearl cream white metallic, ASA-K0018-Z, GV136</v>
          </cell>
          <cell r="E46" t="str">
            <v>China</v>
          </cell>
        </row>
        <row r="47">
          <cell r="C47" t="str">
            <v>GV137</v>
          </cell>
          <cell r="D47" t="str">
            <v>High Gloss Acrylic sheet, Grey iron purple metallic, ASA-20110-81L, GV137</v>
          </cell>
          <cell r="E47" t="str">
            <v>China</v>
          </cell>
        </row>
        <row r="48">
          <cell r="C48" t="str">
            <v>GV138</v>
          </cell>
          <cell r="D48" t="str">
            <v>High Gloss Acrylic sheet, Dark purple, ASA-20112-L, GV138</v>
          </cell>
          <cell r="E48" t="str">
            <v>China</v>
          </cell>
        </row>
        <row r="49">
          <cell r="C49" t="str">
            <v>GV139</v>
          </cell>
          <cell r="D49" t="str">
            <v>High Gloss Acrylic sheet, Blue grey metallic, ASA-20202-Z, GV139</v>
          </cell>
          <cell r="E49" t="str">
            <v>China</v>
          </cell>
        </row>
        <row r="50">
          <cell r="C50" t="str">
            <v>GV14</v>
          </cell>
          <cell r="D50" t="str">
            <v>Acrylic UltraGloss, Mocha SO10-204 color GV14</v>
          </cell>
          <cell r="E50" t="str">
            <v>Korea</v>
          </cell>
        </row>
        <row r="51">
          <cell r="C51" t="str">
            <v>GV140</v>
          </cell>
          <cell r="D51" t="str">
            <v>High Gloss Acrylic sheet, Beige metallic, AC66, GV140</v>
          </cell>
          <cell r="E51" t="str">
            <v>China</v>
          </cell>
        </row>
        <row r="52">
          <cell r="C52" t="str">
            <v>GV141</v>
          </cell>
          <cell r="D52" t="str">
            <v>High Gloss Acrylic sheet, Rose gold metallic, AC80, GV141</v>
          </cell>
          <cell r="E52" t="str">
            <v>China</v>
          </cell>
        </row>
        <row r="53">
          <cell r="C53" t="str">
            <v>GV142</v>
          </cell>
          <cell r="D53" t="str">
            <v>High Gloss Acrylic sheet, Champangne, AC26, GV142</v>
          </cell>
          <cell r="E53" t="str">
            <v>China</v>
          </cell>
        </row>
        <row r="54">
          <cell r="C54" t="str">
            <v>GV15</v>
          </cell>
          <cell r="D54" t="str">
            <v>Acrylic, Tiara Prime F1 Grey_7402M, 2440x1220x0.8mm</v>
          </cell>
          <cell r="E54" t="str">
            <v>Indonesia</v>
          </cell>
        </row>
        <row r="55">
          <cell r="C55" t="str">
            <v>GV16</v>
          </cell>
          <cell r="D55" t="str">
            <v>Acrylic siêu chống xước Áo, AM1800TopX, beige 7498 color GV16</v>
          </cell>
          <cell r="E55" t="str">
            <v>Austria</v>
          </cell>
        </row>
        <row r="56">
          <cell r="C56" t="str">
            <v>GV20</v>
          </cell>
          <cell r="D56" t="str">
            <v>High Gloss Acrylic sheet, Gray, 86GR, GV20</v>
          </cell>
          <cell r="E56" t="str">
            <v>Taiwan</v>
          </cell>
        </row>
        <row r="57">
          <cell r="C57" t="str">
            <v>GV21</v>
          </cell>
          <cell r="D57" t="str">
            <v>Acrylic UltraGloss, Gray SO10-701 color GV21</v>
          </cell>
          <cell r="E57" t="str">
            <v>Korea</v>
          </cell>
        </row>
        <row r="58">
          <cell r="C58" t="str">
            <v>GV22</v>
          </cell>
          <cell r="D58" t="str">
            <v>UltraGloss SO10-903_Silver Metallic GV22</v>
          </cell>
          <cell r="E58" t="str">
            <v>Korea</v>
          </cell>
        </row>
        <row r="59">
          <cell r="C59" t="str">
            <v>GV23**</v>
          </cell>
          <cell r="D59" t="str">
            <v>Acrylic, AM1800TopX, silver metallic 85385 color, size 1220x2440x0.8mm</v>
          </cell>
          <cell r="E59" t="str">
            <v>Austria</v>
          </cell>
        </row>
        <row r="60">
          <cell r="C60" t="str">
            <v>GV24</v>
          </cell>
          <cell r="D60" t="str">
            <v>Acrylic siêu chống xước Áo, AM1800TopX, grey 85383 color GV24</v>
          </cell>
          <cell r="E60" t="str">
            <v>Austria</v>
          </cell>
        </row>
        <row r="61">
          <cell r="C61" t="str">
            <v>GV25</v>
          </cell>
          <cell r="D61" t="str">
            <v>High Gloss Acrylic sheet, 72GR, GV25 mới</v>
          </cell>
          <cell r="E61" t="str">
            <v>Taiwan</v>
          </cell>
        </row>
        <row r="62">
          <cell r="C62" t="str">
            <v>GV25.C</v>
          </cell>
          <cell r="D62" t="str">
            <v>Acrylic, AM1700XU, grey 85335 color GV25</v>
          </cell>
        </row>
        <row r="63">
          <cell r="C63" t="str">
            <v>GV26**</v>
          </cell>
          <cell r="D63" t="str">
            <v>Acrylic, AM1800TopX, silver metallic 85387 color, size 1220x2440x0.8mm</v>
          </cell>
          <cell r="E63" t="str">
            <v>Austria</v>
          </cell>
        </row>
        <row r="64">
          <cell r="C64" t="str">
            <v>GV27</v>
          </cell>
          <cell r="D64" t="str">
            <v>Acrylic UltraGloss, Graphite Metallic SO10-905 color GV27</v>
          </cell>
          <cell r="E64" t="str">
            <v>Korea</v>
          </cell>
        </row>
        <row r="65">
          <cell r="C65" t="str">
            <v>GV28</v>
          </cell>
          <cell r="D65" t="str">
            <v>Acrylic UltraGloss, Slate SO10-702 color GV28</v>
          </cell>
          <cell r="E65" t="str">
            <v>Korea</v>
          </cell>
        </row>
        <row r="66">
          <cell r="C66" t="str">
            <v>GV29</v>
          </cell>
          <cell r="D66" t="str">
            <v>Acrylic siêu chống xước Áo, AM1800TopX, dark grey 85382 color GV29</v>
          </cell>
          <cell r="E66" t="str">
            <v>Austria</v>
          </cell>
        </row>
        <row r="67">
          <cell r="C67" t="str">
            <v>GV30</v>
          </cell>
          <cell r="D67" t="str">
            <v>Acrylic UltraGloss, Cappuccino SO10-203 color GV30</v>
          </cell>
          <cell r="E67" t="str">
            <v>Korea</v>
          </cell>
        </row>
        <row r="68">
          <cell r="C68" t="str">
            <v>GV31</v>
          </cell>
          <cell r="D68" t="str">
            <v>UltraGloss_Gold Metallic 902 color GV31</v>
          </cell>
          <cell r="E68" t="str">
            <v>Korea</v>
          </cell>
        </row>
        <row r="69">
          <cell r="C69" t="str">
            <v>GV32</v>
          </cell>
          <cell r="D69" t="str">
            <v>Acrylic UltraMatte Arctic White SM10-102 color, GV32</v>
          </cell>
          <cell r="E69" t="str">
            <v>Korea</v>
          </cell>
        </row>
        <row r="70">
          <cell r="C70" t="str">
            <v>GV33</v>
          </cell>
          <cell r="D70" t="str">
            <v>Acrylic UltraMatte Arctic Slate SM10-702 color, GV33</v>
          </cell>
          <cell r="E70" t="str">
            <v>Korea</v>
          </cell>
        </row>
        <row r="71">
          <cell r="C71" t="str">
            <v>GV34</v>
          </cell>
          <cell r="D71" t="str">
            <v>Acrylic UltraMatte Arctic Black SM10-801 color, GV34</v>
          </cell>
          <cell r="E71" t="str">
            <v>Korea</v>
          </cell>
        </row>
        <row r="72">
          <cell r="C72" t="str">
            <v>GV35</v>
          </cell>
          <cell r="D72" t="str">
            <v>Acrylic, Tiara Prime F1 Grey_7901M, 2440x1220x0.8mm</v>
          </cell>
          <cell r="E72" t="str">
            <v>Indonesia</v>
          </cell>
        </row>
        <row r="73">
          <cell r="C73" t="str">
            <v>GV36</v>
          </cell>
          <cell r="D73" t="str">
            <v>High Gloss Acrylic sheet, Pink, 61R, size 1220x2440x0.8mm</v>
          </cell>
          <cell r="E73" t="str">
            <v>Taiwan</v>
          </cell>
        </row>
        <row r="74">
          <cell r="C74" t="str">
            <v>GV37</v>
          </cell>
          <cell r="D74" t="str">
            <v>High Gloss Acrylic sheet, Gold, 35Y, size 1220x2440x0.8mm</v>
          </cell>
          <cell r="E74" t="str">
            <v>Taiwan</v>
          </cell>
        </row>
        <row r="75">
          <cell r="C75" t="str">
            <v>GV38</v>
          </cell>
          <cell r="D75" t="str">
            <v>High Gloss Acrylic sheet, Light blue, 62BL, size 1220x2440x0.8mm</v>
          </cell>
          <cell r="E75" t="str">
            <v>Taiwan</v>
          </cell>
        </row>
        <row r="76">
          <cell r="C76" t="str">
            <v>GV39</v>
          </cell>
          <cell r="D76" t="str">
            <v>High gloss sheet AC37 color GV39</v>
          </cell>
          <cell r="E76" t="str">
            <v>China</v>
          </cell>
        </row>
        <row r="77">
          <cell r="C77" t="str">
            <v>GV40</v>
          </cell>
          <cell r="D77" t="str">
            <v>Acrylic siêu chống xước Áo, AM1800TopX, green 5357 color GV40</v>
          </cell>
          <cell r="E77" t="str">
            <v>Austria</v>
          </cell>
        </row>
        <row r="78">
          <cell r="C78" t="str">
            <v>GV41**</v>
          </cell>
          <cell r="D78" t="str">
            <v>Acrylic siêu chống xước Áo, AM1800TopX, blue metallic 4562 color GV41**</v>
          </cell>
          <cell r="E78" t="str">
            <v>Austria</v>
          </cell>
        </row>
        <row r="79">
          <cell r="C79" t="str">
            <v>GV42</v>
          </cell>
          <cell r="D79" t="str">
            <v>Acrylic siêu chống xước Áo, AM1800TopX, blue 4670 color GV42</v>
          </cell>
          <cell r="E79" t="str">
            <v>Austria</v>
          </cell>
        </row>
        <row r="80">
          <cell r="C80" t="str">
            <v>GV43</v>
          </cell>
          <cell r="D80" t="str">
            <v>Acrylic siêu chống xước Áo, AM1800TopX, blue 4644 color GV43</v>
          </cell>
          <cell r="E80" t="str">
            <v>Austria</v>
          </cell>
        </row>
        <row r="81">
          <cell r="C81" t="str">
            <v>GV44</v>
          </cell>
          <cell r="D81" t="str">
            <v>Acrylic, Tiara Prime F1 Black_0108M, 2440x1220x0.8mm</v>
          </cell>
          <cell r="E81" t="str">
            <v>Indonesia</v>
          </cell>
        </row>
        <row r="82">
          <cell r="C82" t="str">
            <v>GV45**</v>
          </cell>
          <cell r="D82" t="str">
            <v>Acrylic, AM1800TopX, black metallic 8427 color, size 1220x2440x0.8mm</v>
          </cell>
          <cell r="E82" t="str">
            <v>Austria</v>
          </cell>
        </row>
        <row r="83">
          <cell r="C83" t="str">
            <v>GV46</v>
          </cell>
          <cell r="D83" t="str">
            <v>UltraGloss_Wine Metallic color GV46</v>
          </cell>
          <cell r="E83" t="str">
            <v>Korea</v>
          </cell>
        </row>
        <row r="84">
          <cell r="C84" t="str">
            <v>GV47</v>
          </cell>
          <cell r="D84" t="str">
            <v>Acrylic siêu chống xước Áo, AM1800TopX, violet 4548 color GV47</v>
          </cell>
          <cell r="E84" t="str">
            <v>Austria</v>
          </cell>
        </row>
        <row r="85">
          <cell r="C85" t="str">
            <v>GV48</v>
          </cell>
          <cell r="D85" t="str">
            <v>Acrylic siêu chống xước Áo, AM1800TopX, red 3362 color GV48</v>
          </cell>
          <cell r="E85" t="str">
            <v>Austria</v>
          </cell>
        </row>
        <row r="86">
          <cell r="C86" t="str">
            <v>GV49</v>
          </cell>
          <cell r="D86" t="str">
            <v>Acrylic UltraGloss, Burgundi SO10-402 color GV49</v>
          </cell>
          <cell r="E86" t="str">
            <v>Korea</v>
          </cell>
        </row>
        <row r="87">
          <cell r="C87" t="str">
            <v>GV50</v>
          </cell>
          <cell r="D87" t="str">
            <v>High Gloss Acrylic sheet Orange, 05O</v>
          </cell>
          <cell r="E87" t="str">
            <v>Taiwan</v>
          </cell>
        </row>
        <row r="88">
          <cell r="C88" t="str">
            <v>GV50C</v>
          </cell>
          <cell r="E88" t="str">
            <v>Taiwan</v>
          </cell>
        </row>
        <row r="89">
          <cell r="C89" t="str">
            <v>GV51</v>
          </cell>
          <cell r="D89" t="str">
            <v>UltraGloss_Verde color GV51</v>
          </cell>
          <cell r="E89" t="str">
            <v>Korea</v>
          </cell>
        </row>
        <row r="90">
          <cell r="C90" t="str">
            <v>GV52</v>
          </cell>
          <cell r="D90" t="str">
            <v>Acrylic, 54BL, light blue color GV52</v>
          </cell>
          <cell r="E90" t="str">
            <v>Taiwan</v>
          </cell>
        </row>
        <row r="91">
          <cell r="C91" t="str">
            <v>GV53</v>
          </cell>
          <cell r="D91" t="str">
            <v>Acrylic, 49G, dark blue color GV53</v>
          </cell>
          <cell r="E91" t="str">
            <v>Taiwan</v>
          </cell>
        </row>
        <row r="92">
          <cell r="C92" t="str">
            <v>GV54</v>
          </cell>
          <cell r="D92" t="str">
            <v>Acrylic, Tiara Prime F1 White_9086P, 2440x1220x0.8mm</v>
          </cell>
          <cell r="E92" t="str">
            <v>Indonesia</v>
          </cell>
        </row>
        <row r="93">
          <cell r="C93" t="str">
            <v>GV55</v>
          </cell>
          <cell r="D93" t="str">
            <v>Acrylic, Tiara Prime F1 Beige_1402P, 2440x1220x0.8mm</v>
          </cell>
          <cell r="E93" t="str">
            <v>Indonesia</v>
          </cell>
        </row>
        <row r="94">
          <cell r="C94" t="str">
            <v>GV60</v>
          </cell>
          <cell r="D94" t="str">
            <v>Acrylic, 88BR, Coffee color GV60</v>
          </cell>
          <cell r="E94" t="str">
            <v>Taiwan</v>
          </cell>
        </row>
        <row r="95">
          <cell r="C95" t="str">
            <v>GV61</v>
          </cell>
          <cell r="D95" t="str">
            <v>High Gloss Acrylic sheet Brown, TBA 95BR</v>
          </cell>
          <cell r="E95" t="str">
            <v>Taiwan</v>
          </cell>
        </row>
        <row r="96">
          <cell r="C96" t="str">
            <v>GV62</v>
          </cell>
          <cell r="D96" t="str">
            <v>Acrylic siêu chống xước Áo, AM1800TopX, black 8421 color GV62</v>
          </cell>
          <cell r="E96" t="str">
            <v>Austria</v>
          </cell>
        </row>
        <row r="97">
          <cell r="C97" t="str">
            <v>GV63</v>
          </cell>
          <cell r="D97" t="str">
            <v>Acrylic UltraGloss, Black SO10-801 color GV63</v>
          </cell>
          <cell r="E97" t="str">
            <v>Korea</v>
          </cell>
        </row>
        <row r="98">
          <cell r="C98" t="str">
            <v>GV64</v>
          </cell>
          <cell r="D98" t="str">
            <v>High Gloss Acrylic sheet, wood grain, M8908-4 color GV64</v>
          </cell>
          <cell r="E98" t="str">
            <v>Taiwan</v>
          </cell>
        </row>
        <row r="99">
          <cell r="C99" t="str">
            <v>GV65</v>
          </cell>
          <cell r="D99" t="str">
            <v>High Gloss Acrylic sheet, wood grain, M9580-4 color GV65</v>
          </cell>
          <cell r="E99" t="str">
            <v>Taiwan</v>
          </cell>
        </row>
        <row r="100">
          <cell r="C100" t="str">
            <v>GV66</v>
          </cell>
          <cell r="D100" t="str">
            <v>High Gloss Acrylic sheet, wood grain, M7284-4 color GV66</v>
          </cell>
          <cell r="E100" t="str">
            <v>Taiwan</v>
          </cell>
        </row>
        <row r="101">
          <cell r="C101" t="str">
            <v>GV67</v>
          </cell>
          <cell r="D101" t="str">
            <v>High Gloss Acrylic sheet, wood grain, M9588 color GV67</v>
          </cell>
          <cell r="E101" t="str">
            <v>Taiwan</v>
          </cell>
        </row>
        <row r="102">
          <cell r="C102" t="str">
            <v>GV68</v>
          </cell>
          <cell r="D102" t="str">
            <v>High Gloss Acrylic sheet, wood grain, T-RF5552 color GV68</v>
          </cell>
          <cell r="E102" t="str">
            <v>Taiwan</v>
          </cell>
        </row>
        <row r="103">
          <cell r="C103" t="str">
            <v>GV69</v>
          </cell>
          <cell r="D103" t="str">
            <v>Acrylic UltraGloss, Dusky ASH color GV69</v>
          </cell>
          <cell r="E103" t="str">
            <v>Korea</v>
          </cell>
        </row>
        <row r="104">
          <cell r="C104" t="str">
            <v>GV70</v>
          </cell>
          <cell r="D104" t="str">
            <v>High Gloss Acrylic sheet, wood grain, M9750-4 color GV70</v>
          </cell>
          <cell r="E104" t="str">
            <v>Taiwan</v>
          </cell>
        </row>
        <row r="105">
          <cell r="C105" t="str">
            <v>GV71</v>
          </cell>
          <cell r="D105" t="str">
            <v>High Gloss Acrylic sheet, wood grain, M3573-10-4 color GV71</v>
          </cell>
          <cell r="E105" t="str">
            <v>Taiwan</v>
          </cell>
        </row>
        <row r="106">
          <cell r="C106" t="str">
            <v>GV72</v>
          </cell>
          <cell r="D106" t="str">
            <v>High Gloss Acrylic sheet, wood grain, M9289-4 color GV72</v>
          </cell>
          <cell r="E106" t="str">
            <v>Taiwan</v>
          </cell>
        </row>
        <row r="107">
          <cell r="C107" t="str">
            <v>GV73</v>
          </cell>
          <cell r="D107" t="str">
            <v>High Gloss Acrylic sheet, wood grain, MS7402 color GV73</v>
          </cell>
          <cell r="E107" t="str">
            <v>Taiwan</v>
          </cell>
        </row>
        <row r="108">
          <cell r="C108" t="str">
            <v>GV74</v>
          </cell>
          <cell r="D108" t="str">
            <v>High Gloss Acrylic sheet, wood grain, MS5374 color GV74</v>
          </cell>
          <cell r="E108" t="str">
            <v>Taiwan</v>
          </cell>
        </row>
        <row r="109">
          <cell r="C109" t="str">
            <v>GV105</v>
          </cell>
          <cell r="D109" t="str">
            <v>High Gloss Acrylic sheet, CREAM WHITE, 16W</v>
          </cell>
          <cell r="E109" t="str">
            <v>Taiwan</v>
          </cell>
        </row>
        <row r="110">
          <cell r="C110" t="str">
            <v>GV106</v>
          </cell>
          <cell r="D110" t="str">
            <v>High Gloss Acrylic sheet, WHITE PEARL, 16WS</v>
          </cell>
          <cell r="E110" t="str">
            <v>Taiwan</v>
          </cell>
        </row>
        <row r="111">
          <cell r="C111" t="str">
            <v>GV56</v>
          </cell>
          <cell r="D111" t="str">
            <v>Màu PARC 68 An Cường</v>
          </cell>
          <cell r="E111" t="str">
            <v>Taiwan</v>
          </cell>
        </row>
        <row r="112">
          <cell r="C112" t="str">
            <v>GV57</v>
          </cell>
          <cell r="D112" t="str">
            <v>Màu PARC 51 An Cường</v>
          </cell>
          <cell r="E112" t="str">
            <v>Taiwan</v>
          </cell>
        </row>
        <row r="113">
          <cell r="C113" t="str">
            <v>GV75</v>
          </cell>
          <cell r="D113" t="str">
            <v>Màu PARC 50 An Cường</v>
          </cell>
          <cell r="E113" t="str">
            <v>Taiwan</v>
          </cell>
        </row>
        <row r="114">
          <cell r="C114" t="str">
            <v>GV58</v>
          </cell>
          <cell r="E114" t="str">
            <v>Taiwan</v>
          </cell>
        </row>
        <row r="115">
          <cell r="C115" t="str">
            <v>GV59</v>
          </cell>
          <cell r="D115" t="str">
            <v>Màu PARC 30 An Cường</v>
          </cell>
          <cell r="E115" t="str">
            <v>Taiwan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8"/>
  <sheetViews>
    <sheetView tabSelected="1" workbookViewId="0">
      <selection activeCell="D11" sqref="D11"/>
    </sheetView>
  </sheetViews>
  <sheetFormatPr defaultRowHeight="14.4" x14ac:dyDescent="0.3"/>
  <cols>
    <col min="1" max="1" width="6.88671875" bestFit="1" customWidth="1"/>
    <col min="2" max="2" width="21.109375" bestFit="1" customWidth="1"/>
    <col min="3" max="3" width="48.109375" customWidth="1"/>
    <col min="4" max="4" width="63.6640625" style="12" customWidth="1"/>
    <col min="5" max="5" width="13.109375" style="12" customWidth="1"/>
    <col min="6" max="6" width="34.33203125" customWidth="1"/>
    <col min="7" max="7" width="6.88671875" bestFit="1" customWidth="1"/>
    <col min="8" max="8" width="14.77734375" customWidth="1"/>
    <col min="9" max="9" width="23" customWidth="1"/>
  </cols>
  <sheetData>
    <row r="1" spans="1:8" ht="18" x14ac:dyDescent="0.35">
      <c r="A1" s="1"/>
      <c r="B1" s="1"/>
      <c r="C1" s="1"/>
      <c r="D1" s="13"/>
      <c r="E1" s="13"/>
      <c r="F1" s="1"/>
      <c r="G1" s="1"/>
    </row>
    <row r="2" spans="1:8" x14ac:dyDescent="0.3">
      <c r="D2" s="14"/>
      <c r="E2" s="14"/>
    </row>
    <row r="3" spans="1:8" ht="31.2" x14ac:dyDescent="0.3">
      <c r="A3" s="4" t="s">
        <v>0</v>
      </c>
      <c r="B3" s="4" t="s">
        <v>1</v>
      </c>
      <c r="C3" s="4" t="s">
        <v>2</v>
      </c>
      <c r="D3" s="15" t="s">
        <v>1304</v>
      </c>
      <c r="E3" s="15" t="s">
        <v>3</v>
      </c>
      <c r="F3" s="4" t="s">
        <v>4</v>
      </c>
      <c r="G3" s="4" t="s">
        <v>5</v>
      </c>
      <c r="H3" s="5" t="s">
        <v>1302</v>
      </c>
    </row>
    <row r="4" spans="1:8" ht="15.6" x14ac:dyDescent="0.3">
      <c r="A4" s="2">
        <v>1</v>
      </c>
      <c r="B4" s="2" t="s">
        <v>6</v>
      </c>
      <c r="C4" s="2" t="s">
        <v>7</v>
      </c>
      <c r="D4" s="6" t="str">
        <f>VLOOKUP(B4,'[1]Tồn Acrilic  T10 .nháp'!C$6:E$115,2,0)</f>
        <v>Acrylic siêu chống xước Áo, AM1800TopX, white 11046 color GV01</v>
      </c>
      <c r="E4" s="6" t="str">
        <f>VLOOKUP(B4,'[1]Tồn Acrilic  T10 .nháp'!C$6:E$115,3,0)</f>
        <v>Austria</v>
      </c>
      <c r="F4" s="2" t="s">
        <v>8</v>
      </c>
      <c r="G4" s="2" t="s">
        <v>9</v>
      </c>
      <c r="H4" s="6">
        <f>VLOOKUP(B4,'[1]Tồn Acrilic  T10'!C$6:F$346,4,0)</f>
        <v>1203</v>
      </c>
    </row>
    <row r="5" spans="1:8" ht="15.6" x14ac:dyDescent="0.3">
      <c r="A5" s="2">
        <v>2</v>
      </c>
      <c r="B5" s="2" t="s">
        <v>10</v>
      </c>
      <c r="C5" s="2" t="s">
        <v>11</v>
      </c>
      <c r="D5" s="6"/>
      <c r="E5" s="6"/>
      <c r="F5" s="2" t="s">
        <v>12</v>
      </c>
      <c r="G5" s="2" t="s">
        <v>9</v>
      </c>
      <c r="H5" s="6">
        <f>VLOOKUP(B5,'[1]Tồn Acrilic  T10'!C$6:F$346,4,0)</f>
        <v>13</v>
      </c>
    </row>
    <row r="6" spans="1:8" ht="15.6" x14ac:dyDescent="0.3">
      <c r="A6" s="2">
        <v>3</v>
      </c>
      <c r="B6" s="2" t="s">
        <v>13</v>
      </c>
      <c r="C6" s="2" t="s">
        <v>14</v>
      </c>
      <c r="D6" s="6"/>
      <c r="E6" s="6"/>
      <c r="F6" s="2" t="s">
        <v>15</v>
      </c>
      <c r="G6" s="2" t="s">
        <v>9</v>
      </c>
      <c r="H6" s="6">
        <v>0</v>
      </c>
    </row>
    <row r="7" spans="1:8" ht="15.6" x14ac:dyDescent="0.3">
      <c r="A7" s="2">
        <v>4</v>
      </c>
      <c r="B7" s="2" t="s">
        <v>16</v>
      </c>
      <c r="C7" s="2" t="s">
        <v>17</v>
      </c>
      <c r="D7" s="6"/>
      <c r="F7" s="2" t="s">
        <v>18</v>
      </c>
      <c r="G7" s="2" t="s">
        <v>9</v>
      </c>
      <c r="H7" s="6">
        <v>0</v>
      </c>
    </row>
    <row r="8" spans="1:8" ht="15.6" x14ac:dyDescent="0.3">
      <c r="A8" s="2">
        <v>5</v>
      </c>
      <c r="B8" s="2" t="s">
        <v>19</v>
      </c>
      <c r="C8" s="2" t="s">
        <v>20</v>
      </c>
      <c r="D8" s="6"/>
      <c r="E8" s="6"/>
      <c r="F8" s="2" t="s">
        <v>21</v>
      </c>
      <c r="G8" s="2" t="s">
        <v>9</v>
      </c>
      <c r="H8" s="6">
        <f>VLOOKUP(B8,'[1]Tồn Acrilic  T10'!C$6:F$346,4,0)</f>
        <v>9</v>
      </c>
    </row>
    <row r="9" spans="1:8" ht="15.6" x14ac:dyDescent="0.3">
      <c r="A9" s="2">
        <v>6</v>
      </c>
      <c r="B9" s="2" t="s">
        <v>22</v>
      </c>
      <c r="C9" s="2" t="s">
        <v>23</v>
      </c>
      <c r="D9" s="6"/>
      <c r="E9" s="6"/>
      <c r="F9" s="2" t="s">
        <v>24</v>
      </c>
      <c r="G9" s="2" t="s">
        <v>9</v>
      </c>
      <c r="H9" s="6">
        <v>0</v>
      </c>
    </row>
    <row r="10" spans="1:8" ht="15.6" x14ac:dyDescent="0.3">
      <c r="A10" s="2">
        <v>7</v>
      </c>
      <c r="B10" s="2" t="s">
        <v>25</v>
      </c>
      <c r="C10" s="2" t="s">
        <v>26</v>
      </c>
      <c r="D10" s="6" t="str">
        <f>VLOOKUP(B10,'[1]Tồn Acrilic  T10 .nháp'!C$6:E$115,2,0)</f>
        <v>Acrylic siêu chống xước Áo, AM1800TopX, white 1982 color GV02</v>
      </c>
      <c r="E10" s="6" t="str">
        <f>VLOOKUP(B10,'[1]Tồn Acrilic  T10 .nháp'!C$6:E$115,3,0)</f>
        <v>Austria</v>
      </c>
      <c r="F10" s="2" t="s">
        <v>8</v>
      </c>
      <c r="G10" s="2" t="s">
        <v>9</v>
      </c>
      <c r="H10" s="6">
        <f>VLOOKUP(B10,'[1]Tồn Acrilic  T10'!C$6:F$346,4,0)</f>
        <v>287</v>
      </c>
    </row>
    <row r="11" spans="1:8" ht="15.6" x14ac:dyDescent="0.3">
      <c r="A11" s="2">
        <v>8</v>
      </c>
      <c r="B11" s="2" t="s">
        <v>27</v>
      </c>
      <c r="C11" s="2" t="s">
        <v>28</v>
      </c>
      <c r="D11" s="6"/>
      <c r="E11" s="6"/>
      <c r="F11" s="2" t="s">
        <v>12</v>
      </c>
      <c r="G11" s="2" t="s">
        <v>9</v>
      </c>
      <c r="H11" s="6">
        <f>VLOOKUP(B11,'[1]Tồn Acrilic  T10'!C$6:F$346,4,0)</f>
        <v>16</v>
      </c>
    </row>
    <row r="12" spans="1:8" ht="15.6" x14ac:dyDescent="0.3">
      <c r="A12" s="2">
        <v>9</v>
      </c>
      <c r="B12" s="2" t="s">
        <v>29</v>
      </c>
      <c r="C12" s="2" t="s">
        <v>30</v>
      </c>
      <c r="D12" s="6"/>
      <c r="E12" s="6"/>
      <c r="F12" s="2" t="s">
        <v>15</v>
      </c>
      <c r="G12" s="2" t="s">
        <v>9</v>
      </c>
      <c r="H12" s="6">
        <v>0</v>
      </c>
    </row>
    <row r="13" spans="1:8" ht="15.6" x14ac:dyDescent="0.3">
      <c r="A13" s="2">
        <v>10</v>
      </c>
      <c r="B13" s="2" t="s">
        <v>31</v>
      </c>
      <c r="C13" s="2" t="s">
        <v>32</v>
      </c>
      <c r="D13" s="6"/>
      <c r="E13" s="6"/>
      <c r="F13" s="2" t="s">
        <v>18</v>
      </c>
      <c r="G13" s="2" t="s">
        <v>9</v>
      </c>
      <c r="H13" s="6">
        <v>0</v>
      </c>
    </row>
    <row r="14" spans="1:8" ht="15.6" x14ac:dyDescent="0.3">
      <c r="A14" s="2">
        <v>11</v>
      </c>
      <c r="B14" s="2" t="s">
        <v>33</v>
      </c>
      <c r="C14" s="2" t="s">
        <v>34</v>
      </c>
      <c r="D14" s="6"/>
      <c r="E14" s="6"/>
      <c r="F14" s="2" t="s">
        <v>21</v>
      </c>
      <c r="G14" s="2" t="s">
        <v>9</v>
      </c>
      <c r="H14" s="6">
        <f>VLOOKUP(B14,'[1]Tồn Acrilic  T10'!C$6:F$346,4,0)</f>
        <v>7</v>
      </c>
    </row>
    <row r="15" spans="1:8" ht="15.6" x14ac:dyDescent="0.3">
      <c r="A15" s="2">
        <v>12</v>
      </c>
      <c r="B15" s="2" t="s">
        <v>35</v>
      </c>
      <c r="C15" s="2" t="s">
        <v>36</v>
      </c>
      <c r="D15" s="6"/>
      <c r="E15" s="6"/>
      <c r="F15" s="2" t="s">
        <v>24</v>
      </c>
      <c r="G15" s="2" t="s">
        <v>9</v>
      </c>
      <c r="H15" s="6">
        <v>0</v>
      </c>
    </row>
    <row r="16" spans="1:8" ht="15.6" x14ac:dyDescent="0.3">
      <c r="A16" s="2">
        <v>13</v>
      </c>
      <c r="B16" s="2" t="s">
        <v>37</v>
      </c>
      <c r="C16" s="2" t="s">
        <v>38</v>
      </c>
      <c r="D16" s="6" t="str">
        <f>VLOOKUP(B16,'[1]Tồn Acrilic  T10 .nháp'!C$6:E$115,2,0)</f>
        <v>Acrylic siêu chống xước Áo, AM1800TopX, white 1994 color GV03</v>
      </c>
      <c r="E16" s="6" t="str">
        <f>VLOOKUP(B16,'[1]Tồn Acrilic  T10 .nháp'!C$6:E$115,3,0)</f>
        <v>Austria</v>
      </c>
      <c r="F16" s="2" t="s">
        <v>8</v>
      </c>
      <c r="G16" s="2" t="s">
        <v>9</v>
      </c>
      <c r="H16" s="6">
        <f>VLOOKUP(B16,'[1]Tồn Acrilic  T10'!C$6:F$346,4,0)</f>
        <v>54</v>
      </c>
    </row>
    <row r="17" spans="1:8" ht="15.6" x14ac:dyDescent="0.3">
      <c r="A17" s="2">
        <v>14</v>
      </c>
      <c r="B17" s="2" t="s">
        <v>39</v>
      </c>
      <c r="C17" s="2" t="s">
        <v>40</v>
      </c>
      <c r="D17" s="6"/>
      <c r="E17" s="6"/>
      <c r="F17" s="2" t="s">
        <v>12</v>
      </c>
      <c r="G17" s="2" t="s">
        <v>9</v>
      </c>
      <c r="H17" s="6">
        <f>VLOOKUP(B17,'[1]Tồn Acrilic  T10'!C$6:F$346,4,0)</f>
        <v>15</v>
      </c>
    </row>
    <row r="18" spans="1:8" ht="15.6" x14ac:dyDescent="0.3">
      <c r="A18" s="2">
        <v>15</v>
      </c>
      <c r="B18" s="2" t="s">
        <v>41</v>
      </c>
      <c r="C18" s="2" t="s">
        <v>42</v>
      </c>
      <c r="D18" s="6"/>
      <c r="E18" s="6"/>
      <c r="F18" s="2" t="s">
        <v>15</v>
      </c>
      <c r="G18" s="2" t="s">
        <v>9</v>
      </c>
      <c r="H18" s="6">
        <v>0</v>
      </c>
    </row>
    <row r="19" spans="1:8" ht="15.6" x14ac:dyDescent="0.3">
      <c r="A19" s="2">
        <v>16</v>
      </c>
      <c r="B19" s="2" t="s">
        <v>43</v>
      </c>
      <c r="C19" s="2" t="s">
        <v>44</v>
      </c>
      <c r="D19" s="6"/>
      <c r="E19" s="6"/>
      <c r="F19" s="2" t="s">
        <v>18</v>
      </c>
      <c r="G19" s="2" t="s">
        <v>9</v>
      </c>
      <c r="H19" s="6">
        <v>0</v>
      </c>
    </row>
    <row r="20" spans="1:8" ht="15.6" x14ac:dyDescent="0.3">
      <c r="A20" s="2">
        <v>17</v>
      </c>
      <c r="B20" s="2" t="s">
        <v>45</v>
      </c>
      <c r="C20" s="2" t="s">
        <v>46</v>
      </c>
      <c r="D20" s="6"/>
      <c r="E20" s="6"/>
      <c r="F20" s="2" t="s">
        <v>21</v>
      </c>
      <c r="G20" s="2" t="s">
        <v>9</v>
      </c>
      <c r="H20" s="6">
        <f>VLOOKUP(B20,'[1]Tồn Acrilic  T10'!C$6:F$346,4,0)</f>
        <v>8</v>
      </c>
    </row>
    <row r="21" spans="1:8" ht="15.6" x14ac:dyDescent="0.3">
      <c r="A21" s="2">
        <v>18</v>
      </c>
      <c r="B21" s="2" t="s">
        <v>47</v>
      </c>
      <c r="C21" s="2" t="s">
        <v>48</v>
      </c>
      <c r="D21" s="6"/>
      <c r="E21" s="6"/>
      <c r="F21" s="2" t="s">
        <v>24</v>
      </c>
      <c r="G21" s="2" t="s">
        <v>9</v>
      </c>
      <c r="H21" s="6">
        <v>0</v>
      </c>
    </row>
    <row r="22" spans="1:8" ht="15.6" x14ac:dyDescent="0.3">
      <c r="A22" s="2">
        <v>19</v>
      </c>
      <c r="B22" s="2" t="s">
        <v>49</v>
      </c>
      <c r="C22" s="2" t="s">
        <v>50</v>
      </c>
      <c r="D22" s="6" t="str">
        <f>VLOOKUP(B22,'[1]Tồn Acrilic  T10 .nháp'!C$6:E$115,2,0)</f>
        <v>Acrylic siêu chống xước Áo, AM1800TopX Pearl, white metallic color 11035 GV04</v>
      </c>
      <c r="E22" s="6" t="str">
        <f>VLOOKUP(B22,'[1]Tồn Acrilic  T10 .nháp'!C$6:E$115,3,0)</f>
        <v>Austria</v>
      </c>
      <c r="F22" s="2" t="s">
        <v>8</v>
      </c>
      <c r="G22" s="2" t="s">
        <v>9</v>
      </c>
      <c r="H22" s="6">
        <f>VLOOKUP(B22,'[1]Tồn Acrilic  T10'!C$6:F$346,4,0)</f>
        <v>58</v>
      </c>
    </row>
    <row r="23" spans="1:8" ht="15.6" x14ac:dyDescent="0.3">
      <c r="A23" s="2">
        <v>20</v>
      </c>
      <c r="B23" s="2" t="s">
        <v>51</v>
      </c>
      <c r="C23" s="2" t="s">
        <v>52</v>
      </c>
      <c r="D23" s="6"/>
      <c r="E23" s="6"/>
      <c r="F23" s="2" t="s">
        <v>12</v>
      </c>
      <c r="G23" s="2" t="s">
        <v>9</v>
      </c>
      <c r="H23" s="6">
        <f>VLOOKUP(B23,'[1]Tồn Acrilic  T10'!C$6:F$346,4,0)</f>
        <v>17</v>
      </c>
    </row>
    <row r="24" spans="1:8" ht="15.6" x14ac:dyDescent="0.3">
      <c r="A24" s="2">
        <v>21</v>
      </c>
      <c r="B24" s="2" t="s">
        <v>53</v>
      </c>
      <c r="C24" s="2" t="s">
        <v>54</v>
      </c>
      <c r="D24" s="6"/>
      <c r="E24" s="6"/>
      <c r="F24" s="2" t="s">
        <v>15</v>
      </c>
      <c r="G24" s="2" t="s">
        <v>9</v>
      </c>
      <c r="H24" s="6">
        <f>3</f>
        <v>3</v>
      </c>
    </row>
    <row r="25" spans="1:8" ht="15.6" x14ac:dyDescent="0.3">
      <c r="A25" s="2">
        <v>22</v>
      </c>
      <c r="B25" s="2" t="s">
        <v>55</v>
      </c>
      <c r="C25" s="2" t="s">
        <v>56</v>
      </c>
      <c r="D25" s="6"/>
      <c r="E25" s="6"/>
      <c r="F25" s="2" t="s">
        <v>18</v>
      </c>
      <c r="G25" s="2" t="s">
        <v>9</v>
      </c>
      <c r="H25" s="6">
        <v>0</v>
      </c>
    </row>
    <row r="26" spans="1:8" ht="15.6" x14ac:dyDescent="0.3">
      <c r="A26" s="2">
        <v>23</v>
      </c>
      <c r="B26" s="2" t="s">
        <v>57</v>
      </c>
      <c r="C26" s="2" t="s">
        <v>58</v>
      </c>
      <c r="D26" s="6"/>
      <c r="E26" s="6"/>
      <c r="F26" s="2" t="s">
        <v>21</v>
      </c>
      <c r="G26" s="2" t="s">
        <v>9</v>
      </c>
      <c r="H26" s="6">
        <f>VLOOKUP(B26,'[1]Tồn Acrilic  T10'!C$6:F$346,4,0)</f>
        <v>8</v>
      </c>
    </row>
    <row r="27" spans="1:8" ht="15.6" x14ac:dyDescent="0.3">
      <c r="A27" s="2">
        <v>24</v>
      </c>
      <c r="B27" s="2" t="s">
        <v>59</v>
      </c>
      <c r="C27" s="2" t="s">
        <v>60</v>
      </c>
      <c r="D27" s="6"/>
      <c r="E27" s="6"/>
      <c r="F27" s="2" t="s">
        <v>24</v>
      </c>
      <c r="G27" s="2" t="s">
        <v>9</v>
      </c>
      <c r="H27" s="6">
        <v>0</v>
      </c>
    </row>
    <row r="28" spans="1:8" ht="15.6" x14ac:dyDescent="0.3">
      <c r="A28" s="2">
        <v>25</v>
      </c>
      <c r="B28" s="2" t="s">
        <v>61</v>
      </c>
      <c r="C28" s="2" t="s">
        <v>62</v>
      </c>
      <c r="D28" s="6" t="str">
        <f>VLOOKUP(B28,'[1]Tồn Acrilic  T10 .nháp'!C$6:E$115,2,0)</f>
        <v>Acrylic UltraGloss, Arctic white SO10-102 color GV05</v>
      </c>
      <c r="E28" s="6" t="str">
        <f>VLOOKUP(B28,'[1]Tồn Acrilic  T10 .nháp'!C$6:E$115,3,0)</f>
        <v>Korea</v>
      </c>
      <c r="F28" s="2" t="s">
        <v>8</v>
      </c>
      <c r="G28" s="2" t="s">
        <v>9</v>
      </c>
      <c r="H28" s="6">
        <f>VLOOKUP(B28,'[1]Tồn Acrilic  T10'!C$6:F$346,4,0)</f>
        <v>1200</v>
      </c>
    </row>
    <row r="29" spans="1:8" ht="15.6" x14ac:dyDescent="0.3">
      <c r="A29" s="2">
        <v>26</v>
      </c>
      <c r="B29" s="2" t="s">
        <v>63</v>
      </c>
      <c r="C29" s="2" t="s">
        <v>64</v>
      </c>
      <c r="D29" s="6"/>
      <c r="E29" s="6"/>
      <c r="F29" s="2" t="s">
        <v>12</v>
      </c>
      <c r="G29" s="2" t="s">
        <v>9</v>
      </c>
      <c r="H29" s="6">
        <f>VLOOKUP(B29,'[1]Tồn Acrilic  T10'!C$6:F$346,4,0)</f>
        <v>0</v>
      </c>
    </row>
    <row r="30" spans="1:8" ht="15.6" x14ac:dyDescent="0.3">
      <c r="A30" s="2">
        <v>27</v>
      </c>
      <c r="B30" s="2" t="s">
        <v>65</v>
      </c>
      <c r="C30" s="2" t="s">
        <v>66</v>
      </c>
      <c r="D30" s="6"/>
      <c r="E30" s="6"/>
      <c r="F30" s="2" t="s">
        <v>15</v>
      </c>
      <c r="G30" s="2" t="s">
        <v>9</v>
      </c>
      <c r="H30" s="6">
        <v>0</v>
      </c>
    </row>
    <row r="31" spans="1:8" ht="15.6" x14ac:dyDescent="0.3">
      <c r="A31" s="2">
        <v>28</v>
      </c>
      <c r="B31" s="2" t="s">
        <v>67</v>
      </c>
      <c r="C31" s="2" t="s">
        <v>68</v>
      </c>
      <c r="D31" s="6"/>
      <c r="E31" s="6"/>
      <c r="F31" s="2" t="s">
        <v>18</v>
      </c>
      <c r="G31" s="2" t="s">
        <v>9</v>
      </c>
      <c r="H31" s="6">
        <v>0</v>
      </c>
    </row>
    <row r="32" spans="1:8" ht="15.6" x14ac:dyDescent="0.3">
      <c r="A32" s="2">
        <v>7</v>
      </c>
      <c r="B32" s="2" t="s">
        <v>69</v>
      </c>
      <c r="C32" s="2" t="s">
        <v>70</v>
      </c>
      <c r="D32" s="6"/>
      <c r="E32" s="6"/>
      <c r="F32" s="2" t="s">
        <v>21</v>
      </c>
      <c r="G32" s="2" t="s">
        <v>9</v>
      </c>
      <c r="H32" s="6">
        <v>7</v>
      </c>
    </row>
    <row r="33" spans="1:8" ht="15.6" x14ac:dyDescent="0.3">
      <c r="A33" s="2">
        <v>30</v>
      </c>
      <c r="B33" s="2" t="s">
        <v>71</v>
      </c>
      <c r="C33" s="2" t="s">
        <v>72</v>
      </c>
      <c r="D33" s="6"/>
      <c r="E33" s="6"/>
      <c r="F33" s="2" t="s">
        <v>24</v>
      </c>
      <c r="G33" s="2" t="s">
        <v>9</v>
      </c>
      <c r="H33" s="6">
        <v>0</v>
      </c>
    </row>
    <row r="34" spans="1:8" ht="15.6" x14ac:dyDescent="0.3">
      <c r="A34" s="2">
        <v>31</v>
      </c>
      <c r="B34" s="2" t="s">
        <v>73</v>
      </c>
      <c r="C34" s="2" t="s">
        <v>74</v>
      </c>
      <c r="D34" s="6" t="str">
        <f>VLOOKUP(B34,'[1]Tồn Acrilic  T10 .nháp'!C$6:E$115,2,0)</f>
        <v>Acrylic UltraGloss, White metallic SO10-901 color GV06</v>
      </c>
      <c r="E34" s="6" t="str">
        <f>VLOOKUP(B34,'[1]Tồn Acrilic  T10 .nháp'!C$6:E$115,3,0)</f>
        <v>Korea</v>
      </c>
      <c r="F34" s="2" t="s">
        <v>8</v>
      </c>
      <c r="G34" s="2" t="s">
        <v>9</v>
      </c>
      <c r="H34" s="6">
        <f>VLOOKUP(B34,'[1]Tồn Acrilic  T10'!C$6:F$346,4,0)</f>
        <v>447</v>
      </c>
    </row>
    <row r="35" spans="1:8" ht="15.6" x14ac:dyDescent="0.3">
      <c r="A35" s="2">
        <v>32</v>
      </c>
      <c r="B35" s="2" t="s">
        <v>75</v>
      </c>
      <c r="C35" s="2" t="s">
        <v>76</v>
      </c>
      <c r="D35" s="6"/>
      <c r="E35" s="6"/>
      <c r="F35" s="2" t="s">
        <v>12</v>
      </c>
      <c r="G35" s="2" t="s">
        <v>9</v>
      </c>
      <c r="H35" s="6">
        <f>VLOOKUP(B35,'[1]Tồn Acrilic  T10'!C$6:F$346,4,0)</f>
        <v>11</v>
      </c>
    </row>
    <row r="36" spans="1:8" ht="15.6" x14ac:dyDescent="0.3">
      <c r="A36" s="2">
        <v>33</v>
      </c>
      <c r="B36" s="2" t="s">
        <v>77</v>
      </c>
      <c r="C36" s="2" t="s">
        <v>78</v>
      </c>
      <c r="D36" s="6"/>
      <c r="E36" s="6"/>
      <c r="F36" s="2" t="s">
        <v>15</v>
      </c>
      <c r="G36" s="2" t="s">
        <v>9</v>
      </c>
      <c r="H36" s="6">
        <v>0</v>
      </c>
    </row>
    <row r="37" spans="1:8" ht="15.6" x14ac:dyDescent="0.3">
      <c r="A37" s="2">
        <v>34</v>
      </c>
      <c r="B37" s="2" t="s">
        <v>79</v>
      </c>
      <c r="C37" s="2" t="s">
        <v>80</v>
      </c>
      <c r="D37" s="6"/>
      <c r="E37" s="6"/>
      <c r="F37" s="2" t="s">
        <v>18</v>
      </c>
      <c r="G37" s="2" t="s">
        <v>9</v>
      </c>
      <c r="H37" s="6">
        <v>0</v>
      </c>
    </row>
    <row r="38" spans="1:8" ht="15.6" x14ac:dyDescent="0.3">
      <c r="A38" s="2">
        <v>35</v>
      </c>
      <c r="B38" s="2" t="s">
        <v>81</v>
      </c>
      <c r="C38" s="2" t="s">
        <v>82</v>
      </c>
      <c r="D38" s="6"/>
      <c r="E38" s="6"/>
      <c r="F38" s="2" t="s">
        <v>21</v>
      </c>
      <c r="G38" s="2" t="s">
        <v>9</v>
      </c>
      <c r="H38" s="6">
        <v>11</v>
      </c>
    </row>
    <row r="39" spans="1:8" ht="15.6" x14ac:dyDescent="0.3">
      <c r="A39" s="2">
        <v>36</v>
      </c>
      <c r="B39" s="2" t="s">
        <v>83</v>
      </c>
      <c r="C39" s="2" t="s">
        <v>84</v>
      </c>
      <c r="D39" s="6"/>
      <c r="E39" s="6"/>
      <c r="F39" s="2" t="s">
        <v>24</v>
      </c>
      <c r="G39" s="2" t="s">
        <v>9</v>
      </c>
      <c r="H39" s="6">
        <v>0</v>
      </c>
    </row>
    <row r="40" spans="1:8" ht="15.6" x14ac:dyDescent="0.3">
      <c r="A40" s="2">
        <v>37</v>
      </c>
      <c r="B40" s="2" t="s">
        <v>85</v>
      </c>
      <c r="C40" s="2" t="s">
        <v>86</v>
      </c>
      <c r="D40" s="6" t="str">
        <f>VLOOKUP(B40,'[1]Tồn Acrilic  T10 .nháp'!C$6:E$115,2,0)</f>
        <v>Acrylic UltraGloss, Alabaster SO10-103 color  GV07</v>
      </c>
      <c r="E40" s="6" t="str">
        <f>VLOOKUP(B40,'[1]Tồn Acrilic  T10 .nháp'!C$6:E$115,3,0)</f>
        <v>Korea</v>
      </c>
      <c r="F40" s="2" t="s">
        <v>8</v>
      </c>
      <c r="G40" s="2" t="s">
        <v>9</v>
      </c>
      <c r="H40" s="6">
        <f>VLOOKUP(B40,'[1]Tồn Acrilic  T10'!C$6:F$346,4,0)</f>
        <v>318</v>
      </c>
    </row>
    <row r="41" spans="1:8" ht="15.6" x14ac:dyDescent="0.3">
      <c r="A41" s="2">
        <v>38</v>
      </c>
      <c r="B41" s="2" t="s">
        <v>87</v>
      </c>
      <c r="C41" s="2" t="s">
        <v>88</v>
      </c>
      <c r="D41" s="6"/>
      <c r="E41" s="6"/>
      <c r="F41" s="2" t="s">
        <v>12</v>
      </c>
      <c r="G41" s="2" t="s">
        <v>9</v>
      </c>
      <c r="H41" s="6">
        <f>VLOOKUP(B41,'[1]Tồn Acrilic  T10'!C$6:F$346,4,0)</f>
        <v>16</v>
      </c>
    </row>
    <row r="42" spans="1:8" ht="15.6" x14ac:dyDescent="0.3">
      <c r="A42" s="2">
        <v>39</v>
      </c>
      <c r="B42" s="2" t="s">
        <v>89</v>
      </c>
      <c r="C42" s="2" t="s">
        <v>90</v>
      </c>
      <c r="D42" s="6"/>
      <c r="E42" s="6"/>
      <c r="F42" s="2" t="s">
        <v>15</v>
      </c>
      <c r="G42" s="2" t="s">
        <v>9</v>
      </c>
      <c r="H42" s="6">
        <v>0</v>
      </c>
    </row>
    <row r="43" spans="1:8" ht="15.6" x14ac:dyDescent="0.3">
      <c r="A43" s="2">
        <v>40</v>
      </c>
      <c r="B43" s="2" t="s">
        <v>91</v>
      </c>
      <c r="C43" s="2" t="s">
        <v>92</v>
      </c>
      <c r="D43" s="6"/>
      <c r="E43" s="6"/>
      <c r="F43" s="2" t="s">
        <v>18</v>
      </c>
      <c r="G43" s="2" t="s">
        <v>9</v>
      </c>
      <c r="H43" s="6">
        <v>0</v>
      </c>
    </row>
    <row r="44" spans="1:8" ht="15.6" x14ac:dyDescent="0.3">
      <c r="A44" s="2">
        <v>41</v>
      </c>
      <c r="B44" s="2" t="s">
        <v>93</v>
      </c>
      <c r="C44" s="2" t="s">
        <v>94</v>
      </c>
      <c r="D44" s="6"/>
      <c r="E44" s="6"/>
      <c r="F44" s="2" t="s">
        <v>21</v>
      </c>
      <c r="G44" s="2" t="s">
        <v>9</v>
      </c>
      <c r="H44" s="6">
        <f>VLOOKUP(B44,'[1]Tồn Acrilic  T10'!C$6:F$346,4,0)</f>
        <v>11</v>
      </c>
    </row>
    <row r="45" spans="1:8" ht="15.6" x14ac:dyDescent="0.3">
      <c r="A45" s="2">
        <v>42</v>
      </c>
      <c r="B45" s="2" t="s">
        <v>95</v>
      </c>
      <c r="C45" s="2" t="s">
        <v>96</v>
      </c>
      <c r="D45" s="6"/>
      <c r="E45" s="6"/>
      <c r="F45" s="2" t="s">
        <v>24</v>
      </c>
      <c r="G45" s="2" t="s">
        <v>9</v>
      </c>
      <c r="H45" s="6">
        <v>0</v>
      </c>
    </row>
    <row r="46" spans="1:8" ht="15.6" x14ac:dyDescent="0.3">
      <c r="A46" s="2">
        <v>43</v>
      </c>
      <c r="B46" s="2" t="s">
        <v>97</v>
      </c>
      <c r="C46" s="2" t="s">
        <v>98</v>
      </c>
      <c r="D46" s="6" t="str">
        <f>VLOOKUP(B46,'[1]Tồn Acrilic  T10 .nháp'!C$6:E$115,2,0)</f>
        <v>Acrylic UltraGloss, Creme SO10-201 color  GV08</v>
      </c>
      <c r="E46" s="6" t="str">
        <f>VLOOKUP(B46,'[1]Tồn Acrilic  T10 .nháp'!C$6:E$115,3,0)</f>
        <v>Korea</v>
      </c>
      <c r="F46" s="2" t="s">
        <v>8</v>
      </c>
      <c r="G46" s="2" t="s">
        <v>9</v>
      </c>
      <c r="H46" s="6">
        <f>VLOOKUP(B46,'[1]Tồn Acrilic  T10'!C$6:F$346,4,0)</f>
        <v>466</v>
      </c>
    </row>
    <row r="47" spans="1:8" ht="15.6" x14ac:dyDescent="0.3">
      <c r="A47" s="2">
        <v>44</v>
      </c>
      <c r="B47" s="2" t="s">
        <v>99</v>
      </c>
      <c r="C47" s="2" t="s">
        <v>100</v>
      </c>
      <c r="D47" s="6"/>
      <c r="E47" s="6"/>
      <c r="F47" s="2" t="s">
        <v>12</v>
      </c>
      <c r="G47" s="2" t="s">
        <v>9</v>
      </c>
      <c r="H47" s="6">
        <f>VLOOKUP(B47,'[1]Tồn Acrilic  T10'!C$6:F$346,4,0)</f>
        <v>20</v>
      </c>
    </row>
    <row r="48" spans="1:8" ht="15.6" x14ac:dyDescent="0.3">
      <c r="A48" s="2">
        <v>45</v>
      </c>
      <c r="B48" s="2" t="s">
        <v>101</v>
      </c>
      <c r="C48" s="2" t="s">
        <v>102</v>
      </c>
      <c r="D48" s="6"/>
      <c r="E48" s="6"/>
      <c r="F48" s="2" t="s">
        <v>15</v>
      </c>
      <c r="G48" s="2" t="s">
        <v>9</v>
      </c>
      <c r="H48" s="6">
        <f>3</f>
        <v>3</v>
      </c>
    </row>
    <row r="49" spans="1:8" ht="15.6" x14ac:dyDescent="0.3">
      <c r="A49" s="2">
        <v>46</v>
      </c>
      <c r="B49" s="2" t="s">
        <v>103</v>
      </c>
      <c r="C49" s="2" t="s">
        <v>104</v>
      </c>
      <c r="D49" s="6"/>
      <c r="E49" s="6"/>
      <c r="F49" s="2" t="s">
        <v>18</v>
      </c>
      <c r="G49" s="2" t="s">
        <v>9</v>
      </c>
      <c r="H49" s="6">
        <v>0</v>
      </c>
    </row>
    <row r="50" spans="1:8" ht="15.6" x14ac:dyDescent="0.3">
      <c r="A50" s="2">
        <v>47</v>
      </c>
      <c r="B50" s="2" t="s">
        <v>105</v>
      </c>
      <c r="C50" s="2" t="s">
        <v>106</v>
      </c>
      <c r="D50" s="6"/>
      <c r="E50" s="6"/>
      <c r="F50" s="2" t="s">
        <v>21</v>
      </c>
      <c r="G50" s="2" t="s">
        <v>9</v>
      </c>
      <c r="H50" s="6">
        <f>VLOOKUP(B50,'[1]Tồn Acrilic  T10'!C$6:F$346,4,0)</f>
        <v>9</v>
      </c>
    </row>
    <row r="51" spans="1:8" ht="15.6" x14ac:dyDescent="0.3">
      <c r="A51" s="2">
        <v>48</v>
      </c>
      <c r="B51" s="2" t="s">
        <v>107</v>
      </c>
      <c r="C51" s="2" t="s">
        <v>108</v>
      </c>
      <c r="D51" s="6"/>
      <c r="E51" s="6"/>
      <c r="F51" s="2" t="s">
        <v>24</v>
      </c>
      <c r="G51" s="2" t="s">
        <v>9</v>
      </c>
      <c r="H51" s="6">
        <v>0</v>
      </c>
    </row>
    <row r="52" spans="1:8" ht="15.6" x14ac:dyDescent="0.3">
      <c r="A52" s="2">
        <v>49</v>
      </c>
      <c r="B52" s="2" t="s">
        <v>109</v>
      </c>
      <c r="C52" s="2" t="s">
        <v>110</v>
      </c>
      <c r="D52" s="6" t="str">
        <f>VLOOKUP(B52,'[1]Tồn Acrilic  T10 .nháp'!C$6:E$115,2,0)</f>
        <v>Acrylic siêu chống xước Áo, AM1800TopX, grey 85468 color  GV09**</v>
      </c>
      <c r="E52" s="6" t="str">
        <f>VLOOKUP(B52,'[1]Tồn Acrilic  T10 .nháp'!C$6:E$115,3,0)</f>
        <v>Austria</v>
      </c>
      <c r="F52" s="2" t="s">
        <v>8</v>
      </c>
      <c r="G52" s="2" t="s">
        <v>9</v>
      </c>
      <c r="H52" s="6">
        <f>VLOOKUP(B52,'[1]Tồn Acrilic  T10'!C$6:F$346,4,0)</f>
        <v>257</v>
      </c>
    </row>
    <row r="53" spans="1:8" ht="15.6" x14ac:dyDescent="0.3">
      <c r="A53" s="2">
        <v>50</v>
      </c>
      <c r="B53" s="2" t="s">
        <v>111</v>
      </c>
      <c r="C53" s="2" t="s">
        <v>112</v>
      </c>
      <c r="D53" s="6"/>
      <c r="E53" s="6"/>
      <c r="F53" s="2" t="s">
        <v>12</v>
      </c>
      <c r="G53" s="2" t="s">
        <v>9</v>
      </c>
      <c r="H53" s="6">
        <f>VLOOKUP(B53,'[1]Tồn Acrilic  T10'!C$6:F$346,4,0)</f>
        <v>13</v>
      </c>
    </row>
    <row r="54" spans="1:8" ht="15.6" x14ac:dyDescent="0.3">
      <c r="A54" s="2">
        <v>51</v>
      </c>
      <c r="B54" s="2" t="s">
        <v>113</v>
      </c>
      <c r="C54" s="2" t="s">
        <v>114</v>
      </c>
      <c r="D54" s="6"/>
      <c r="E54" s="6"/>
      <c r="F54" s="2" t="s">
        <v>15</v>
      </c>
      <c r="G54" s="2" t="s">
        <v>9</v>
      </c>
      <c r="H54" s="6">
        <v>0</v>
      </c>
    </row>
    <row r="55" spans="1:8" ht="15.6" x14ac:dyDescent="0.3">
      <c r="A55" s="2">
        <v>52</v>
      </c>
      <c r="B55" s="2" t="s">
        <v>115</v>
      </c>
      <c r="C55" s="2" t="s">
        <v>116</v>
      </c>
      <c r="D55" s="6"/>
      <c r="E55" s="6"/>
      <c r="F55" s="2" t="s">
        <v>18</v>
      </c>
      <c r="G55" s="2" t="s">
        <v>9</v>
      </c>
      <c r="H55" s="6">
        <v>0</v>
      </c>
    </row>
    <row r="56" spans="1:8" ht="15.6" x14ac:dyDescent="0.3">
      <c r="A56" s="2">
        <v>53</v>
      </c>
      <c r="B56" s="2" t="s">
        <v>117</v>
      </c>
      <c r="C56" s="2" t="s">
        <v>118</v>
      </c>
      <c r="D56" s="6"/>
      <c r="E56" s="6"/>
      <c r="F56" s="2" t="s">
        <v>21</v>
      </c>
      <c r="G56" s="2" t="s">
        <v>9</v>
      </c>
      <c r="H56" s="6">
        <f>VLOOKUP(B56,'[1]Tồn Acrilic  T10'!C$6:F$346,4,0)</f>
        <v>6</v>
      </c>
    </row>
    <row r="57" spans="1:8" ht="15.6" x14ac:dyDescent="0.3">
      <c r="A57" s="2">
        <v>54</v>
      </c>
      <c r="B57" s="2" t="s">
        <v>119</v>
      </c>
      <c r="C57" s="2" t="s">
        <v>120</v>
      </c>
      <c r="D57" s="6"/>
      <c r="E57" s="6"/>
      <c r="F57" s="2" t="s">
        <v>24</v>
      </c>
      <c r="G57" s="2" t="s">
        <v>9</v>
      </c>
      <c r="H57" s="6">
        <v>0</v>
      </c>
    </row>
    <row r="58" spans="1:8" ht="15.6" x14ac:dyDescent="0.3">
      <c r="A58" s="2">
        <v>55</v>
      </c>
      <c r="B58" s="2" t="s">
        <v>121</v>
      </c>
      <c r="C58" s="2" t="s">
        <v>122</v>
      </c>
      <c r="D58" s="6" t="str">
        <f>VLOOKUP(B58,'[1]Tồn Acrilic  T10 .nháp'!C$6:E$115,2,0)</f>
        <v>Acrylic siêu chống xước Áo, AM1800TopX, grey 85384 color GV10**</v>
      </c>
      <c r="E58" s="6" t="str">
        <f>VLOOKUP(B58,'[1]Tồn Acrilic  T10 .nháp'!C$6:E$115,3,0)</f>
        <v>Austria</v>
      </c>
      <c r="F58" s="2" t="s">
        <v>8</v>
      </c>
      <c r="G58" s="2" t="s">
        <v>9</v>
      </c>
      <c r="H58" s="6">
        <f>VLOOKUP(B58,'[1]Tồn Acrilic  T10'!C$6:F$346,4,0)</f>
        <v>420</v>
      </c>
    </row>
    <row r="59" spans="1:8" ht="15.6" x14ac:dyDescent="0.3">
      <c r="A59" s="2">
        <v>56</v>
      </c>
      <c r="B59" s="2" t="s">
        <v>123</v>
      </c>
      <c r="C59" s="2" t="s">
        <v>124</v>
      </c>
      <c r="D59" s="6"/>
      <c r="E59" s="6"/>
      <c r="F59" s="2" t="s">
        <v>12</v>
      </c>
      <c r="G59" s="2" t="s">
        <v>9</v>
      </c>
      <c r="H59" s="6">
        <f>VLOOKUP(B59,'[1]Tồn Acrilic  T10'!C$6:F$346,4,0)</f>
        <v>13</v>
      </c>
    </row>
    <row r="60" spans="1:8" ht="15.6" x14ac:dyDescent="0.3">
      <c r="A60" s="2">
        <v>57</v>
      </c>
      <c r="B60" s="2" t="s">
        <v>125</v>
      </c>
      <c r="C60" s="2" t="s">
        <v>126</v>
      </c>
      <c r="D60" s="6"/>
      <c r="E60" s="6"/>
      <c r="F60" s="2" t="s">
        <v>15</v>
      </c>
      <c r="G60" s="2" t="s">
        <v>9</v>
      </c>
      <c r="H60" s="6">
        <v>0</v>
      </c>
    </row>
    <row r="61" spans="1:8" ht="15.6" x14ac:dyDescent="0.3">
      <c r="A61" s="2">
        <v>58</v>
      </c>
      <c r="B61" s="2" t="s">
        <v>127</v>
      </c>
      <c r="C61" s="2" t="s">
        <v>128</v>
      </c>
      <c r="D61" s="6"/>
      <c r="E61" s="6"/>
      <c r="F61" s="2" t="s">
        <v>18</v>
      </c>
      <c r="G61" s="2" t="s">
        <v>9</v>
      </c>
      <c r="H61" s="6">
        <v>0</v>
      </c>
    </row>
    <row r="62" spans="1:8" ht="15.6" x14ac:dyDescent="0.3">
      <c r="A62" s="2">
        <v>59</v>
      </c>
      <c r="B62" s="2" t="s">
        <v>129</v>
      </c>
      <c r="C62" s="2" t="s">
        <v>130</v>
      </c>
      <c r="D62" s="6"/>
      <c r="E62" s="6"/>
      <c r="F62" s="2" t="s">
        <v>21</v>
      </c>
      <c r="G62" s="2" t="s">
        <v>9</v>
      </c>
      <c r="H62" s="6">
        <f>VLOOKUP(B62,'[1]Tồn Acrilic  T10'!C$6:F$346,4,0)</f>
        <v>0</v>
      </c>
    </row>
    <row r="63" spans="1:8" ht="15.6" x14ac:dyDescent="0.3">
      <c r="A63" s="2">
        <v>60</v>
      </c>
      <c r="B63" s="2" t="s">
        <v>131</v>
      </c>
      <c r="C63" s="2" t="s">
        <v>132</v>
      </c>
      <c r="D63" s="6"/>
      <c r="E63" s="6"/>
      <c r="F63" s="2" t="s">
        <v>24</v>
      </c>
      <c r="G63" s="2" t="s">
        <v>9</v>
      </c>
      <c r="H63" s="6">
        <v>0</v>
      </c>
    </row>
    <row r="64" spans="1:8" ht="15.6" x14ac:dyDescent="0.3">
      <c r="A64" s="2">
        <v>61</v>
      </c>
      <c r="B64" s="2" t="s">
        <v>133</v>
      </c>
      <c r="C64" s="2" t="s">
        <v>134</v>
      </c>
      <c r="D64" s="6" t="str">
        <f>VLOOKUP(B64,'[1]Tồn Acrilic  T10 .nháp'!C$6:E$115,2,0)</f>
        <v>Acrylic, AM1700XU, beige 7315 color GV12</v>
      </c>
      <c r="E64" s="6" t="str">
        <f>VLOOKUP(B64,'[1]Tồn Acrilic  T10 .nháp'!C$6:E$115,3,0)</f>
        <v>Austria</v>
      </c>
      <c r="F64" s="2" t="s">
        <v>8</v>
      </c>
      <c r="G64" s="2" t="s">
        <v>9</v>
      </c>
      <c r="H64" s="6">
        <f>VLOOKUP(B64,'[1]Tồn Acrilic  T10'!C$6:F$346,4,0)</f>
        <v>54</v>
      </c>
    </row>
    <row r="65" spans="1:8" ht="15.6" x14ac:dyDescent="0.3">
      <c r="A65" s="2">
        <v>62</v>
      </c>
      <c r="B65" s="2" t="s">
        <v>135</v>
      </c>
      <c r="C65" s="2" t="s">
        <v>136</v>
      </c>
      <c r="D65" s="6"/>
      <c r="E65" s="6"/>
      <c r="F65" s="2" t="s">
        <v>12</v>
      </c>
      <c r="G65" s="2" t="s">
        <v>9</v>
      </c>
      <c r="H65" s="6">
        <f>VLOOKUP(B65,'[1]Tồn Acrilic  T10'!C$6:F$346,4,0)</f>
        <v>0</v>
      </c>
    </row>
    <row r="66" spans="1:8" ht="15.6" x14ac:dyDescent="0.3">
      <c r="A66" s="2">
        <v>63</v>
      </c>
      <c r="B66" s="2" t="s">
        <v>137</v>
      </c>
      <c r="C66" s="2" t="s">
        <v>138</v>
      </c>
      <c r="D66" s="6"/>
      <c r="E66" s="6"/>
      <c r="F66" s="2" t="s">
        <v>15</v>
      </c>
      <c r="G66" s="2" t="s">
        <v>9</v>
      </c>
      <c r="H66" s="6">
        <v>0</v>
      </c>
    </row>
    <row r="67" spans="1:8" ht="15.6" x14ac:dyDescent="0.3">
      <c r="A67" s="2">
        <v>64</v>
      </c>
      <c r="B67" s="2" t="s">
        <v>139</v>
      </c>
      <c r="C67" s="2" t="s">
        <v>140</v>
      </c>
      <c r="D67" s="6"/>
      <c r="E67" s="6"/>
      <c r="F67" s="2" t="s">
        <v>18</v>
      </c>
      <c r="G67" s="2" t="s">
        <v>9</v>
      </c>
      <c r="H67" s="6">
        <v>0</v>
      </c>
    </row>
    <row r="68" spans="1:8" ht="15.6" x14ac:dyDescent="0.3">
      <c r="A68" s="2">
        <v>65</v>
      </c>
      <c r="B68" s="2" t="s">
        <v>141</v>
      </c>
      <c r="C68" s="2" t="s">
        <v>142</v>
      </c>
      <c r="D68" s="6"/>
      <c r="E68" s="6"/>
      <c r="F68" s="2" t="s">
        <v>21</v>
      </c>
      <c r="G68" s="2" t="s">
        <v>9</v>
      </c>
      <c r="H68" s="6">
        <f>VLOOKUP(B68,'[1]Tồn Acrilic  T10'!C$6:F$346,4,0)</f>
        <v>5</v>
      </c>
    </row>
    <row r="69" spans="1:8" ht="15.6" x14ac:dyDescent="0.3">
      <c r="A69" s="2">
        <v>66</v>
      </c>
      <c r="B69" s="2" t="s">
        <v>143</v>
      </c>
      <c r="C69" s="2" t="s">
        <v>144</v>
      </c>
      <c r="D69" s="6"/>
      <c r="E69" s="6"/>
      <c r="F69" s="2" t="s">
        <v>24</v>
      </c>
      <c r="G69" s="2" t="s">
        <v>9</v>
      </c>
      <c r="H69" s="6">
        <v>0</v>
      </c>
    </row>
    <row r="70" spans="1:8" ht="15.6" x14ac:dyDescent="0.3">
      <c r="A70" s="2">
        <v>67</v>
      </c>
      <c r="B70" s="2" t="s">
        <v>145</v>
      </c>
      <c r="C70" s="2" t="s">
        <v>146</v>
      </c>
      <c r="D70" s="6" t="str">
        <f>VLOOKUP(B70,'[1]Tồn Acrilic  T10 .nháp'!C$6:E$115,2,0)</f>
        <v>Acrylic, AM1700XU, beige 7368 color GV15</v>
      </c>
      <c r="E70" s="6" t="str">
        <f>VLOOKUP(B70,'[1]Tồn Acrilic  T10 .nháp'!C$6:E$115,3,0)</f>
        <v>Austria</v>
      </c>
      <c r="F70" s="2" t="s">
        <v>8</v>
      </c>
      <c r="G70" s="2" t="s">
        <v>9</v>
      </c>
      <c r="H70" s="6">
        <f>VLOOKUP(B70,'[1]Tồn Acrilic  T10'!C$6:F$346,4,0)</f>
        <v>88</v>
      </c>
    </row>
    <row r="71" spans="1:8" ht="15.6" x14ac:dyDescent="0.3">
      <c r="A71" s="2">
        <v>68</v>
      </c>
      <c r="B71" s="2" t="s">
        <v>147</v>
      </c>
      <c r="C71" s="2" t="s">
        <v>148</v>
      </c>
      <c r="D71" s="6"/>
      <c r="E71" s="6"/>
      <c r="F71" s="2" t="s">
        <v>12</v>
      </c>
      <c r="G71" s="2" t="s">
        <v>9</v>
      </c>
      <c r="H71" s="6">
        <f>VLOOKUP(B71,'[1]Tồn Acrilic  T10'!C$6:F$346,4,0)</f>
        <v>0</v>
      </c>
    </row>
    <row r="72" spans="1:8" ht="15.6" x14ac:dyDescent="0.3">
      <c r="A72" s="2">
        <v>69</v>
      </c>
      <c r="B72" s="2" t="s">
        <v>149</v>
      </c>
      <c r="C72" s="2" t="s">
        <v>150</v>
      </c>
      <c r="D72" s="6"/>
      <c r="E72" s="6"/>
      <c r="F72" s="2" t="s">
        <v>15</v>
      </c>
      <c r="G72" s="2" t="s">
        <v>9</v>
      </c>
      <c r="H72" s="6">
        <v>0</v>
      </c>
    </row>
    <row r="73" spans="1:8" ht="15.6" x14ac:dyDescent="0.3">
      <c r="A73" s="2">
        <v>70</v>
      </c>
      <c r="B73" s="2" t="s">
        <v>151</v>
      </c>
      <c r="C73" s="2" t="s">
        <v>152</v>
      </c>
      <c r="D73" s="6"/>
      <c r="E73" s="6"/>
      <c r="F73" s="2" t="s">
        <v>18</v>
      </c>
      <c r="G73" s="2" t="s">
        <v>9</v>
      </c>
      <c r="H73" s="6">
        <v>0</v>
      </c>
    </row>
    <row r="74" spans="1:8" ht="15.6" x14ac:dyDescent="0.3">
      <c r="A74" s="2">
        <v>71</v>
      </c>
      <c r="B74" s="2" t="s">
        <v>153</v>
      </c>
      <c r="C74" s="2" t="s">
        <v>154</v>
      </c>
      <c r="D74" s="6"/>
      <c r="E74" s="6"/>
      <c r="F74" s="2" t="s">
        <v>21</v>
      </c>
      <c r="G74" s="2" t="s">
        <v>9</v>
      </c>
      <c r="H74" s="6">
        <f>VLOOKUP(B74,'[1]Tồn Acrilic  T10'!C$6:F$346,4,0)</f>
        <v>5</v>
      </c>
    </row>
    <row r="75" spans="1:8" ht="15.6" x14ac:dyDescent="0.3">
      <c r="A75" s="2">
        <v>72</v>
      </c>
      <c r="B75" s="2" t="s">
        <v>155</v>
      </c>
      <c r="C75" s="2" t="s">
        <v>156</v>
      </c>
      <c r="D75" s="6"/>
      <c r="E75" s="6"/>
      <c r="F75" s="2" t="s">
        <v>24</v>
      </c>
      <c r="G75" s="2" t="s">
        <v>9</v>
      </c>
      <c r="H75" s="6">
        <v>0</v>
      </c>
    </row>
    <row r="76" spans="1:8" ht="15.6" x14ac:dyDescent="0.3">
      <c r="A76" s="2">
        <v>73</v>
      </c>
      <c r="B76" s="2" t="s">
        <v>157</v>
      </c>
      <c r="C76" s="2" t="s">
        <v>158</v>
      </c>
      <c r="D76" s="6" t="str">
        <f>VLOOKUP(B76,'[1]Tồn Acrilic  T10 .nháp'!C$6:E$115,2,0)</f>
        <v>Acrylic, AM1500X, blue metallic 4472 color GV41</v>
      </c>
      <c r="E76" s="6" t="str">
        <f>VLOOKUP(B76,'[1]Tồn Acrilic  T10 .nháp'!C$6:E$115,3,0)</f>
        <v>Austria</v>
      </c>
      <c r="F76" s="2" t="s">
        <v>8</v>
      </c>
      <c r="G76" s="2" t="s">
        <v>9</v>
      </c>
      <c r="H76" s="6">
        <f>VLOOKUP(B76,'[1]Tồn Acrilic  T10'!C$6:F$346,4,0)</f>
        <v>0</v>
      </c>
    </row>
    <row r="77" spans="1:8" ht="15.6" x14ac:dyDescent="0.3">
      <c r="A77" s="2">
        <v>74</v>
      </c>
      <c r="B77" s="2" t="s">
        <v>159</v>
      </c>
      <c r="C77" s="2" t="s">
        <v>160</v>
      </c>
      <c r="D77" s="6"/>
      <c r="E77" s="6"/>
      <c r="F77" s="2" t="s">
        <v>12</v>
      </c>
      <c r="G77" s="2" t="s">
        <v>9</v>
      </c>
      <c r="H77" s="6">
        <f>VLOOKUP(B77,'[1]Tồn Acrilic  T10'!C$6:F$346,4,0)</f>
        <v>0</v>
      </c>
    </row>
    <row r="78" spans="1:8" ht="15.6" x14ac:dyDescent="0.3">
      <c r="A78" s="2">
        <v>75</v>
      </c>
      <c r="B78" s="2" t="s">
        <v>161</v>
      </c>
      <c r="C78" s="2" t="s">
        <v>162</v>
      </c>
      <c r="D78" s="6"/>
      <c r="E78" s="6"/>
      <c r="F78" s="2" t="s">
        <v>15</v>
      </c>
      <c r="G78" s="2" t="s">
        <v>9</v>
      </c>
      <c r="H78" s="6">
        <v>0</v>
      </c>
    </row>
    <row r="79" spans="1:8" ht="15.6" x14ac:dyDescent="0.3">
      <c r="A79" s="2">
        <v>76</v>
      </c>
      <c r="B79" s="2" t="s">
        <v>163</v>
      </c>
      <c r="C79" s="2" t="s">
        <v>164</v>
      </c>
      <c r="D79" s="6"/>
      <c r="E79" s="6"/>
      <c r="F79" s="2" t="s">
        <v>18</v>
      </c>
      <c r="G79" s="2" t="s">
        <v>9</v>
      </c>
      <c r="H79" s="6">
        <v>0</v>
      </c>
    </row>
    <row r="80" spans="1:8" ht="15.6" x14ac:dyDescent="0.3">
      <c r="A80" s="2">
        <v>77</v>
      </c>
      <c r="B80" s="2" t="s">
        <v>165</v>
      </c>
      <c r="C80" s="2" t="s">
        <v>166</v>
      </c>
      <c r="D80" s="6"/>
      <c r="E80" s="6"/>
      <c r="F80" s="2" t="s">
        <v>21</v>
      </c>
      <c r="G80" s="2" t="s">
        <v>9</v>
      </c>
      <c r="H80" s="6">
        <f>VLOOKUP(B80,'[1]Tồn Acrilic  T10'!C$6:F$346,4,0)</f>
        <v>1</v>
      </c>
    </row>
    <row r="81" spans="1:8" ht="15.6" x14ac:dyDescent="0.3">
      <c r="A81" s="2">
        <v>78</v>
      </c>
      <c r="B81" s="2" t="s">
        <v>167</v>
      </c>
      <c r="C81" s="2" t="s">
        <v>168</v>
      </c>
      <c r="D81" s="6"/>
      <c r="E81" s="6"/>
      <c r="F81" s="2" t="s">
        <v>24</v>
      </c>
      <c r="G81" s="2" t="s">
        <v>9</v>
      </c>
      <c r="H81" s="6">
        <v>0</v>
      </c>
    </row>
    <row r="82" spans="1:8" ht="15.6" x14ac:dyDescent="0.3">
      <c r="A82" s="2">
        <v>79</v>
      </c>
      <c r="B82" s="2" t="s">
        <v>169</v>
      </c>
      <c r="C82" s="2" t="s">
        <v>170</v>
      </c>
      <c r="D82" s="6" t="str">
        <f>VLOOKUP(B82,'[1]Tồn Acrilic  T10 .nháp'!C$6:E$115,2,0)</f>
        <v>High Gloss Acrylic sheet, CREAM WHITE, 16W</v>
      </c>
      <c r="E82" s="6" t="str">
        <f>VLOOKUP(B82,'[1]Tồn Acrilic  T10 .nháp'!C$6:E$115,3,0)</f>
        <v>Taiwan</v>
      </c>
      <c r="F82" s="2" t="s">
        <v>8</v>
      </c>
      <c r="G82" s="2" t="s">
        <v>9</v>
      </c>
      <c r="H82" s="6">
        <f>VLOOKUP(B82,'[1]Tồn Acrilic  T10'!C$6:F$346,4,0)</f>
        <v>70</v>
      </c>
    </row>
    <row r="83" spans="1:8" ht="15.6" x14ac:dyDescent="0.3">
      <c r="A83" s="2">
        <v>80</v>
      </c>
      <c r="B83" s="2" t="s">
        <v>171</v>
      </c>
      <c r="C83" s="2" t="s">
        <v>172</v>
      </c>
      <c r="D83" s="6"/>
      <c r="E83" s="6"/>
      <c r="F83" s="2" t="s">
        <v>12</v>
      </c>
      <c r="G83" s="2" t="s">
        <v>9</v>
      </c>
      <c r="H83" s="6">
        <f>VLOOKUP(B83,'[1]Tồn Acrilic  T10'!C$6:F$346,4,0)</f>
        <v>0</v>
      </c>
    </row>
    <row r="84" spans="1:8" ht="15.6" x14ac:dyDescent="0.3">
      <c r="A84" s="2">
        <v>81</v>
      </c>
      <c r="B84" s="2" t="s">
        <v>173</v>
      </c>
      <c r="C84" s="2" t="s">
        <v>174</v>
      </c>
      <c r="D84" s="6"/>
      <c r="E84" s="6"/>
      <c r="F84" s="2" t="s">
        <v>15</v>
      </c>
      <c r="G84" s="2" t="s">
        <v>9</v>
      </c>
      <c r="H84" s="6">
        <v>0</v>
      </c>
    </row>
    <row r="85" spans="1:8" ht="15.6" x14ac:dyDescent="0.3">
      <c r="A85" s="2">
        <v>82</v>
      </c>
      <c r="B85" s="2" t="s">
        <v>175</v>
      </c>
      <c r="C85" s="2" t="s">
        <v>176</v>
      </c>
      <c r="D85" s="6"/>
      <c r="E85" s="6"/>
      <c r="F85" s="2" t="s">
        <v>18</v>
      </c>
      <c r="G85" s="2" t="s">
        <v>9</v>
      </c>
      <c r="H85" s="6">
        <v>0</v>
      </c>
    </row>
    <row r="86" spans="1:8" ht="15.6" x14ac:dyDescent="0.3">
      <c r="A86" s="2">
        <v>83</v>
      </c>
      <c r="B86" s="2" t="s">
        <v>177</v>
      </c>
      <c r="C86" s="2" t="s">
        <v>178</v>
      </c>
      <c r="D86" s="6"/>
      <c r="E86" s="6"/>
      <c r="F86" s="2" t="s">
        <v>21</v>
      </c>
      <c r="G86" s="2" t="s">
        <v>9</v>
      </c>
      <c r="H86" s="6">
        <f>VLOOKUP(B86,'[1]Tồn Acrilic  T10'!C$6:F$346,4,0)</f>
        <v>4</v>
      </c>
    </row>
    <row r="87" spans="1:8" ht="15.6" x14ac:dyDescent="0.3">
      <c r="A87" s="2">
        <v>84</v>
      </c>
      <c r="B87" s="2" t="s">
        <v>179</v>
      </c>
      <c r="C87" s="2" t="s">
        <v>180</v>
      </c>
      <c r="D87" s="6"/>
      <c r="E87" s="6"/>
      <c r="F87" s="2" t="s">
        <v>24</v>
      </c>
      <c r="G87" s="2" t="s">
        <v>9</v>
      </c>
      <c r="H87" s="6">
        <v>0</v>
      </c>
    </row>
    <row r="88" spans="1:8" ht="15.6" x14ac:dyDescent="0.3">
      <c r="A88" s="2">
        <v>85</v>
      </c>
      <c r="B88" s="2" t="s">
        <v>181</v>
      </c>
      <c r="C88" s="2" t="s">
        <v>182</v>
      </c>
      <c r="D88" s="6" t="str">
        <f>VLOOKUP(B88,'[1]Tồn Acrilic  T10 .nháp'!C$6:E$115,2,0)</f>
        <v>High Gloss Acrylic sheet, WHITE PEARL, 16WS</v>
      </c>
      <c r="E88" s="6" t="str">
        <f>VLOOKUP(B88,'[1]Tồn Acrilic  T10 .nháp'!C$6:E$115,3,0)</f>
        <v>Taiwan</v>
      </c>
      <c r="F88" s="2" t="s">
        <v>8</v>
      </c>
      <c r="G88" s="2" t="s">
        <v>9</v>
      </c>
      <c r="H88" s="6">
        <f>VLOOKUP(B88,'[1]Tồn Acrilic  T10'!C$6:F$346,4,0)</f>
        <v>167</v>
      </c>
    </row>
    <row r="89" spans="1:8" ht="15.6" x14ac:dyDescent="0.3">
      <c r="A89" s="2">
        <v>86</v>
      </c>
      <c r="B89" s="2" t="s">
        <v>183</v>
      </c>
      <c r="C89" s="2" t="s">
        <v>184</v>
      </c>
      <c r="D89" s="6"/>
      <c r="E89" s="6"/>
      <c r="F89" s="2" t="s">
        <v>12</v>
      </c>
      <c r="G89" s="2" t="s">
        <v>9</v>
      </c>
      <c r="H89" s="6">
        <f>VLOOKUP(B89,'[1]Tồn Acrilic  T10'!C$6:F$346,4,0)</f>
        <v>0</v>
      </c>
    </row>
    <row r="90" spans="1:8" ht="15.6" x14ac:dyDescent="0.3">
      <c r="A90" s="2">
        <v>87</v>
      </c>
      <c r="B90" s="2" t="s">
        <v>185</v>
      </c>
      <c r="C90" s="2" t="s">
        <v>186</v>
      </c>
      <c r="D90" s="6"/>
      <c r="E90" s="6"/>
      <c r="F90" s="2" t="s">
        <v>15</v>
      </c>
      <c r="G90" s="2" t="s">
        <v>9</v>
      </c>
      <c r="H90" s="6">
        <v>0</v>
      </c>
    </row>
    <row r="91" spans="1:8" ht="15.6" x14ac:dyDescent="0.3">
      <c r="A91" s="2">
        <v>88</v>
      </c>
      <c r="B91" s="2" t="s">
        <v>187</v>
      </c>
      <c r="C91" s="2" t="s">
        <v>188</v>
      </c>
      <c r="D91" s="6"/>
      <c r="E91" s="6"/>
      <c r="F91" s="2" t="s">
        <v>18</v>
      </c>
      <c r="G91" s="2" t="s">
        <v>9</v>
      </c>
      <c r="H91" s="6">
        <v>0</v>
      </c>
    </row>
    <row r="92" spans="1:8" ht="15.6" x14ac:dyDescent="0.3">
      <c r="A92" s="2">
        <v>89</v>
      </c>
      <c r="B92" s="2" t="s">
        <v>189</v>
      </c>
      <c r="C92" s="2" t="s">
        <v>190</v>
      </c>
      <c r="D92" s="6"/>
      <c r="E92" s="6"/>
      <c r="F92" s="2" t="s">
        <v>21</v>
      </c>
      <c r="G92" s="2" t="s">
        <v>9</v>
      </c>
      <c r="H92" s="6">
        <f>VLOOKUP(B92,'[1]Tồn Acrilic  T10'!C$6:F$346,4,0)</f>
        <v>8</v>
      </c>
    </row>
    <row r="93" spans="1:8" ht="15.6" x14ac:dyDescent="0.3">
      <c r="A93" s="2">
        <v>90</v>
      </c>
      <c r="B93" s="2" t="s">
        <v>191</v>
      </c>
      <c r="C93" s="2" t="s">
        <v>192</v>
      </c>
      <c r="D93" s="6"/>
      <c r="E93" s="6"/>
      <c r="F93" s="2" t="s">
        <v>24</v>
      </c>
      <c r="G93" s="2" t="s">
        <v>9</v>
      </c>
      <c r="H93" s="6">
        <v>0</v>
      </c>
    </row>
    <row r="94" spans="1:8" ht="15.6" x14ac:dyDescent="0.3">
      <c r="A94" s="2">
        <v>91</v>
      </c>
      <c r="B94" s="2" t="s">
        <v>193</v>
      </c>
      <c r="C94" s="2" t="s">
        <v>194</v>
      </c>
      <c r="D94" s="6" t="str">
        <f>VLOOKUP(B94,'[1]Tồn Acrilic  T10 .nháp'!C$6:E$115,2,0)</f>
        <v>High Gloss Acrylic sheet, Beige metallic, EB-PG006</v>
      </c>
      <c r="E94" s="6" t="str">
        <f>VLOOKUP(B94,'[1]Tồn Acrilic  T10 .nháp'!C$6:E$115,3,0)</f>
        <v>China</v>
      </c>
      <c r="F94" s="2" t="s">
        <v>8</v>
      </c>
      <c r="G94" s="2" t="s">
        <v>9</v>
      </c>
      <c r="H94" s="6">
        <f>VLOOKUP(B94,'[1]Tồn Acrilic  T10'!C$6:F$346,4,0)</f>
        <v>64</v>
      </c>
    </row>
    <row r="95" spans="1:8" ht="15.6" x14ac:dyDescent="0.3">
      <c r="A95" s="2">
        <v>92</v>
      </c>
      <c r="B95" s="2" t="s">
        <v>195</v>
      </c>
      <c r="C95" s="2" t="s">
        <v>196</v>
      </c>
      <c r="D95" s="6"/>
      <c r="E95" s="6"/>
      <c r="F95" s="2" t="s">
        <v>12</v>
      </c>
      <c r="G95" s="2" t="s">
        <v>9</v>
      </c>
      <c r="H95" s="6">
        <f>VLOOKUP(B95,'[1]Tồn Acrilic  T10'!C$6:F$346,4,0)</f>
        <v>0</v>
      </c>
    </row>
    <row r="96" spans="1:8" ht="15.6" x14ac:dyDescent="0.3">
      <c r="A96" s="2">
        <v>93</v>
      </c>
      <c r="B96" s="2" t="s">
        <v>197</v>
      </c>
      <c r="C96" s="2" t="s">
        <v>198</v>
      </c>
      <c r="D96" s="6"/>
      <c r="E96" s="6"/>
      <c r="F96" s="2" t="s">
        <v>15</v>
      </c>
      <c r="G96" s="2" t="s">
        <v>9</v>
      </c>
      <c r="H96" s="6">
        <v>0</v>
      </c>
    </row>
    <row r="97" spans="1:8" ht="15.6" x14ac:dyDescent="0.3">
      <c r="A97" s="2">
        <v>94</v>
      </c>
      <c r="B97" s="2" t="s">
        <v>199</v>
      </c>
      <c r="C97" s="2" t="s">
        <v>200</v>
      </c>
      <c r="D97" s="6"/>
      <c r="E97" s="6"/>
      <c r="F97" s="2" t="s">
        <v>18</v>
      </c>
      <c r="G97" s="2" t="s">
        <v>9</v>
      </c>
      <c r="H97" s="6">
        <v>0</v>
      </c>
    </row>
    <row r="98" spans="1:8" ht="15.6" x14ac:dyDescent="0.3">
      <c r="A98" s="2">
        <v>95</v>
      </c>
      <c r="B98" s="2" t="s">
        <v>201</v>
      </c>
      <c r="C98" s="2" t="s">
        <v>202</v>
      </c>
      <c r="D98" s="6"/>
      <c r="E98" s="6"/>
      <c r="F98" s="2" t="s">
        <v>21</v>
      </c>
      <c r="G98" s="2" t="s">
        <v>9</v>
      </c>
      <c r="H98" s="6">
        <f>VLOOKUP(B98,'[1]Tồn Acrilic  T10'!C$6:F$346,4,0)</f>
        <v>9</v>
      </c>
    </row>
    <row r="99" spans="1:8" ht="15.6" x14ac:dyDescent="0.3">
      <c r="A99" s="2">
        <v>96</v>
      </c>
      <c r="B99" s="2" t="s">
        <v>203</v>
      </c>
      <c r="C99" s="2" t="s">
        <v>204</v>
      </c>
      <c r="D99" s="6"/>
      <c r="E99" s="6"/>
      <c r="F99" s="2" t="s">
        <v>24</v>
      </c>
      <c r="G99" s="2" t="s">
        <v>9</v>
      </c>
      <c r="H99" s="6">
        <v>0</v>
      </c>
    </row>
    <row r="100" spans="1:8" ht="15.6" x14ac:dyDescent="0.3">
      <c r="A100" s="2">
        <v>97</v>
      </c>
      <c r="B100" s="2" t="s">
        <v>205</v>
      </c>
      <c r="C100" s="2" t="s">
        <v>206</v>
      </c>
      <c r="D100" s="6" t="str">
        <f>VLOOKUP(B100,'[1]Tồn Acrilic  T10 .nháp'!C$6:E$115,2,0)</f>
        <v>High Gloss Acrylic sheet, Light silver metallic, EB-PG007</v>
      </c>
      <c r="E100" s="6" t="str">
        <f>VLOOKUP(B100,'[1]Tồn Acrilic  T10 .nháp'!C$6:E$115,3,0)</f>
        <v>China</v>
      </c>
      <c r="F100" s="2" t="s">
        <v>8</v>
      </c>
      <c r="G100" s="2" t="s">
        <v>9</v>
      </c>
      <c r="H100" s="6">
        <f>VLOOKUP(B100,'[1]Tồn Acrilic  T10'!C$6:F$346,4,0)</f>
        <v>141</v>
      </c>
    </row>
    <row r="101" spans="1:8" ht="15.6" x14ac:dyDescent="0.3">
      <c r="A101" s="2">
        <v>98</v>
      </c>
      <c r="B101" s="2" t="s">
        <v>207</v>
      </c>
      <c r="C101" s="2" t="s">
        <v>208</v>
      </c>
      <c r="D101" s="6"/>
      <c r="E101" s="6"/>
      <c r="F101" s="2" t="s">
        <v>12</v>
      </c>
      <c r="G101" s="2" t="s">
        <v>9</v>
      </c>
      <c r="H101" s="6">
        <f>VLOOKUP(B101,'[1]Tồn Acrilic  T10'!C$6:F$346,4,0)</f>
        <v>0</v>
      </c>
    </row>
    <row r="102" spans="1:8" ht="15.6" x14ac:dyDescent="0.3">
      <c r="A102" s="2">
        <v>99</v>
      </c>
      <c r="B102" s="2" t="s">
        <v>209</v>
      </c>
      <c r="C102" s="2" t="s">
        <v>210</v>
      </c>
      <c r="D102" s="6"/>
      <c r="E102" s="6"/>
      <c r="F102" s="2" t="s">
        <v>15</v>
      </c>
      <c r="G102" s="2" t="s">
        <v>9</v>
      </c>
      <c r="H102" s="6">
        <v>0</v>
      </c>
    </row>
    <row r="103" spans="1:8" ht="15.6" x14ac:dyDescent="0.3">
      <c r="A103" s="2">
        <v>100</v>
      </c>
      <c r="B103" s="2" t="s">
        <v>211</v>
      </c>
      <c r="C103" s="2" t="s">
        <v>212</v>
      </c>
      <c r="D103" s="6"/>
      <c r="E103" s="6"/>
      <c r="F103" s="2" t="s">
        <v>18</v>
      </c>
      <c r="G103" s="2" t="s">
        <v>9</v>
      </c>
      <c r="H103" s="6">
        <v>0</v>
      </c>
    </row>
    <row r="104" spans="1:8" ht="15.6" x14ac:dyDescent="0.3">
      <c r="A104" s="2">
        <v>101</v>
      </c>
      <c r="B104" s="2" t="s">
        <v>213</v>
      </c>
      <c r="C104" s="2" t="s">
        <v>214</v>
      </c>
      <c r="D104" s="6"/>
      <c r="E104" s="6"/>
      <c r="F104" s="2" t="s">
        <v>21</v>
      </c>
      <c r="G104" s="2" t="s">
        <v>9</v>
      </c>
      <c r="H104" s="6">
        <f>VLOOKUP(B104,'[1]Tồn Acrilic  T10'!C$6:F$346,4,0)</f>
        <v>10</v>
      </c>
    </row>
    <row r="105" spans="1:8" ht="15.6" x14ac:dyDescent="0.3">
      <c r="A105" s="2">
        <v>102</v>
      </c>
      <c r="B105" s="2" t="s">
        <v>215</v>
      </c>
      <c r="C105" s="2" t="s">
        <v>216</v>
      </c>
      <c r="D105" s="6"/>
      <c r="E105" s="6"/>
      <c r="F105" s="2" t="s">
        <v>24</v>
      </c>
      <c r="G105" s="2" t="s">
        <v>9</v>
      </c>
      <c r="H105" s="6">
        <v>0</v>
      </c>
    </row>
    <row r="106" spans="1:8" ht="15.6" x14ac:dyDescent="0.3">
      <c r="A106" s="2">
        <v>103</v>
      </c>
      <c r="B106" s="2" t="s">
        <v>217</v>
      </c>
      <c r="C106" s="2" t="s">
        <v>218</v>
      </c>
      <c r="D106" s="6" t="str">
        <f>VLOOKUP(B106,'[1]Tồn Acrilic  T10 .nháp'!C$6:E$115,2,0)</f>
        <v>High Gloss Acrylic sheet, Dark silver metallic, EB-PG009</v>
      </c>
      <c r="E106" s="6" t="str">
        <f>VLOOKUP(B106,'[1]Tồn Acrilic  T10 .nháp'!C$6:E$115,3,0)</f>
        <v>China</v>
      </c>
      <c r="F106" s="2" t="s">
        <v>8</v>
      </c>
      <c r="G106" s="2" t="s">
        <v>9</v>
      </c>
      <c r="H106" s="6">
        <f>VLOOKUP(B106,'[1]Tồn Acrilic  T10'!C$6:F$346,4,0)</f>
        <v>0</v>
      </c>
    </row>
    <row r="107" spans="1:8" ht="15.6" x14ac:dyDescent="0.3">
      <c r="A107" s="2">
        <v>104</v>
      </c>
      <c r="B107" s="2" t="s">
        <v>219</v>
      </c>
      <c r="C107" s="2" t="s">
        <v>220</v>
      </c>
      <c r="D107" s="6"/>
      <c r="E107" s="6"/>
      <c r="F107" s="2" t="s">
        <v>12</v>
      </c>
      <c r="G107" s="2" t="s">
        <v>9</v>
      </c>
      <c r="H107" s="6">
        <f>VLOOKUP(B107,'[1]Tồn Acrilic  T10'!C$6:F$346,4,0)</f>
        <v>0</v>
      </c>
    </row>
    <row r="108" spans="1:8" ht="15.6" x14ac:dyDescent="0.3">
      <c r="A108" s="2">
        <v>105</v>
      </c>
      <c r="B108" s="2" t="s">
        <v>221</v>
      </c>
      <c r="C108" s="2" t="s">
        <v>222</v>
      </c>
      <c r="D108" s="6"/>
      <c r="E108" s="6"/>
      <c r="F108" s="2" t="s">
        <v>15</v>
      </c>
      <c r="G108" s="2" t="s">
        <v>9</v>
      </c>
      <c r="H108" s="6">
        <v>0</v>
      </c>
    </row>
    <row r="109" spans="1:8" ht="15.6" x14ac:dyDescent="0.3">
      <c r="A109" s="2">
        <v>106</v>
      </c>
      <c r="B109" s="2" t="s">
        <v>223</v>
      </c>
      <c r="C109" s="2" t="s">
        <v>224</v>
      </c>
      <c r="D109" s="6"/>
      <c r="E109" s="6"/>
      <c r="F109" s="2" t="s">
        <v>18</v>
      </c>
      <c r="G109" s="2" t="s">
        <v>9</v>
      </c>
      <c r="H109" s="6">
        <v>0</v>
      </c>
    </row>
    <row r="110" spans="1:8" ht="15.6" x14ac:dyDescent="0.3">
      <c r="A110" s="2">
        <v>107</v>
      </c>
      <c r="B110" s="2" t="s">
        <v>225</v>
      </c>
      <c r="C110" s="2" t="s">
        <v>226</v>
      </c>
      <c r="D110" s="6"/>
      <c r="E110" s="6"/>
      <c r="F110" s="2" t="s">
        <v>21</v>
      </c>
      <c r="G110" s="2" t="s">
        <v>9</v>
      </c>
      <c r="H110" s="6">
        <f>VLOOKUP(B110,'[1]Tồn Acrilic  T10'!C$6:F$346,4,0)</f>
        <v>3</v>
      </c>
    </row>
    <row r="111" spans="1:8" ht="15.6" x14ac:dyDescent="0.3">
      <c r="A111" s="2">
        <v>108</v>
      </c>
      <c r="B111" s="2" t="s">
        <v>227</v>
      </c>
      <c r="C111" s="2" t="s">
        <v>228</v>
      </c>
      <c r="D111" s="6"/>
      <c r="E111" s="6"/>
      <c r="F111" s="2" t="s">
        <v>24</v>
      </c>
      <c r="G111" s="2" t="s">
        <v>9</v>
      </c>
      <c r="H111" s="6">
        <v>0</v>
      </c>
    </row>
    <row r="112" spans="1:8" ht="15.6" x14ac:dyDescent="0.3">
      <c r="A112" s="2">
        <v>109</v>
      </c>
      <c r="B112" s="2" t="s">
        <v>229</v>
      </c>
      <c r="C112" s="2" t="s">
        <v>230</v>
      </c>
      <c r="D112" s="6" t="str">
        <f>VLOOKUP(B112,'[1]Tồn Acrilic  T10 .nháp'!C$6:E$115,2,0)</f>
        <v>Acrylic siêu chống xước Áo, AM1800TopX, Beige metallic 7499 color GV11**</v>
      </c>
      <c r="E112" s="6" t="str">
        <f>VLOOKUP(B112,'[1]Tồn Acrilic  T10 .nháp'!C$6:E$115,3,0)</f>
        <v>Austria</v>
      </c>
      <c r="F112" s="2" t="s">
        <v>8</v>
      </c>
      <c r="G112" s="2" t="s">
        <v>9</v>
      </c>
      <c r="H112" s="6">
        <f>VLOOKUP(B112,'[1]Tồn Acrilic  T10'!C$6:F$346,4,0)</f>
        <v>82</v>
      </c>
    </row>
    <row r="113" spans="1:8" ht="15.6" x14ac:dyDescent="0.3">
      <c r="A113" s="2">
        <v>110</v>
      </c>
      <c r="B113" s="2" t="s">
        <v>231</v>
      </c>
      <c r="C113" s="2" t="s">
        <v>232</v>
      </c>
      <c r="D113" s="6"/>
      <c r="E113" s="6"/>
      <c r="F113" s="2" t="s">
        <v>12</v>
      </c>
      <c r="G113" s="2" t="s">
        <v>9</v>
      </c>
      <c r="H113" s="6">
        <f>VLOOKUP(B113,'[1]Tồn Acrilic  T10'!C$6:F$346,4,0)</f>
        <v>17</v>
      </c>
    </row>
    <row r="114" spans="1:8" ht="15.6" x14ac:dyDescent="0.3">
      <c r="A114" s="2">
        <v>111</v>
      </c>
      <c r="B114" s="2" t="s">
        <v>233</v>
      </c>
      <c r="C114" s="2" t="s">
        <v>234</v>
      </c>
      <c r="D114" s="6"/>
      <c r="E114" s="6"/>
      <c r="F114" s="2" t="s">
        <v>15</v>
      </c>
      <c r="G114" s="2" t="s">
        <v>9</v>
      </c>
      <c r="H114" s="6">
        <v>0</v>
      </c>
    </row>
    <row r="115" spans="1:8" ht="15.6" x14ac:dyDescent="0.3">
      <c r="A115" s="2">
        <v>112</v>
      </c>
      <c r="B115" s="2" t="s">
        <v>235</v>
      </c>
      <c r="C115" s="2" t="s">
        <v>236</v>
      </c>
      <c r="D115" s="6"/>
      <c r="E115" s="6"/>
      <c r="F115" s="2" t="s">
        <v>18</v>
      </c>
      <c r="G115" s="2" t="s">
        <v>9</v>
      </c>
      <c r="H115" s="6">
        <v>0</v>
      </c>
    </row>
    <row r="116" spans="1:8" ht="15.6" x14ac:dyDescent="0.3">
      <c r="A116" s="2">
        <v>113</v>
      </c>
      <c r="B116" s="2" t="s">
        <v>237</v>
      </c>
      <c r="C116" s="2" t="s">
        <v>238</v>
      </c>
      <c r="D116" s="6"/>
      <c r="E116" s="6"/>
      <c r="F116" s="2" t="s">
        <v>21</v>
      </c>
      <c r="G116" s="2" t="s">
        <v>9</v>
      </c>
      <c r="H116" s="6">
        <f>VLOOKUP(B116,'[1]Tồn Acrilic  T10'!C$6:F$346,4,0)</f>
        <v>13</v>
      </c>
    </row>
    <row r="117" spans="1:8" ht="15.6" x14ac:dyDescent="0.3">
      <c r="A117" s="2">
        <v>114</v>
      </c>
      <c r="B117" s="2" t="s">
        <v>239</v>
      </c>
      <c r="C117" s="2" t="s">
        <v>240</v>
      </c>
      <c r="D117" s="6"/>
      <c r="E117" s="6"/>
      <c r="F117" s="2" t="s">
        <v>24</v>
      </c>
      <c r="G117" s="2" t="s">
        <v>9</v>
      </c>
      <c r="H117" s="6">
        <v>0</v>
      </c>
    </row>
    <row r="118" spans="1:8" ht="15.6" x14ac:dyDescent="0.3">
      <c r="A118" s="2">
        <v>115</v>
      </c>
      <c r="B118" s="2" t="s">
        <v>241</v>
      </c>
      <c r="C118" s="2" t="s">
        <v>242</v>
      </c>
      <c r="D118" s="6" t="str">
        <f>VLOOKUP(B118,'[1]Tồn Acrilic  T10 .nháp'!C$6:E$115,2,0)</f>
        <v>High Gloss Acrylic sheet, Silver metallic, EB-PG018</v>
      </c>
      <c r="E118" s="6" t="str">
        <f>VLOOKUP(B118,'[1]Tồn Acrilic  T10 .nháp'!C$6:E$115,3,0)</f>
        <v>China</v>
      </c>
      <c r="F118" s="2" t="s">
        <v>8</v>
      </c>
      <c r="G118" s="2" t="s">
        <v>9</v>
      </c>
      <c r="H118" s="6">
        <f>VLOOKUP(B118,'[1]Tồn Acrilic  T10'!C$6:F$346,4,0)</f>
        <v>84</v>
      </c>
    </row>
    <row r="119" spans="1:8" ht="15.6" x14ac:dyDescent="0.3">
      <c r="A119" s="2">
        <v>116</v>
      </c>
      <c r="B119" s="2" t="s">
        <v>243</v>
      </c>
      <c r="C119" s="2" t="s">
        <v>244</v>
      </c>
      <c r="D119" s="6"/>
      <c r="E119" s="6"/>
      <c r="F119" s="2" t="s">
        <v>12</v>
      </c>
      <c r="G119" s="2" t="s">
        <v>9</v>
      </c>
      <c r="H119" s="6">
        <f>VLOOKUP(B119,'[1]Tồn Acrilic  T10'!C$6:F$346,4,0)</f>
        <v>0</v>
      </c>
    </row>
    <row r="120" spans="1:8" ht="15.6" x14ac:dyDescent="0.3">
      <c r="A120" s="2">
        <v>117</v>
      </c>
      <c r="B120" s="2" t="s">
        <v>245</v>
      </c>
      <c r="C120" s="2" t="s">
        <v>246</v>
      </c>
      <c r="D120" s="6"/>
      <c r="E120" s="6"/>
      <c r="F120" s="2" t="s">
        <v>15</v>
      </c>
      <c r="G120" s="2" t="s">
        <v>9</v>
      </c>
      <c r="H120" s="6">
        <v>0</v>
      </c>
    </row>
    <row r="121" spans="1:8" ht="15.6" x14ac:dyDescent="0.3">
      <c r="A121" s="2">
        <v>118</v>
      </c>
      <c r="B121" s="2" t="s">
        <v>247</v>
      </c>
      <c r="C121" s="2" t="s">
        <v>248</v>
      </c>
      <c r="D121" s="6"/>
      <c r="E121" s="6"/>
      <c r="F121" s="2" t="s">
        <v>18</v>
      </c>
      <c r="G121" s="2" t="s">
        <v>9</v>
      </c>
      <c r="H121" s="6">
        <v>0</v>
      </c>
    </row>
    <row r="122" spans="1:8" ht="15.6" x14ac:dyDescent="0.3">
      <c r="A122" s="2">
        <v>119</v>
      </c>
      <c r="B122" s="2" t="s">
        <v>249</v>
      </c>
      <c r="C122" s="2" t="s">
        <v>250</v>
      </c>
      <c r="D122" s="6"/>
      <c r="E122" s="6"/>
      <c r="F122" s="2" t="s">
        <v>21</v>
      </c>
      <c r="G122" s="2" t="s">
        <v>9</v>
      </c>
      <c r="H122" s="6">
        <f>VLOOKUP(B122,'[1]Tồn Acrilic  T10'!C$6:F$346,4,0)</f>
        <v>11</v>
      </c>
    </row>
    <row r="123" spans="1:8" ht="15.6" x14ac:dyDescent="0.3">
      <c r="A123" s="2">
        <v>120</v>
      </c>
      <c r="B123" s="2" t="s">
        <v>251</v>
      </c>
      <c r="C123" s="2" t="s">
        <v>252</v>
      </c>
      <c r="D123" s="6"/>
      <c r="E123" s="6"/>
      <c r="F123" s="2" t="s">
        <v>24</v>
      </c>
      <c r="G123" s="2" t="s">
        <v>9</v>
      </c>
      <c r="H123" s="6">
        <v>0</v>
      </c>
    </row>
    <row r="124" spans="1:8" ht="15.6" x14ac:dyDescent="0.3">
      <c r="A124" s="2">
        <v>121</v>
      </c>
      <c r="B124" s="2" t="s">
        <v>253</v>
      </c>
      <c r="C124" s="2" t="s">
        <v>254</v>
      </c>
      <c r="D124" s="6" t="str">
        <f>VLOOKUP(B124,'[1]Tồn Acrilic  T10 .nháp'!C$6:E$115,2,0)</f>
        <v>High Gloss Acrylic sheet, Grey metallic, EB-PG024</v>
      </c>
      <c r="E124" s="6" t="str">
        <f>VLOOKUP(B124,'[1]Tồn Acrilic  T10 .nháp'!C$6:E$115,3,0)</f>
        <v>China</v>
      </c>
      <c r="F124" s="2" t="s">
        <v>8</v>
      </c>
      <c r="G124" s="2" t="s">
        <v>9</v>
      </c>
      <c r="H124" s="6">
        <f>VLOOKUP(B124,'[1]Tồn Acrilic  T10'!C$6:F$346,4,0)</f>
        <v>189</v>
      </c>
    </row>
    <row r="125" spans="1:8" ht="15.6" x14ac:dyDescent="0.3">
      <c r="A125" s="2">
        <v>122</v>
      </c>
      <c r="B125" s="2" t="s">
        <v>255</v>
      </c>
      <c r="C125" s="2" t="s">
        <v>256</v>
      </c>
      <c r="D125" s="6"/>
      <c r="E125" s="6"/>
      <c r="F125" s="2" t="s">
        <v>12</v>
      </c>
      <c r="G125" s="2" t="s">
        <v>9</v>
      </c>
      <c r="H125" s="6">
        <f>VLOOKUP(B125,'[1]Tồn Acrilic  T10'!C$6:F$346,4,0)</f>
        <v>0</v>
      </c>
    </row>
    <row r="126" spans="1:8" ht="15.6" x14ac:dyDescent="0.3">
      <c r="A126" s="2">
        <v>123</v>
      </c>
      <c r="B126" s="2" t="s">
        <v>257</v>
      </c>
      <c r="C126" s="2" t="s">
        <v>258</v>
      </c>
      <c r="D126" s="6"/>
      <c r="E126" s="6"/>
      <c r="F126" s="2" t="s">
        <v>15</v>
      </c>
      <c r="G126" s="2" t="s">
        <v>9</v>
      </c>
      <c r="H126" s="6">
        <v>0</v>
      </c>
    </row>
    <row r="127" spans="1:8" ht="15.6" x14ac:dyDescent="0.3">
      <c r="A127" s="2">
        <v>124</v>
      </c>
      <c r="B127" s="2" t="s">
        <v>259</v>
      </c>
      <c r="C127" s="2" t="s">
        <v>260</v>
      </c>
      <c r="D127" s="6"/>
      <c r="E127" s="6"/>
      <c r="F127" s="2" t="s">
        <v>18</v>
      </c>
      <c r="G127" s="2" t="s">
        <v>9</v>
      </c>
      <c r="H127" s="6">
        <v>0</v>
      </c>
    </row>
    <row r="128" spans="1:8" ht="15.6" x14ac:dyDescent="0.3">
      <c r="A128" s="2">
        <v>125</v>
      </c>
      <c r="B128" s="2" t="s">
        <v>261</v>
      </c>
      <c r="C128" s="2" t="s">
        <v>262</v>
      </c>
      <c r="D128" s="6"/>
      <c r="E128" s="6"/>
      <c r="F128" s="2" t="s">
        <v>21</v>
      </c>
      <c r="G128" s="2" t="s">
        <v>9</v>
      </c>
      <c r="H128" s="6">
        <f>VLOOKUP(B128,'[1]Tồn Acrilic  T10'!C$6:F$346,4,0)</f>
        <v>9</v>
      </c>
    </row>
    <row r="129" spans="1:8" ht="15.6" x14ac:dyDescent="0.3">
      <c r="A129" s="2">
        <v>126</v>
      </c>
      <c r="B129" s="2" t="s">
        <v>263</v>
      </c>
      <c r="C129" s="2" t="s">
        <v>264</v>
      </c>
      <c r="D129" s="6"/>
      <c r="E129" s="6"/>
      <c r="F129" s="2" t="s">
        <v>24</v>
      </c>
      <c r="G129" s="2" t="s">
        <v>9</v>
      </c>
      <c r="H129" s="6">
        <v>0</v>
      </c>
    </row>
    <row r="130" spans="1:8" ht="15.6" x14ac:dyDescent="0.3">
      <c r="A130" s="2">
        <v>127</v>
      </c>
      <c r="B130" s="2" t="s">
        <v>265</v>
      </c>
      <c r="C130" s="2" t="s">
        <v>266</v>
      </c>
      <c r="D130" s="6" t="str">
        <f>VLOOKUP(B130,'[1]Tồn Acrilic  T10 .nháp'!C$6:E$115,2,0)</f>
        <v>High Gloss Acrylic sheet, Dark grey metallic, EB-PG025</v>
      </c>
      <c r="E130" s="6" t="str">
        <f>VLOOKUP(B130,'[1]Tồn Acrilic  T10 .nháp'!C$6:E$115,3,0)</f>
        <v>China</v>
      </c>
      <c r="F130" s="2" t="s">
        <v>8</v>
      </c>
      <c r="G130" s="2" t="s">
        <v>9</v>
      </c>
      <c r="H130" s="6">
        <f>VLOOKUP(B130,'[1]Tồn Acrilic  T10'!C$6:F$346,4,0)</f>
        <v>250</v>
      </c>
    </row>
    <row r="131" spans="1:8" ht="15.6" x14ac:dyDescent="0.3">
      <c r="A131" s="2">
        <v>128</v>
      </c>
      <c r="B131" s="2" t="s">
        <v>267</v>
      </c>
      <c r="C131" s="2" t="s">
        <v>268</v>
      </c>
      <c r="D131" s="6"/>
      <c r="E131" s="6"/>
      <c r="F131" s="2" t="s">
        <v>12</v>
      </c>
      <c r="G131" s="2" t="s">
        <v>9</v>
      </c>
      <c r="H131" s="6">
        <f>VLOOKUP(B131,'[1]Tồn Acrilic  T10'!C$6:F$346,4,0)</f>
        <v>0</v>
      </c>
    </row>
    <row r="132" spans="1:8" ht="15.6" x14ac:dyDescent="0.3">
      <c r="A132" s="2">
        <v>129</v>
      </c>
      <c r="B132" s="2" t="s">
        <v>269</v>
      </c>
      <c r="C132" s="2" t="s">
        <v>270</v>
      </c>
      <c r="D132" s="6"/>
      <c r="E132" s="6"/>
      <c r="F132" s="2" t="s">
        <v>15</v>
      </c>
      <c r="G132" s="2" t="s">
        <v>9</v>
      </c>
      <c r="H132" s="6">
        <v>0</v>
      </c>
    </row>
    <row r="133" spans="1:8" ht="15.6" x14ac:dyDescent="0.3">
      <c r="A133" s="2">
        <v>130</v>
      </c>
      <c r="B133" s="2" t="s">
        <v>271</v>
      </c>
      <c r="C133" s="2" t="s">
        <v>272</v>
      </c>
      <c r="D133" s="6"/>
      <c r="E133" s="6"/>
      <c r="F133" s="2" t="s">
        <v>18</v>
      </c>
      <c r="G133" s="2" t="s">
        <v>9</v>
      </c>
      <c r="H133" s="6">
        <v>0</v>
      </c>
    </row>
    <row r="134" spans="1:8" ht="15.6" x14ac:dyDescent="0.3">
      <c r="A134" s="2">
        <v>131</v>
      </c>
      <c r="B134" s="2" t="s">
        <v>273</v>
      </c>
      <c r="C134" s="2" t="s">
        <v>274</v>
      </c>
      <c r="D134" s="6"/>
      <c r="E134" s="6"/>
      <c r="F134" s="2" t="s">
        <v>21</v>
      </c>
      <c r="G134" s="2" t="s">
        <v>9</v>
      </c>
      <c r="H134" s="6">
        <f>VLOOKUP(B134,'[1]Tồn Acrilic  T10'!C$6:F$346,4,0)</f>
        <v>11</v>
      </c>
    </row>
    <row r="135" spans="1:8" ht="15.6" x14ac:dyDescent="0.3">
      <c r="A135" s="2">
        <v>132</v>
      </c>
      <c r="B135" s="2" t="s">
        <v>275</v>
      </c>
      <c r="C135" s="2" t="s">
        <v>276</v>
      </c>
      <c r="D135" s="6"/>
      <c r="E135" s="6"/>
      <c r="F135" s="2" t="s">
        <v>24</v>
      </c>
      <c r="G135" s="2" t="s">
        <v>9</v>
      </c>
      <c r="H135" s="6">
        <v>0</v>
      </c>
    </row>
    <row r="136" spans="1:8" ht="15.6" x14ac:dyDescent="0.3">
      <c r="A136" s="2">
        <v>133</v>
      </c>
      <c r="B136" s="2" t="s">
        <v>277</v>
      </c>
      <c r="C136" s="2" t="s">
        <v>278</v>
      </c>
      <c r="D136" s="6" t="str">
        <f>VLOOKUP(B136,'[1]Tồn Acrilic  T10 .nháp'!C$6:E$115,2,0)</f>
        <v>High Gloss Acrylic sheet, Copper silver metallic, EB-PG028</v>
      </c>
      <c r="E136" s="6" t="str">
        <f>VLOOKUP(B136,'[1]Tồn Acrilic  T10 .nháp'!C$6:E$115,3,0)</f>
        <v>China</v>
      </c>
      <c r="F136" s="2" t="s">
        <v>8</v>
      </c>
      <c r="G136" s="2" t="s">
        <v>9</v>
      </c>
      <c r="H136" s="6">
        <f>VLOOKUP(B136,'[1]Tồn Acrilic  T10'!C$6:F$346,4,0)</f>
        <v>214</v>
      </c>
    </row>
    <row r="137" spans="1:8" ht="15.6" x14ac:dyDescent="0.3">
      <c r="A137" s="2">
        <v>134</v>
      </c>
      <c r="B137" s="2" t="s">
        <v>279</v>
      </c>
      <c r="C137" s="2" t="s">
        <v>280</v>
      </c>
      <c r="D137" s="6"/>
      <c r="E137" s="6"/>
      <c r="F137" s="2" t="s">
        <v>12</v>
      </c>
      <c r="G137" s="2" t="s">
        <v>9</v>
      </c>
      <c r="H137" s="6">
        <f>VLOOKUP(B137,'[1]Tồn Acrilic  T10'!C$6:F$346,4,0)</f>
        <v>0</v>
      </c>
    </row>
    <row r="138" spans="1:8" ht="15.6" x14ac:dyDescent="0.3">
      <c r="A138" s="2">
        <v>135</v>
      </c>
      <c r="B138" s="2" t="s">
        <v>281</v>
      </c>
      <c r="C138" s="2" t="s">
        <v>282</v>
      </c>
      <c r="D138" s="6"/>
      <c r="E138" s="6"/>
      <c r="F138" s="2" t="s">
        <v>15</v>
      </c>
      <c r="G138" s="2" t="s">
        <v>9</v>
      </c>
      <c r="H138" s="6">
        <v>0</v>
      </c>
    </row>
    <row r="139" spans="1:8" ht="15.6" x14ac:dyDescent="0.3">
      <c r="A139" s="2">
        <v>136</v>
      </c>
      <c r="B139" s="2" t="s">
        <v>283</v>
      </c>
      <c r="C139" s="2" t="s">
        <v>284</v>
      </c>
      <c r="D139" s="6"/>
      <c r="E139" s="6"/>
      <c r="F139" s="2" t="s">
        <v>18</v>
      </c>
      <c r="G139" s="2" t="s">
        <v>9</v>
      </c>
      <c r="H139" s="6">
        <v>0</v>
      </c>
    </row>
    <row r="140" spans="1:8" ht="15.6" x14ac:dyDescent="0.3">
      <c r="A140" s="2">
        <v>137</v>
      </c>
      <c r="B140" s="2" t="s">
        <v>285</v>
      </c>
      <c r="C140" s="2" t="s">
        <v>286</v>
      </c>
      <c r="D140" s="6"/>
      <c r="E140" s="6"/>
      <c r="F140" s="2" t="s">
        <v>21</v>
      </c>
      <c r="G140" s="2" t="s">
        <v>9</v>
      </c>
      <c r="H140" s="6">
        <f>VLOOKUP(B140,'[1]Tồn Acrilic  T10'!C$6:F$346,4,0)</f>
        <v>7</v>
      </c>
    </row>
    <row r="141" spans="1:8" ht="15.6" x14ac:dyDescent="0.3">
      <c r="A141" s="2">
        <v>138</v>
      </c>
      <c r="B141" s="2" t="s">
        <v>287</v>
      </c>
      <c r="C141" s="2" t="s">
        <v>288</v>
      </c>
      <c r="D141" s="6"/>
      <c r="E141" s="6"/>
      <c r="F141" s="2" t="s">
        <v>24</v>
      </c>
      <c r="G141" s="2" t="s">
        <v>9</v>
      </c>
      <c r="H141" s="6">
        <v>0</v>
      </c>
    </row>
    <row r="142" spans="1:8" ht="15.6" x14ac:dyDescent="0.3">
      <c r="A142" s="2">
        <v>139</v>
      </c>
      <c r="B142" s="2" t="s">
        <v>289</v>
      </c>
      <c r="C142" s="2" t="s">
        <v>290</v>
      </c>
      <c r="D142" s="6" t="str">
        <f>VLOOKUP(B142,'[1]Tồn Acrilic  T10 .nháp'!C$6:E$115,2,0)</f>
        <v>Acrylic siêu chống xước Áo, AM1800TopX, beige 7496 GV12**</v>
      </c>
      <c r="E142" s="6" t="str">
        <f>VLOOKUP(B142,'[1]Tồn Acrilic  T10 .nháp'!C$6:E$115,3,0)</f>
        <v>Austria</v>
      </c>
      <c r="F142" s="2" t="s">
        <v>8</v>
      </c>
      <c r="G142" s="2" t="s">
        <v>9</v>
      </c>
      <c r="H142" s="6">
        <f>VLOOKUP(B142,'[1]Tồn Acrilic  T10'!C$6:F$346,4,0)</f>
        <v>127</v>
      </c>
    </row>
    <row r="143" spans="1:8" ht="15.6" x14ac:dyDescent="0.3">
      <c r="A143" s="2">
        <v>140</v>
      </c>
      <c r="B143" s="2" t="s">
        <v>291</v>
      </c>
      <c r="C143" s="2" t="s">
        <v>292</v>
      </c>
      <c r="D143" s="6"/>
      <c r="E143" s="6"/>
      <c r="F143" s="2" t="s">
        <v>12</v>
      </c>
      <c r="G143" s="2" t="s">
        <v>9</v>
      </c>
      <c r="H143" s="6">
        <f>VLOOKUP(B143,'[1]Tồn Acrilic  T10'!C$6:F$346,4,0)</f>
        <v>12</v>
      </c>
    </row>
    <row r="144" spans="1:8" ht="15.6" x14ac:dyDescent="0.3">
      <c r="A144" s="2">
        <v>141</v>
      </c>
      <c r="B144" s="2" t="s">
        <v>293</v>
      </c>
      <c r="C144" s="2" t="s">
        <v>294</v>
      </c>
      <c r="D144" s="6"/>
      <c r="E144" s="6"/>
      <c r="F144" s="2" t="s">
        <v>15</v>
      </c>
      <c r="G144" s="2" t="s">
        <v>9</v>
      </c>
      <c r="H144" s="6">
        <v>0</v>
      </c>
    </row>
    <row r="145" spans="1:8" ht="15.6" x14ac:dyDescent="0.3">
      <c r="A145" s="2">
        <v>142</v>
      </c>
      <c r="B145" s="2" t="s">
        <v>295</v>
      </c>
      <c r="C145" s="2" t="s">
        <v>296</v>
      </c>
      <c r="D145" s="6"/>
      <c r="E145" s="6"/>
      <c r="F145" s="2" t="s">
        <v>18</v>
      </c>
      <c r="G145" s="2" t="s">
        <v>9</v>
      </c>
      <c r="H145" s="6">
        <v>0</v>
      </c>
    </row>
    <row r="146" spans="1:8" ht="15.6" x14ac:dyDescent="0.3">
      <c r="A146" s="2">
        <v>143</v>
      </c>
      <c r="B146" s="2" t="s">
        <v>297</v>
      </c>
      <c r="C146" s="2" t="s">
        <v>298</v>
      </c>
      <c r="D146" s="6"/>
      <c r="E146" s="6"/>
      <c r="F146" s="2" t="s">
        <v>21</v>
      </c>
      <c r="G146" s="2" t="s">
        <v>9</v>
      </c>
      <c r="H146" s="6">
        <f>VLOOKUP(B146,'[1]Tồn Acrilic  T10'!C$6:F$346,4,0)</f>
        <v>10</v>
      </c>
    </row>
    <row r="147" spans="1:8" ht="15.6" x14ac:dyDescent="0.3">
      <c r="A147" s="2">
        <v>144</v>
      </c>
      <c r="B147" s="2" t="s">
        <v>299</v>
      </c>
      <c r="C147" s="2" t="s">
        <v>300</v>
      </c>
      <c r="D147" s="6"/>
      <c r="E147" s="6"/>
      <c r="F147" s="2" t="s">
        <v>24</v>
      </c>
      <c r="G147" s="2" t="s">
        <v>9</v>
      </c>
      <c r="H147" s="6">
        <v>0</v>
      </c>
    </row>
    <row r="148" spans="1:8" ht="15.6" x14ac:dyDescent="0.3">
      <c r="A148" s="2">
        <v>145</v>
      </c>
      <c r="B148" s="2" t="s">
        <v>301</v>
      </c>
      <c r="C148" s="2" t="s">
        <v>302</v>
      </c>
      <c r="D148" s="6">
        <f>VLOOKUP(B148,'[1]Tồn Acrilic  T10 .nháp'!C$6:E$115,2,0)</f>
        <v>0</v>
      </c>
      <c r="E148" s="6" t="str">
        <f>VLOOKUP(B148,'[1]Tồn Acrilic  T10 .nháp'!C$6:E$115,3,0)</f>
        <v>China</v>
      </c>
      <c r="F148" s="2" t="s">
        <v>8</v>
      </c>
      <c r="G148" s="2" t="s">
        <v>9</v>
      </c>
      <c r="H148" s="6">
        <f>VLOOKUP(B148,'[1]Tồn Acrilic  T10'!C$6:F$346,4,0)</f>
        <v>6460</v>
      </c>
    </row>
    <row r="149" spans="1:8" ht="15.6" x14ac:dyDescent="0.3">
      <c r="A149" s="2">
        <v>146</v>
      </c>
      <c r="B149" s="2" t="s">
        <v>303</v>
      </c>
      <c r="C149" s="2" t="s">
        <v>304</v>
      </c>
      <c r="D149" s="6"/>
      <c r="E149" s="6"/>
      <c r="F149" s="2" t="s">
        <v>12</v>
      </c>
      <c r="G149" s="2" t="s">
        <v>9</v>
      </c>
      <c r="H149" s="6">
        <f>VLOOKUP(B149,'[1]Tồn Acrilic  T10'!C$6:F$346,4,0)</f>
        <v>0</v>
      </c>
    </row>
    <row r="150" spans="1:8" ht="15.6" x14ac:dyDescent="0.3">
      <c r="A150" s="2">
        <v>147</v>
      </c>
      <c r="B150" s="2" t="s">
        <v>305</v>
      </c>
      <c r="C150" s="2" t="s">
        <v>306</v>
      </c>
      <c r="D150" s="6"/>
      <c r="E150" s="6"/>
      <c r="F150" s="2" t="s">
        <v>15</v>
      </c>
      <c r="G150" s="2" t="s">
        <v>9</v>
      </c>
      <c r="H150" s="6">
        <v>0</v>
      </c>
    </row>
    <row r="151" spans="1:8" ht="15.6" x14ac:dyDescent="0.3">
      <c r="A151" s="2">
        <v>148</v>
      </c>
      <c r="B151" s="2" t="s">
        <v>307</v>
      </c>
      <c r="C151" s="2" t="s">
        <v>308</v>
      </c>
      <c r="D151" s="6"/>
      <c r="E151" s="6"/>
      <c r="F151" s="2" t="s">
        <v>18</v>
      </c>
      <c r="G151" s="2" t="s">
        <v>9</v>
      </c>
      <c r="H151" s="6">
        <v>0</v>
      </c>
    </row>
    <row r="152" spans="1:8" ht="15.6" x14ac:dyDescent="0.3">
      <c r="A152" s="2">
        <v>149</v>
      </c>
      <c r="B152" s="2" t="s">
        <v>309</v>
      </c>
      <c r="C152" s="2" t="s">
        <v>310</v>
      </c>
      <c r="D152" s="6"/>
      <c r="E152" s="6"/>
      <c r="F152" s="2" t="s">
        <v>21</v>
      </c>
      <c r="G152" s="2" t="s">
        <v>9</v>
      </c>
      <c r="H152" s="6">
        <f>VLOOKUP(B152,'[1]Tồn Acrilic  T10'!C$6:F$346,4,0)</f>
        <v>2</v>
      </c>
    </row>
    <row r="153" spans="1:8" ht="15.6" x14ac:dyDescent="0.3">
      <c r="A153" s="2">
        <v>150</v>
      </c>
      <c r="B153" s="2" t="s">
        <v>311</v>
      </c>
      <c r="C153" s="2" t="s">
        <v>312</v>
      </c>
      <c r="D153" s="6"/>
      <c r="E153" s="6"/>
      <c r="F153" s="2" t="s">
        <v>24</v>
      </c>
      <c r="G153" s="2" t="s">
        <v>9</v>
      </c>
      <c r="H153" s="6">
        <v>0</v>
      </c>
    </row>
    <row r="154" spans="1:8" ht="15.6" x14ac:dyDescent="0.3">
      <c r="A154" s="2">
        <v>151</v>
      </c>
      <c r="B154" s="2" t="s">
        <v>313</v>
      </c>
      <c r="C154" s="2" t="s">
        <v>314</v>
      </c>
      <c r="D154" s="6" t="str">
        <f>VLOOKUP(B154,'[1]Tồn Acrilic  T10 .nháp'!C$6:E$115,2,0)</f>
        <v>High Gloss Acrylic sheet, Grey, AC110,GV121</v>
      </c>
      <c r="E154" s="6" t="str">
        <f>VLOOKUP(B154,'[1]Tồn Acrilic  T10 .nháp'!C$6:E$115,3,0)</f>
        <v>China</v>
      </c>
      <c r="F154" s="2" t="s">
        <v>8</v>
      </c>
      <c r="G154" s="2" t="s">
        <v>9</v>
      </c>
      <c r="H154" s="6">
        <f>VLOOKUP(B154,'[1]Tồn Acrilic  T10'!C$6:F$346,4,0)</f>
        <v>205</v>
      </c>
    </row>
    <row r="155" spans="1:8" ht="15.6" x14ac:dyDescent="0.3">
      <c r="A155" s="2">
        <v>152</v>
      </c>
      <c r="B155" s="2" t="s">
        <v>315</v>
      </c>
      <c r="C155" s="2" t="s">
        <v>316</v>
      </c>
      <c r="D155" s="6"/>
      <c r="E155" s="6"/>
      <c r="F155" s="2" t="s">
        <v>12</v>
      </c>
      <c r="G155" s="2" t="s">
        <v>9</v>
      </c>
      <c r="H155" s="6">
        <f>VLOOKUP(B155,'[1]Tồn Acrilic  T10'!C$6:F$346,4,0)</f>
        <v>0</v>
      </c>
    </row>
    <row r="156" spans="1:8" ht="15.6" x14ac:dyDescent="0.3">
      <c r="A156" s="2">
        <v>153</v>
      </c>
      <c r="B156" s="2" t="s">
        <v>317</v>
      </c>
      <c r="C156" s="2" t="s">
        <v>318</v>
      </c>
      <c r="D156" s="6"/>
      <c r="E156" s="6"/>
      <c r="F156" s="2" t="s">
        <v>15</v>
      </c>
      <c r="G156" s="2" t="s">
        <v>9</v>
      </c>
      <c r="H156" s="6">
        <v>0</v>
      </c>
    </row>
    <row r="157" spans="1:8" ht="15.6" x14ac:dyDescent="0.3">
      <c r="A157" s="2">
        <v>154</v>
      </c>
      <c r="B157" s="2" t="s">
        <v>319</v>
      </c>
      <c r="C157" s="2" t="s">
        <v>320</v>
      </c>
      <c r="D157" s="6"/>
      <c r="E157" s="6"/>
      <c r="F157" s="2" t="s">
        <v>18</v>
      </c>
      <c r="G157" s="2" t="s">
        <v>9</v>
      </c>
      <c r="H157" s="6">
        <v>0</v>
      </c>
    </row>
    <row r="158" spans="1:8" ht="15.6" x14ac:dyDescent="0.3">
      <c r="A158" s="2">
        <v>155</v>
      </c>
      <c r="B158" s="2" t="s">
        <v>321</v>
      </c>
      <c r="C158" s="2" t="s">
        <v>322</v>
      </c>
      <c r="D158" s="6"/>
      <c r="E158" s="6"/>
      <c r="F158" s="2" t="s">
        <v>21</v>
      </c>
      <c r="G158" s="2" t="s">
        <v>9</v>
      </c>
      <c r="H158" s="6">
        <f>VLOOKUP(B158,'[1]Tồn Acrilic  T10'!C$6:F$346,4,0)</f>
        <v>15</v>
      </c>
    </row>
    <row r="159" spans="1:8" ht="15.6" x14ac:dyDescent="0.3">
      <c r="A159" s="2">
        <v>156</v>
      </c>
      <c r="B159" s="2" t="s">
        <v>323</v>
      </c>
      <c r="C159" s="2" t="s">
        <v>324</v>
      </c>
      <c r="D159" s="6"/>
      <c r="E159" s="6"/>
      <c r="F159" s="2" t="s">
        <v>24</v>
      </c>
      <c r="G159" s="2" t="s">
        <v>9</v>
      </c>
      <c r="H159" s="6">
        <v>0</v>
      </c>
    </row>
    <row r="160" spans="1:8" ht="15.6" x14ac:dyDescent="0.3">
      <c r="A160" s="2">
        <v>157</v>
      </c>
      <c r="B160" s="2" t="s">
        <v>325</v>
      </c>
      <c r="C160" s="2" t="s">
        <v>326</v>
      </c>
      <c r="D160" s="6" t="str">
        <f>VLOOKUP(B160,'[1]Tồn Acrilic  T10 .nháp'!C$6:E$115,2,0)</f>
        <v>High Gloss Acrylic sheet, Milk grey, ASA-20105-L,GV122</v>
      </c>
      <c r="E160" s="6" t="str">
        <f>VLOOKUP(B160,'[1]Tồn Acrilic  T10 .nháp'!C$6:E$115,3,0)</f>
        <v>China</v>
      </c>
      <c r="F160" s="2" t="s">
        <v>8</v>
      </c>
      <c r="G160" s="2" t="s">
        <v>9</v>
      </c>
      <c r="H160" s="6">
        <f>VLOOKUP(B160,'[1]Tồn Acrilic  T10'!C$6:F$346,4,0)</f>
        <v>271</v>
      </c>
    </row>
    <row r="161" spans="1:8" ht="15.6" x14ac:dyDescent="0.3">
      <c r="A161" s="2">
        <v>158</v>
      </c>
      <c r="B161" s="2" t="s">
        <v>327</v>
      </c>
      <c r="C161" s="2" t="s">
        <v>328</v>
      </c>
      <c r="D161" s="6"/>
      <c r="E161" s="6"/>
      <c r="F161" s="2" t="s">
        <v>12</v>
      </c>
      <c r="G161" s="2" t="s">
        <v>9</v>
      </c>
      <c r="H161" s="6">
        <f>VLOOKUP(B161,'[1]Tồn Acrilic  T10'!C$6:F$346,4,0)</f>
        <v>0</v>
      </c>
    </row>
    <row r="162" spans="1:8" ht="15.6" x14ac:dyDescent="0.3">
      <c r="A162" s="2">
        <v>159</v>
      </c>
      <c r="B162" s="2" t="s">
        <v>329</v>
      </c>
      <c r="C162" s="2" t="s">
        <v>330</v>
      </c>
      <c r="D162" s="6"/>
      <c r="E162" s="6"/>
      <c r="F162" s="2" t="s">
        <v>15</v>
      </c>
      <c r="G162" s="2" t="s">
        <v>9</v>
      </c>
      <c r="H162" s="6">
        <v>0</v>
      </c>
    </row>
    <row r="163" spans="1:8" ht="15.6" x14ac:dyDescent="0.3">
      <c r="A163" s="2">
        <v>160</v>
      </c>
      <c r="B163" s="2" t="s">
        <v>331</v>
      </c>
      <c r="C163" s="2" t="s">
        <v>332</v>
      </c>
      <c r="D163" s="6"/>
      <c r="E163" s="6"/>
      <c r="F163" s="2" t="s">
        <v>18</v>
      </c>
      <c r="G163" s="2" t="s">
        <v>9</v>
      </c>
      <c r="H163" s="6">
        <v>0</v>
      </c>
    </row>
    <row r="164" spans="1:8" ht="15.6" x14ac:dyDescent="0.3">
      <c r="A164" s="2">
        <v>161</v>
      </c>
      <c r="B164" s="2" t="s">
        <v>333</v>
      </c>
      <c r="C164" s="2" t="s">
        <v>334</v>
      </c>
      <c r="D164" s="6"/>
      <c r="E164" s="6"/>
      <c r="F164" s="2" t="s">
        <v>21</v>
      </c>
      <c r="G164" s="2" t="s">
        <v>9</v>
      </c>
      <c r="H164" s="6">
        <f>VLOOKUP(B164,'[1]Tồn Acrilic  T10'!C$6:F$346,4,0)</f>
        <v>9</v>
      </c>
    </row>
    <row r="165" spans="1:8" ht="15.6" x14ac:dyDescent="0.3">
      <c r="A165" s="2">
        <v>162</v>
      </c>
      <c r="B165" s="2" t="s">
        <v>335</v>
      </c>
      <c r="C165" s="2" t="s">
        <v>336</v>
      </c>
      <c r="D165" s="6"/>
      <c r="E165" s="6"/>
      <c r="F165" s="2" t="s">
        <v>24</v>
      </c>
      <c r="G165" s="2" t="s">
        <v>9</v>
      </c>
      <c r="H165" s="6">
        <v>0</v>
      </c>
    </row>
    <row r="166" spans="1:8" ht="15.6" x14ac:dyDescent="0.3">
      <c r="A166" s="2">
        <v>163</v>
      </c>
      <c r="B166" s="2" t="s">
        <v>337</v>
      </c>
      <c r="C166" s="2" t="s">
        <v>338</v>
      </c>
      <c r="D166" s="6" t="str">
        <f>VLOOKUP(B166,'[1]Tồn Acrilic  T10 .nháp'!C$6:E$115,2,0)</f>
        <v>High Gloss Acrylic sheet, Light pearl iron, ASA-20204-Z, GV123</v>
      </c>
      <c r="E166" s="6" t="str">
        <f>VLOOKUP(B166,'[1]Tồn Acrilic  T10 .nháp'!C$6:E$115,3,0)</f>
        <v>China</v>
      </c>
      <c r="F166" s="2" t="s">
        <v>8</v>
      </c>
      <c r="G166" s="2" t="s">
        <v>9</v>
      </c>
      <c r="H166" s="6">
        <f>VLOOKUP(B166,'[1]Tồn Acrilic  T10'!C$6:F$346,4,0)</f>
        <v>428</v>
      </c>
    </row>
    <row r="167" spans="1:8" ht="15.6" x14ac:dyDescent="0.3">
      <c r="A167" s="2">
        <v>164</v>
      </c>
      <c r="B167" s="2" t="s">
        <v>339</v>
      </c>
      <c r="C167" s="2" t="s">
        <v>340</v>
      </c>
      <c r="D167" s="6"/>
      <c r="E167" s="6"/>
      <c r="F167" s="2" t="s">
        <v>12</v>
      </c>
      <c r="G167" s="2" t="s">
        <v>9</v>
      </c>
      <c r="H167" s="6">
        <f>VLOOKUP(B167,'[1]Tồn Acrilic  T10'!C$6:F$346,4,0)</f>
        <v>0</v>
      </c>
    </row>
    <row r="168" spans="1:8" ht="15.6" x14ac:dyDescent="0.3">
      <c r="A168" s="2">
        <v>165</v>
      </c>
      <c r="B168" s="2" t="s">
        <v>341</v>
      </c>
      <c r="C168" s="2" t="s">
        <v>342</v>
      </c>
      <c r="D168" s="6"/>
      <c r="E168" s="6"/>
      <c r="F168" s="2" t="s">
        <v>15</v>
      </c>
      <c r="G168" s="2" t="s">
        <v>9</v>
      </c>
      <c r="H168" s="6">
        <v>0</v>
      </c>
    </row>
    <row r="169" spans="1:8" ht="15.6" x14ac:dyDescent="0.3">
      <c r="A169" s="2">
        <v>166</v>
      </c>
      <c r="B169" s="2" t="s">
        <v>343</v>
      </c>
      <c r="C169" s="2" t="s">
        <v>344</v>
      </c>
      <c r="D169" s="6"/>
      <c r="E169" s="6"/>
      <c r="F169" s="2" t="s">
        <v>18</v>
      </c>
      <c r="G169" s="2" t="s">
        <v>9</v>
      </c>
      <c r="H169" s="6">
        <v>0</v>
      </c>
    </row>
    <row r="170" spans="1:8" ht="15.6" x14ac:dyDescent="0.3">
      <c r="A170" s="2">
        <v>167</v>
      </c>
      <c r="B170" s="2" t="s">
        <v>345</v>
      </c>
      <c r="C170" s="2" t="s">
        <v>346</v>
      </c>
      <c r="D170" s="6"/>
      <c r="E170" s="6"/>
      <c r="F170" s="2" t="s">
        <v>21</v>
      </c>
      <c r="G170" s="2" t="s">
        <v>9</v>
      </c>
      <c r="H170" s="6">
        <f>VLOOKUP(B170,'[1]Tồn Acrilic  T10'!C$6:F$346,4,0)</f>
        <v>3</v>
      </c>
    </row>
    <row r="171" spans="1:8" ht="15.6" x14ac:dyDescent="0.3">
      <c r="A171" s="2">
        <v>168</v>
      </c>
      <c r="B171" s="2" t="s">
        <v>347</v>
      </c>
      <c r="C171" s="2" t="s">
        <v>348</v>
      </c>
      <c r="D171" s="6"/>
      <c r="E171" s="6"/>
      <c r="F171" s="2" t="s">
        <v>24</v>
      </c>
      <c r="G171" s="2" t="s">
        <v>9</v>
      </c>
      <c r="H171" s="6">
        <v>0</v>
      </c>
    </row>
    <row r="172" spans="1:8" ht="15.6" x14ac:dyDescent="0.3">
      <c r="A172" s="2">
        <v>169</v>
      </c>
      <c r="B172" s="2" t="s">
        <v>349</v>
      </c>
      <c r="C172" s="2" t="s">
        <v>350</v>
      </c>
      <c r="D172" s="6" t="str">
        <f>VLOOKUP(B172,'[1]Tồn Acrilic  T10 .nháp'!C$6:E$115,2,0)</f>
        <v>High Gloss Acrylic sheet, Purple pearl metallic, ASA-20208-81Z, GV124</v>
      </c>
      <c r="E172" s="6" t="str">
        <f>VLOOKUP(B172,'[1]Tồn Acrilic  T10 .nháp'!C$6:E$115,3,0)</f>
        <v>China</v>
      </c>
      <c r="F172" s="2" t="s">
        <v>8</v>
      </c>
      <c r="G172" s="2" t="s">
        <v>9</v>
      </c>
      <c r="H172" s="6">
        <f>VLOOKUP(B172,'[1]Tồn Acrilic  T10'!C$6:F$346,4,0)</f>
        <v>179</v>
      </c>
    </row>
    <row r="173" spans="1:8" ht="15.6" x14ac:dyDescent="0.3">
      <c r="A173" s="2">
        <v>170</v>
      </c>
      <c r="B173" s="2" t="s">
        <v>351</v>
      </c>
      <c r="C173" s="2" t="s">
        <v>352</v>
      </c>
      <c r="D173" s="6"/>
      <c r="E173" s="6"/>
      <c r="F173" s="2" t="s">
        <v>12</v>
      </c>
      <c r="G173" s="2" t="s">
        <v>9</v>
      </c>
      <c r="H173" s="6">
        <f>VLOOKUP(B173,'[1]Tồn Acrilic  T10'!C$6:F$346,4,0)</f>
        <v>0</v>
      </c>
    </row>
    <row r="174" spans="1:8" ht="15.6" x14ac:dyDescent="0.3">
      <c r="A174" s="2">
        <v>171</v>
      </c>
      <c r="B174" s="2" t="s">
        <v>353</v>
      </c>
      <c r="C174" s="2" t="s">
        <v>354</v>
      </c>
      <c r="D174" s="6"/>
      <c r="E174" s="6"/>
      <c r="F174" s="2" t="s">
        <v>15</v>
      </c>
      <c r="G174" s="2" t="s">
        <v>9</v>
      </c>
      <c r="H174" s="6">
        <v>0</v>
      </c>
    </row>
    <row r="175" spans="1:8" ht="15.6" x14ac:dyDescent="0.3">
      <c r="A175" s="2">
        <v>172</v>
      </c>
      <c r="B175" s="2" t="s">
        <v>355</v>
      </c>
      <c r="C175" s="2" t="s">
        <v>356</v>
      </c>
      <c r="D175" s="6"/>
      <c r="E175" s="6"/>
      <c r="F175" s="2" t="s">
        <v>18</v>
      </c>
      <c r="G175" s="2" t="s">
        <v>9</v>
      </c>
      <c r="H175" s="6">
        <v>0</v>
      </c>
    </row>
    <row r="176" spans="1:8" ht="15.6" x14ac:dyDescent="0.3">
      <c r="A176" s="2">
        <v>173</v>
      </c>
      <c r="B176" s="2" t="s">
        <v>357</v>
      </c>
      <c r="C176" s="2" t="s">
        <v>358</v>
      </c>
      <c r="D176" s="6"/>
      <c r="E176" s="6"/>
      <c r="F176" s="2" t="s">
        <v>21</v>
      </c>
      <c r="G176" s="2" t="s">
        <v>9</v>
      </c>
      <c r="H176" s="6">
        <f>VLOOKUP(B176,'[1]Tồn Acrilic  T10'!C$6:F$346,4,0)</f>
        <v>11</v>
      </c>
    </row>
    <row r="177" spans="1:8" ht="15.6" x14ac:dyDescent="0.3">
      <c r="A177" s="2">
        <v>174</v>
      </c>
      <c r="B177" s="2" t="s">
        <v>359</v>
      </c>
      <c r="C177" s="2" t="s">
        <v>360</v>
      </c>
      <c r="D177" s="6"/>
      <c r="E177" s="6"/>
      <c r="F177" s="2" t="s">
        <v>24</v>
      </c>
      <c r="G177" s="2" t="s">
        <v>9</v>
      </c>
      <c r="H177" s="6">
        <v>0</v>
      </c>
    </row>
    <row r="178" spans="1:8" ht="15.6" x14ac:dyDescent="0.3">
      <c r="A178" s="2">
        <v>175</v>
      </c>
      <c r="B178" s="2" t="s">
        <v>361</v>
      </c>
      <c r="C178" s="2" t="s">
        <v>362</v>
      </c>
      <c r="D178" s="6" t="str">
        <f>VLOOKUP(B178,'[1]Tồn Acrilic  T10 .nháp'!C$6:E$115,2,0)</f>
        <v>High Gloss Acrylic sheet, Silver iron metallic, ASA-20212-Z, GV125</v>
      </c>
      <c r="E178" s="6" t="str">
        <f>VLOOKUP(B178,'[1]Tồn Acrilic  T10 .nháp'!C$6:E$115,3,0)</f>
        <v>China</v>
      </c>
      <c r="F178" s="2" t="s">
        <v>8</v>
      </c>
      <c r="G178" s="2" t="s">
        <v>9</v>
      </c>
      <c r="H178" s="6">
        <f>VLOOKUP(B178,'[1]Tồn Acrilic  T10'!C$6:F$346,4,0)</f>
        <v>279</v>
      </c>
    </row>
    <row r="179" spans="1:8" ht="15.6" x14ac:dyDescent="0.3">
      <c r="A179" s="2">
        <v>176</v>
      </c>
      <c r="B179" s="2" t="s">
        <v>363</v>
      </c>
      <c r="C179" s="2" t="s">
        <v>364</v>
      </c>
      <c r="D179" s="6"/>
      <c r="E179" s="6"/>
      <c r="F179" s="2" t="s">
        <v>12</v>
      </c>
      <c r="G179" s="2" t="s">
        <v>9</v>
      </c>
      <c r="H179" s="6">
        <f>VLOOKUP(B179,'[1]Tồn Acrilic  T10'!C$6:F$346,4,0)</f>
        <v>0</v>
      </c>
    </row>
    <row r="180" spans="1:8" ht="15.6" x14ac:dyDescent="0.3">
      <c r="A180" s="2">
        <v>177</v>
      </c>
      <c r="B180" s="2" t="s">
        <v>365</v>
      </c>
      <c r="C180" s="2" t="s">
        <v>366</v>
      </c>
      <c r="D180" s="6"/>
      <c r="E180" s="6"/>
      <c r="F180" s="2" t="s">
        <v>15</v>
      </c>
      <c r="G180" s="2" t="s">
        <v>9</v>
      </c>
      <c r="H180" s="6">
        <v>0</v>
      </c>
    </row>
    <row r="181" spans="1:8" ht="15.6" x14ac:dyDescent="0.3">
      <c r="A181" s="2">
        <v>178</v>
      </c>
      <c r="B181" s="2" t="s">
        <v>367</v>
      </c>
      <c r="C181" s="2" t="s">
        <v>368</v>
      </c>
      <c r="D181" s="6"/>
      <c r="E181" s="6"/>
      <c r="F181" s="2" t="s">
        <v>18</v>
      </c>
      <c r="G181" s="2" t="s">
        <v>9</v>
      </c>
      <c r="H181" s="6">
        <v>0</v>
      </c>
    </row>
    <row r="182" spans="1:8" ht="15.6" x14ac:dyDescent="0.3">
      <c r="A182" s="2">
        <v>179</v>
      </c>
      <c r="B182" s="2" t="s">
        <v>369</v>
      </c>
      <c r="C182" s="2" t="s">
        <v>370</v>
      </c>
      <c r="D182" s="6"/>
      <c r="E182" s="6"/>
      <c r="F182" s="2" t="s">
        <v>21</v>
      </c>
      <c r="G182" s="2" t="s">
        <v>9</v>
      </c>
      <c r="H182" s="6">
        <f>VLOOKUP(B182,'[1]Tồn Acrilic  T10'!C$6:F$346,4,0)</f>
        <v>7</v>
      </c>
    </row>
    <row r="183" spans="1:8" ht="15.6" x14ac:dyDescent="0.3">
      <c r="A183" s="2">
        <v>180</v>
      </c>
      <c r="B183" s="2" t="s">
        <v>371</v>
      </c>
      <c r="C183" s="2" t="s">
        <v>372</v>
      </c>
      <c r="D183" s="6"/>
      <c r="E183" s="6"/>
      <c r="F183" s="2" t="s">
        <v>24</v>
      </c>
      <c r="G183" s="2" t="s">
        <v>9</v>
      </c>
      <c r="H183" s="6">
        <v>0</v>
      </c>
    </row>
    <row r="184" spans="1:8" ht="15.6" x14ac:dyDescent="0.3">
      <c r="A184" s="2">
        <v>181</v>
      </c>
      <c r="B184" s="2" t="s">
        <v>373</v>
      </c>
      <c r="C184" s="2" t="s">
        <v>374</v>
      </c>
      <c r="D184" s="6" t="str">
        <f>VLOOKUP(B184,'[1]Tồn Acrilic  T10 .nháp'!C$6:E$115,2,0)</f>
        <v>High Gloss Acrylic sheet, Grey, ASA-20109-L, GV126</v>
      </c>
      <c r="E184" s="6" t="str">
        <f>VLOOKUP(B184,'[1]Tồn Acrilic  T10 .nháp'!C$6:E$115,3,0)</f>
        <v>China</v>
      </c>
      <c r="F184" s="2" t="s">
        <v>8</v>
      </c>
      <c r="G184" s="2" t="s">
        <v>9</v>
      </c>
      <c r="H184" s="6">
        <f>VLOOKUP(B184,'[1]Tồn Acrilic  T10'!C$6:F$346,4,0)</f>
        <v>251</v>
      </c>
    </row>
    <row r="185" spans="1:8" ht="15.6" x14ac:dyDescent="0.3">
      <c r="A185" s="2">
        <v>182</v>
      </c>
      <c r="B185" s="2" t="s">
        <v>375</v>
      </c>
      <c r="C185" s="2" t="s">
        <v>376</v>
      </c>
      <c r="D185" s="6"/>
      <c r="E185" s="6"/>
      <c r="F185" s="2" t="s">
        <v>12</v>
      </c>
      <c r="G185" s="2" t="s">
        <v>9</v>
      </c>
      <c r="H185" s="6">
        <f>VLOOKUP(B185,'[1]Tồn Acrilic  T10'!C$6:F$346,4,0)</f>
        <v>0</v>
      </c>
    </row>
    <row r="186" spans="1:8" ht="15.6" x14ac:dyDescent="0.3">
      <c r="A186" s="2">
        <v>183</v>
      </c>
      <c r="B186" s="2" t="s">
        <v>377</v>
      </c>
      <c r="C186" s="2" t="s">
        <v>378</v>
      </c>
      <c r="D186" s="6"/>
      <c r="E186" s="6"/>
      <c r="F186" s="2" t="s">
        <v>15</v>
      </c>
      <c r="G186" s="2" t="s">
        <v>9</v>
      </c>
      <c r="H186" s="6">
        <v>0</v>
      </c>
    </row>
    <row r="187" spans="1:8" ht="15.6" x14ac:dyDescent="0.3">
      <c r="A187" s="2">
        <v>184</v>
      </c>
      <c r="B187" s="2" t="s">
        <v>379</v>
      </c>
      <c r="C187" s="2" t="s">
        <v>380</v>
      </c>
      <c r="D187" s="6"/>
      <c r="E187" s="6"/>
      <c r="F187" s="2" t="s">
        <v>18</v>
      </c>
      <c r="G187" s="2" t="s">
        <v>9</v>
      </c>
      <c r="H187" s="6">
        <v>0</v>
      </c>
    </row>
    <row r="188" spans="1:8" ht="15.6" x14ac:dyDescent="0.3">
      <c r="A188" s="2">
        <v>185</v>
      </c>
      <c r="B188" s="2" t="s">
        <v>381</v>
      </c>
      <c r="C188" s="2" t="s">
        <v>382</v>
      </c>
      <c r="D188" s="6"/>
      <c r="E188" s="6"/>
      <c r="F188" s="2" t="s">
        <v>21</v>
      </c>
      <c r="G188" s="2" t="s">
        <v>9</v>
      </c>
      <c r="H188" s="6">
        <f>VLOOKUP(B188,'[1]Tồn Acrilic  T10'!C$6:F$346,4,0)</f>
        <v>12</v>
      </c>
    </row>
    <row r="189" spans="1:8" ht="15.6" x14ac:dyDescent="0.3">
      <c r="A189" s="2">
        <v>186</v>
      </c>
      <c r="B189" s="2" t="s">
        <v>383</v>
      </c>
      <c r="C189" s="2" t="s">
        <v>384</v>
      </c>
      <c r="D189" s="6"/>
      <c r="E189" s="6"/>
      <c r="F189" s="2" t="s">
        <v>24</v>
      </c>
      <c r="G189" s="2" t="s">
        <v>9</v>
      </c>
      <c r="H189" s="6">
        <v>0</v>
      </c>
    </row>
    <row r="190" spans="1:8" ht="15.6" x14ac:dyDescent="0.3">
      <c r="A190" s="2">
        <v>187</v>
      </c>
      <c r="B190" s="2" t="s">
        <v>385</v>
      </c>
      <c r="C190" s="2" t="s">
        <v>386</v>
      </c>
      <c r="D190" s="6" t="str">
        <f>VLOOKUP(B190,'[1]Tồn Acrilic  T10 .nháp'!C$6:E$115,2,0)</f>
        <v>High Gloss Acrylic sheet, Dark grey, ASA-20110-L,GV127</v>
      </c>
      <c r="E190" s="6" t="str">
        <f>VLOOKUP(B190,'[1]Tồn Acrilic  T10 .nháp'!C$6:E$115,3,0)</f>
        <v>China</v>
      </c>
      <c r="F190" s="2" t="s">
        <v>8</v>
      </c>
      <c r="G190" s="2" t="s">
        <v>9</v>
      </c>
      <c r="H190" s="6">
        <f>VLOOKUP(B190,'[1]Tồn Acrilic  T10'!C$6:F$346,4,0)</f>
        <v>121</v>
      </c>
    </row>
    <row r="191" spans="1:8" ht="15.6" x14ac:dyDescent="0.3">
      <c r="A191" s="2">
        <v>188</v>
      </c>
      <c r="B191" s="2" t="s">
        <v>387</v>
      </c>
      <c r="C191" s="2" t="s">
        <v>388</v>
      </c>
      <c r="D191" s="6"/>
      <c r="E191" s="6"/>
      <c r="F191" s="2" t="s">
        <v>12</v>
      </c>
      <c r="G191" s="2" t="s">
        <v>9</v>
      </c>
      <c r="H191" s="6">
        <f>VLOOKUP(B191,'[1]Tồn Acrilic  T10'!C$6:F$346,4,0)</f>
        <v>0</v>
      </c>
    </row>
    <row r="192" spans="1:8" ht="15.6" x14ac:dyDescent="0.3">
      <c r="A192" s="2">
        <v>189</v>
      </c>
      <c r="B192" s="2" t="s">
        <v>389</v>
      </c>
      <c r="C192" s="2" t="s">
        <v>390</v>
      </c>
      <c r="D192" s="6"/>
      <c r="E192" s="6"/>
      <c r="F192" s="2" t="s">
        <v>15</v>
      </c>
      <c r="G192" s="2" t="s">
        <v>9</v>
      </c>
      <c r="H192" s="6">
        <v>0</v>
      </c>
    </row>
    <row r="193" spans="1:8" ht="15.6" x14ac:dyDescent="0.3">
      <c r="A193" s="2">
        <v>190</v>
      </c>
      <c r="B193" s="2" t="s">
        <v>391</v>
      </c>
      <c r="C193" s="2" t="s">
        <v>392</v>
      </c>
      <c r="D193" s="6"/>
      <c r="E193" s="6"/>
      <c r="F193" s="2" t="s">
        <v>18</v>
      </c>
      <c r="G193" s="2" t="s">
        <v>9</v>
      </c>
      <c r="H193" s="6">
        <v>0</v>
      </c>
    </row>
    <row r="194" spans="1:8" ht="15.6" x14ac:dyDescent="0.3">
      <c r="A194" s="2">
        <v>191</v>
      </c>
      <c r="B194" s="2" t="s">
        <v>393</v>
      </c>
      <c r="C194" s="2" t="s">
        <v>394</v>
      </c>
      <c r="D194" s="6"/>
      <c r="E194" s="6"/>
      <c r="F194" s="2" t="s">
        <v>21</v>
      </c>
      <c r="G194" s="2" t="s">
        <v>9</v>
      </c>
      <c r="H194" s="6">
        <f>VLOOKUP(B194,'[1]Tồn Acrilic  T10'!C$6:F$346,4,0)</f>
        <v>5</v>
      </c>
    </row>
    <row r="195" spans="1:8" ht="15.6" x14ac:dyDescent="0.3">
      <c r="A195" s="2">
        <v>192</v>
      </c>
      <c r="B195" s="2" t="s">
        <v>395</v>
      </c>
      <c r="C195" s="2" t="s">
        <v>396</v>
      </c>
      <c r="D195" s="6"/>
      <c r="E195" s="6"/>
      <c r="F195" s="2" t="s">
        <v>24</v>
      </c>
      <c r="G195" s="2" t="s">
        <v>9</v>
      </c>
      <c r="H195" s="6">
        <v>0</v>
      </c>
    </row>
    <row r="196" spans="1:8" ht="15.6" x14ac:dyDescent="0.3">
      <c r="A196" s="2">
        <v>193</v>
      </c>
      <c r="B196" s="2" t="s">
        <v>397</v>
      </c>
      <c r="C196" s="2" t="s">
        <v>398</v>
      </c>
      <c r="D196" s="6" t="str">
        <f>VLOOKUP(B196,'[1]Tồn Acrilic  T10 .nháp'!C$6:E$115,2,0)</f>
        <v>High Gloss Acrylic sheet, Silver metallic, ASA-20211-Z,GV128</v>
      </c>
      <c r="E196" s="6" t="str">
        <f>VLOOKUP(B196,'[1]Tồn Acrilic  T10 .nháp'!C$6:E$115,3,0)</f>
        <v>China</v>
      </c>
      <c r="F196" s="2" t="s">
        <v>8</v>
      </c>
      <c r="G196" s="2" t="s">
        <v>9</v>
      </c>
      <c r="H196" s="6">
        <f>VLOOKUP(B196,'[1]Tồn Acrilic  T10'!C$6:F$346,4,0)</f>
        <v>173</v>
      </c>
    </row>
    <row r="197" spans="1:8" ht="15.6" x14ac:dyDescent="0.3">
      <c r="A197" s="2">
        <v>194</v>
      </c>
      <c r="B197" s="2" t="s">
        <v>399</v>
      </c>
      <c r="C197" s="2" t="s">
        <v>400</v>
      </c>
      <c r="D197" s="6"/>
      <c r="E197" s="6"/>
      <c r="F197" s="2" t="s">
        <v>12</v>
      </c>
      <c r="G197" s="2" t="s">
        <v>9</v>
      </c>
      <c r="H197" s="6">
        <f>VLOOKUP(B197,'[1]Tồn Acrilic  T10'!C$6:F$346,4,0)</f>
        <v>0</v>
      </c>
    </row>
    <row r="198" spans="1:8" ht="15.6" x14ac:dyDescent="0.3">
      <c r="A198" s="2">
        <v>195</v>
      </c>
      <c r="B198" s="2" t="s">
        <v>401</v>
      </c>
      <c r="C198" s="2" t="s">
        <v>402</v>
      </c>
      <c r="D198" s="6"/>
      <c r="E198" s="6"/>
      <c r="F198" s="2" t="s">
        <v>15</v>
      </c>
      <c r="G198" s="2" t="s">
        <v>9</v>
      </c>
      <c r="H198" s="6">
        <v>0</v>
      </c>
    </row>
    <row r="199" spans="1:8" ht="15.6" x14ac:dyDescent="0.3">
      <c r="A199" s="2">
        <v>196</v>
      </c>
      <c r="B199" s="2" t="s">
        <v>403</v>
      </c>
      <c r="C199" s="2" t="s">
        <v>404</v>
      </c>
      <c r="D199" s="6"/>
      <c r="E199" s="6"/>
      <c r="F199" s="2" t="s">
        <v>18</v>
      </c>
      <c r="G199" s="2" t="s">
        <v>9</v>
      </c>
      <c r="H199" s="6">
        <v>0</v>
      </c>
    </row>
    <row r="200" spans="1:8" ht="15.6" x14ac:dyDescent="0.3">
      <c r="A200" s="2">
        <v>197</v>
      </c>
      <c r="B200" s="2" t="s">
        <v>405</v>
      </c>
      <c r="C200" s="2" t="s">
        <v>406</v>
      </c>
      <c r="D200" s="6"/>
      <c r="E200" s="6"/>
      <c r="F200" s="2" t="s">
        <v>21</v>
      </c>
      <c r="G200" s="2" t="s">
        <v>9</v>
      </c>
      <c r="H200" s="6">
        <f>VLOOKUP(B200,'[1]Tồn Acrilic  T10'!C$6:F$346,4,0)</f>
        <v>5</v>
      </c>
    </row>
    <row r="201" spans="1:8" ht="15.6" x14ac:dyDescent="0.3">
      <c r="A201" s="2">
        <v>198</v>
      </c>
      <c r="B201" s="2" t="s">
        <v>407</v>
      </c>
      <c r="C201" s="2" t="s">
        <v>408</v>
      </c>
      <c r="D201" s="6"/>
      <c r="E201" s="6"/>
      <c r="F201" s="2" t="s">
        <v>24</v>
      </c>
      <c r="G201" s="2" t="s">
        <v>9</v>
      </c>
      <c r="H201" s="6">
        <v>0</v>
      </c>
    </row>
    <row r="202" spans="1:8" ht="15.6" x14ac:dyDescent="0.3">
      <c r="A202" s="2">
        <v>199</v>
      </c>
      <c r="B202" s="2" t="s">
        <v>409</v>
      </c>
      <c r="C202" s="2" t="s">
        <v>410</v>
      </c>
      <c r="D202" s="6" t="str">
        <f>VLOOKUP(B202,'[1]Tồn Acrilic  T10 .nháp'!C$6:E$115,2,0)</f>
        <v>High Gloss Acrylic sheet, Gold iron, ASA-20206-Z, GV129</v>
      </c>
      <c r="E202" s="6" t="str">
        <f>VLOOKUP(B202,'[1]Tồn Acrilic  T10 .nháp'!C$6:E$115,3,0)</f>
        <v>China</v>
      </c>
      <c r="F202" s="2" t="s">
        <v>8</v>
      </c>
      <c r="G202" s="2" t="s">
        <v>9</v>
      </c>
      <c r="H202" s="6">
        <f>VLOOKUP(B202,'[1]Tồn Acrilic  T10'!C$6:F$346,4,0)</f>
        <v>176</v>
      </c>
    </row>
    <row r="203" spans="1:8" ht="15.6" x14ac:dyDescent="0.3">
      <c r="A203" s="2">
        <v>200</v>
      </c>
      <c r="B203" s="2" t="s">
        <v>411</v>
      </c>
      <c r="C203" s="2" t="s">
        <v>412</v>
      </c>
      <c r="D203" s="6"/>
      <c r="E203" s="6"/>
      <c r="F203" s="2" t="s">
        <v>12</v>
      </c>
      <c r="G203" s="2" t="s">
        <v>9</v>
      </c>
      <c r="H203" s="6">
        <f>VLOOKUP(B203,'[1]Tồn Acrilic  T10'!C$6:F$346,4,0)</f>
        <v>0</v>
      </c>
    </row>
    <row r="204" spans="1:8" ht="15.6" x14ac:dyDescent="0.3">
      <c r="A204" s="2">
        <v>201</v>
      </c>
      <c r="B204" s="2" t="s">
        <v>413</v>
      </c>
      <c r="C204" s="2" t="s">
        <v>414</v>
      </c>
      <c r="D204" s="6"/>
      <c r="E204" s="6"/>
      <c r="F204" s="2" t="s">
        <v>15</v>
      </c>
      <c r="G204" s="2" t="s">
        <v>9</v>
      </c>
      <c r="H204" s="6">
        <v>0</v>
      </c>
    </row>
    <row r="205" spans="1:8" ht="15.6" x14ac:dyDescent="0.3">
      <c r="A205" s="2">
        <v>202</v>
      </c>
      <c r="B205" s="2" t="s">
        <v>415</v>
      </c>
      <c r="C205" s="2" t="s">
        <v>416</v>
      </c>
      <c r="D205" s="6"/>
      <c r="E205" s="6"/>
      <c r="F205" s="2" t="s">
        <v>18</v>
      </c>
      <c r="G205" s="2" t="s">
        <v>9</v>
      </c>
      <c r="H205" s="6">
        <v>0</v>
      </c>
    </row>
    <row r="206" spans="1:8" ht="15.6" x14ac:dyDescent="0.3">
      <c r="A206" s="2">
        <v>203</v>
      </c>
      <c r="B206" s="2" t="s">
        <v>417</v>
      </c>
      <c r="C206" s="2" t="s">
        <v>418</v>
      </c>
      <c r="D206" s="6"/>
      <c r="E206" s="6"/>
      <c r="F206" s="2" t="s">
        <v>21</v>
      </c>
      <c r="G206" s="2" t="s">
        <v>9</v>
      </c>
      <c r="H206" s="6">
        <f>VLOOKUP(B206,'[1]Tồn Acrilic  T10'!C$6:F$346,4,0)</f>
        <v>7</v>
      </c>
    </row>
    <row r="207" spans="1:8" ht="15.6" x14ac:dyDescent="0.3">
      <c r="A207" s="2">
        <v>204</v>
      </c>
      <c r="B207" s="2" t="s">
        <v>419</v>
      </c>
      <c r="C207" s="2" t="s">
        <v>420</v>
      </c>
      <c r="D207" s="6"/>
      <c r="E207" s="6"/>
      <c r="F207" s="2" t="s">
        <v>24</v>
      </c>
      <c r="G207" s="2" t="s">
        <v>9</v>
      </c>
      <c r="H207" s="6">
        <v>0</v>
      </c>
    </row>
    <row r="208" spans="1:8" ht="15.6" x14ac:dyDescent="0.3">
      <c r="A208" s="2">
        <v>205</v>
      </c>
      <c r="B208" s="2" t="s">
        <v>421</v>
      </c>
      <c r="C208" s="2" t="s">
        <v>422</v>
      </c>
      <c r="D208" s="6" t="str">
        <f>VLOOKUP(B208,'[1]Tồn Acrilic  T10 .nháp'!C$6:E$115,2,0)</f>
        <v>High Gloss Acrylic sheet, Brown, 99BR GV13</v>
      </c>
      <c r="E208" s="6" t="str">
        <f>VLOOKUP(B208,'[1]Tồn Acrilic  T10 .nháp'!C$6:E$115,3,0)</f>
        <v>Taiwan</v>
      </c>
      <c r="F208" s="2" t="s">
        <v>8</v>
      </c>
      <c r="G208" s="2" t="s">
        <v>9</v>
      </c>
      <c r="H208" s="6">
        <f>VLOOKUP(B208,'[1]Tồn Acrilic  T10'!C$6:F$346,4,0)</f>
        <v>94</v>
      </c>
    </row>
    <row r="209" spans="1:8" ht="15.6" x14ac:dyDescent="0.3">
      <c r="A209" s="2">
        <v>206</v>
      </c>
      <c r="B209" s="2" t="s">
        <v>423</v>
      </c>
      <c r="C209" s="2" t="s">
        <v>424</v>
      </c>
      <c r="D209" s="6"/>
      <c r="E209" s="6"/>
      <c r="F209" s="2" t="s">
        <v>12</v>
      </c>
      <c r="G209" s="2" t="s">
        <v>9</v>
      </c>
      <c r="H209" s="6">
        <f>VLOOKUP(B209,'[1]Tồn Acrilic  T10'!C$6:F$346,4,0)</f>
        <v>13</v>
      </c>
    </row>
    <row r="210" spans="1:8" ht="15.6" x14ac:dyDescent="0.3">
      <c r="A210" s="2">
        <v>207</v>
      </c>
      <c r="B210" s="2" t="s">
        <v>425</v>
      </c>
      <c r="C210" s="2" t="s">
        <v>426</v>
      </c>
      <c r="D210" s="6"/>
      <c r="E210" s="6"/>
      <c r="F210" s="2" t="s">
        <v>15</v>
      </c>
      <c r="G210" s="2" t="s">
        <v>9</v>
      </c>
      <c r="H210" s="6">
        <v>0</v>
      </c>
    </row>
    <row r="211" spans="1:8" ht="15.6" x14ac:dyDescent="0.3">
      <c r="A211" s="2">
        <v>208</v>
      </c>
      <c r="B211" s="2" t="s">
        <v>427</v>
      </c>
      <c r="C211" s="2" t="s">
        <v>428</v>
      </c>
      <c r="D211" s="6"/>
      <c r="E211" s="6"/>
      <c r="F211" s="2" t="s">
        <v>18</v>
      </c>
      <c r="G211" s="2" t="s">
        <v>9</v>
      </c>
      <c r="H211" s="6">
        <v>0</v>
      </c>
    </row>
    <row r="212" spans="1:8" ht="15.6" x14ac:dyDescent="0.3">
      <c r="A212" s="2">
        <v>209</v>
      </c>
      <c r="B212" s="2" t="s">
        <v>429</v>
      </c>
      <c r="C212" s="2" t="s">
        <v>430</v>
      </c>
      <c r="D212" s="6"/>
      <c r="E212" s="6"/>
      <c r="F212" s="2" t="s">
        <v>21</v>
      </c>
      <c r="G212" s="2" t="s">
        <v>9</v>
      </c>
      <c r="H212" s="6">
        <f>VLOOKUP(B212,'[1]Tồn Acrilic  T10'!C$6:F$346,4,0)</f>
        <v>6</v>
      </c>
    </row>
    <row r="213" spans="1:8" ht="15.6" x14ac:dyDescent="0.3">
      <c r="A213" s="2">
        <v>210</v>
      </c>
      <c r="B213" s="2" t="s">
        <v>431</v>
      </c>
      <c r="C213" s="2" t="s">
        <v>432</v>
      </c>
      <c r="D213" s="6"/>
      <c r="E213" s="6"/>
      <c r="F213" s="2" t="s">
        <v>24</v>
      </c>
      <c r="G213" s="2" t="s">
        <v>9</v>
      </c>
      <c r="H213" s="6">
        <v>0</v>
      </c>
    </row>
    <row r="214" spans="1:8" ht="15.6" x14ac:dyDescent="0.3">
      <c r="A214" s="2">
        <v>211</v>
      </c>
      <c r="B214" s="2" t="s">
        <v>433</v>
      </c>
      <c r="C214" s="2" t="s">
        <v>434</v>
      </c>
      <c r="D214" s="6" t="str">
        <f>VLOOKUP(B214,'[1]Tồn Acrilic  T10 .nháp'!C$6:E$115,2,0)</f>
        <v>High Gloss Acrylic sheet, Grey metallic, ASA-20214-Z,GV130</v>
      </c>
      <c r="E214" s="6" t="str">
        <f>VLOOKUP(B214,'[1]Tồn Acrilic  T10 .nháp'!C$6:E$115,3,0)</f>
        <v>China</v>
      </c>
      <c r="F214" s="2" t="s">
        <v>8</v>
      </c>
      <c r="G214" s="2" t="s">
        <v>9</v>
      </c>
      <c r="H214" s="6">
        <f>VLOOKUP(B214,'[1]Tồn Acrilic  T10'!C$6:F$346,4,0)</f>
        <v>163</v>
      </c>
    </row>
    <row r="215" spans="1:8" ht="15.6" x14ac:dyDescent="0.3">
      <c r="A215" s="2">
        <v>212</v>
      </c>
      <c r="B215" s="2" t="s">
        <v>435</v>
      </c>
      <c r="C215" s="2" t="s">
        <v>436</v>
      </c>
      <c r="D215" s="6"/>
      <c r="E215" s="6"/>
      <c r="F215" s="2" t="s">
        <v>12</v>
      </c>
      <c r="G215" s="2" t="s">
        <v>9</v>
      </c>
      <c r="H215" s="6">
        <f>VLOOKUP(B215,'[1]Tồn Acrilic  T10'!C$6:F$346,4,0)</f>
        <v>0</v>
      </c>
    </row>
    <row r="216" spans="1:8" ht="15.6" x14ac:dyDescent="0.3">
      <c r="A216" s="2">
        <v>213</v>
      </c>
      <c r="B216" s="2" t="s">
        <v>437</v>
      </c>
      <c r="C216" s="2" t="s">
        <v>438</v>
      </c>
      <c r="D216" s="6"/>
      <c r="E216" s="6"/>
      <c r="F216" s="2" t="s">
        <v>15</v>
      </c>
      <c r="G216" s="2" t="s">
        <v>9</v>
      </c>
      <c r="H216" s="6">
        <v>0</v>
      </c>
    </row>
    <row r="217" spans="1:8" ht="15.6" x14ac:dyDescent="0.3">
      <c r="A217" s="2">
        <v>214</v>
      </c>
      <c r="B217" s="2" t="s">
        <v>439</v>
      </c>
      <c r="C217" s="2" t="s">
        <v>440</v>
      </c>
      <c r="D217" s="6"/>
      <c r="E217" s="6"/>
      <c r="F217" s="2" t="s">
        <v>18</v>
      </c>
      <c r="G217" s="2" t="s">
        <v>9</v>
      </c>
      <c r="H217" s="6">
        <v>0</v>
      </c>
    </row>
    <row r="218" spans="1:8" ht="15.6" x14ac:dyDescent="0.3">
      <c r="A218" s="2">
        <v>215</v>
      </c>
      <c r="B218" s="2" t="s">
        <v>441</v>
      </c>
      <c r="C218" s="2" t="s">
        <v>442</v>
      </c>
      <c r="D218" s="6"/>
      <c r="E218" s="6"/>
      <c r="F218" s="2" t="s">
        <v>21</v>
      </c>
      <c r="G218" s="2" t="s">
        <v>9</v>
      </c>
      <c r="H218" s="6">
        <f>VLOOKUP(B218,'[1]Tồn Acrilic  T10'!C$6:F$346,4,0)</f>
        <v>7</v>
      </c>
    </row>
    <row r="219" spans="1:8" ht="15.6" x14ac:dyDescent="0.3">
      <c r="A219" s="2">
        <v>216</v>
      </c>
      <c r="B219" s="2" t="s">
        <v>443</v>
      </c>
      <c r="C219" s="2" t="s">
        <v>444</v>
      </c>
      <c r="D219" s="6"/>
      <c r="E219" s="6"/>
      <c r="F219" s="2" t="s">
        <v>24</v>
      </c>
      <c r="G219" s="2" t="s">
        <v>9</v>
      </c>
      <c r="H219" s="6">
        <v>0</v>
      </c>
    </row>
    <row r="220" spans="1:8" ht="15.6" x14ac:dyDescent="0.3">
      <c r="A220" s="2">
        <v>217</v>
      </c>
      <c r="B220" s="2" t="s">
        <v>445</v>
      </c>
      <c r="C220" s="2" t="s">
        <v>446</v>
      </c>
      <c r="D220" s="6" t="str">
        <f>VLOOKUP(B220,'[1]Tồn Acrilic  T10 .nháp'!C$6:E$115,2,0)</f>
        <v>High Gloss Acrylic sheet, Copper metallic, ASA-20217-Z, GV131</v>
      </c>
      <c r="E220" s="6" t="str">
        <f>VLOOKUP(B220,'[1]Tồn Acrilic  T10 .nháp'!C$6:E$115,3,0)</f>
        <v>China</v>
      </c>
      <c r="F220" s="2" t="s">
        <v>8</v>
      </c>
      <c r="G220" s="2" t="s">
        <v>9</v>
      </c>
      <c r="H220" s="6">
        <f>VLOOKUP(B220,'[1]Tồn Acrilic  T10'!C$6:F$346,4,0)</f>
        <v>178</v>
      </c>
    </row>
    <row r="221" spans="1:8" ht="15.6" x14ac:dyDescent="0.3">
      <c r="A221" s="2">
        <v>218</v>
      </c>
      <c r="B221" s="2" t="s">
        <v>447</v>
      </c>
      <c r="C221" s="2" t="s">
        <v>448</v>
      </c>
      <c r="D221" s="6"/>
      <c r="E221" s="6"/>
      <c r="F221" s="2" t="s">
        <v>12</v>
      </c>
      <c r="G221" s="2" t="s">
        <v>9</v>
      </c>
      <c r="H221" s="6">
        <f>VLOOKUP(B221,'[1]Tồn Acrilic  T10'!C$6:F$346,4,0)</f>
        <v>0</v>
      </c>
    </row>
    <row r="222" spans="1:8" ht="15.6" x14ac:dyDescent="0.3">
      <c r="A222" s="2">
        <v>219</v>
      </c>
      <c r="B222" s="2" t="s">
        <v>449</v>
      </c>
      <c r="C222" s="2" t="s">
        <v>450</v>
      </c>
      <c r="D222" s="6"/>
      <c r="E222" s="6"/>
      <c r="F222" s="2" t="s">
        <v>15</v>
      </c>
      <c r="G222" s="2" t="s">
        <v>9</v>
      </c>
      <c r="H222" s="6">
        <v>0</v>
      </c>
    </row>
    <row r="223" spans="1:8" ht="15.6" x14ac:dyDescent="0.3">
      <c r="A223" s="2">
        <v>220</v>
      </c>
      <c r="B223" s="2" t="s">
        <v>451</v>
      </c>
      <c r="C223" s="2" t="s">
        <v>452</v>
      </c>
      <c r="D223" s="6"/>
      <c r="E223" s="6"/>
      <c r="F223" s="2" t="s">
        <v>18</v>
      </c>
      <c r="G223" s="2" t="s">
        <v>9</v>
      </c>
      <c r="H223" s="6">
        <v>0</v>
      </c>
    </row>
    <row r="224" spans="1:8" ht="15.6" x14ac:dyDescent="0.3">
      <c r="A224" s="2">
        <v>221</v>
      </c>
      <c r="B224" s="2" t="s">
        <v>453</v>
      </c>
      <c r="C224" s="2" t="s">
        <v>454</v>
      </c>
      <c r="D224" s="6"/>
      <c r="E224" s="6"/>
      <c r="F224" s="2" t="s">
        <v>21</v>
      </c>
      <c r="G224" s="2" t="s">
        <v>9</v>
      </c>
      <c r="H224" s="6">
        <f>VLOOKUP(B224,'[1]Tồn Acrilic  T10'!C$6:F$346,4,0)</f>
        <v>8</v>
      </c>
    </row>
    <row r="225" spans="1:8" ht="15.6" x14ac:dyDescent="0.3">
      <c r="A225" s="2">
        <v>222</v>
      </c>
      <c r="B225" s="2" t="s">
        <v>455</v>
      </c>
      <c r="C225" s="2" t="s">
        <v>456</v>
      </c>
      <c r="D225" s="6"/>
      <c r="E225" s="6"/>
      <c r="F225" s="2" t="s">
        <v>24</v>
      </c>
      <c r="G225" s="2" t="s">
        <v>9</v>
      </c>
      <c r="H225" s="6">
        <v>0</v>
      </c>
    </row>
    <row r="226" spans="1:8" ht="15.6" x14ac:dyDescent="0.3">
      <c r="A226" s="2">
        <v>223</v>
      </c>
      <c r="B226" s="2" t="s">
        <v>457</v>
      </c>
      <c r="C226" s="2" t="s">
        <v>458</v>
      </c>
      <c r="D226" s="6" t="str">
        <f>VLOOKUP(B226,'[1]Tồn Acrilic  T10 .nháp'!C$6:E$115,2,0)</f>
        <v>High Gloss Acrylic sheet, Pearl iron metallic, ASA-20102-81L, GV132</v>
      </c>
      <c r="E226" s="6" t="str">
        <f>VLOOKUP(B226,'[1]Tồn Acrilic  T10 .nháp'!C$6:E$115,3,0)</f>
        <v>China</v>
      </c>
      <c r="F226" s="2" t="s">
        <v>8</v>
      </c>
      <c r="G226" s="2" t="s">
        <v>9</v>
      </c>
      <c r="H226" s="6">
        <f>VLOOKUP(B226,'[1]Tồn Acrilic  T10'!C$6:F$346,4,0)</f>
        <v>133</v>
      </c>
    </row>
    <row r="227" spans="1:8" ht="15.6" x14ac:dyDescent="0.3">
      <c r="A227" s="2">
        <v>224</v>
      </c>
      <c r="B227" s="2" t="s">
        <v>459</v>
      </c>
      <c r="C227" s="2" t="s">
        <v>460</v>
      </c>
      <c r="D227" s="6"/>
      <c r="E227" s="6"/>
      <c r="F227" s="2" t="s">
        <v>12</v>
      </c>
      <c r="G227" s="2" t="s">
        <v>9</v>
      </c>
      <c r="H227" s="6">
        <f>VLOOKUP(B227,'[1]Tồn Acrilic  T10'!C$6:F$346,4,0)</f>
        <v>0</v>
      </c>
    </row>
    <row r="228" spans="1:8" ht="15.6" x14ac:dyDescent="0.3">
      <c r="A228" s="2">
        <v>225</v>
      </c>
      <c r="B228" s="2" t="s">
        <v>461</v>
      </c>
      <c r="C228" s="2" t="s">
        <v>462</v>
      </c>
      <c r="D228" s="6"/>
      <c r="E228" s="6"/>
      <c r="F228" s="2" t="s">
        <v>15</v>
      </c>
      <c r="G228" s="2" t="s">
        <v>9</v>
      </c>
      <c r="H228" s="6">
        <v>0</v>
      </c>
    </row>
    <row r="229" spans="1:8" ht="15.6" x14ac:dyDescent="0.3">
      <c r="A229" s="2">
        <v>226</v>
      </c>
      <c r="B229" s="2" t="s">
        <v>463</v>
      </c>
      <c r="C229" s="2" t="s">
        <v>464</v>
      </c>
      <c r="D229" s="6"/>
      <c r="E229" s="6"/>
      <c r="F229" s="2" t="s">
        <v>18</v>
      </c>
      <c r="G229" s="2" t="s">
        <v>9</v>
      </c>
      <c r="H229" s="6">
        <v>0</v>
      </c>
    </row>
    <row r="230" spans="1:8" ht="15.6" x14ac:dyDescent="0.3">
      <c r="A230" s="2">
        <v>227</v>
      </c>
      <c r="B230" s="2" t="s">
        <v>465</v>
      </c>
      <c r="C230" s="2" t="s">
        <v>466</v>
      </c>
      <c r="D230" s="6"/>
      <c r="E230" s="6"/>
      <c r="F230" s="2" t="s">
        <v>21</v>
      </c>
      <c r="G230" s="2" t="s">
        <v>9</v>
      </c>
      <c r="H230" s="6">
        <f>VLOOKUP(B230,'[1]Tồn Acrilic  T10'!C$6:F$346,4,0)</f>
        <v>8</v>
      </c>
    </row>
    <row r="231" spans="1:8" ht="15.6" x14ac:dyDescent="0.3">
      <c r="A231" s="2">
        <v>228</v>
      </c>
      <c r="B231" s="2" t="s">
        <v>467</v>
      </c>
      <c r="C231" s="2" t="s">
        <v>468</v>
      </c>
      <c r="D231" s="6"/>
      <c r="E231" s="6"/>
      <c r="F231" s="2" t="s">
        <v>24</v>
      </c>
      <c r="G231" s="2" t="s">
        <v>9</v>
      </c>
      <c r="H231" s="6">
        <v>0</v>
      </c>
    </row>
    <row r="232" spans="1:8" ht="15.6" x14ac:dyDescent="0.3">
      <c r="A232" s="2">
        <v>229</v>
      </c>
      <c r="B232" s="2" t="s">
        <v>469</v>
      </c>
      <c r="C232" s="2" t="s">
        <v>470</v>
      </c>
      <c r="D232" s="6" t="str">
        <f>VLOOKUP(B232,'[1]Tồn Acrilic  T10 .nháp'!C$6:E$115,2,0)</f>
        <v>High Gloss Acrylic sheet, Light brown metallic, ASA-20107-82L, GV133</v>
      </c>
      <c r="E232" s="6" t="str">
        <f>VLOOKUP(B232,'[1]Tồn Acrilic  T10 .nháp'!C$6:E$115,3,0)</f>
        <v>China</v>
      </c>
      <c r="F232" s="2" t="s">
        <v>8</v>
      </c>
      <c r="G232" s="2" t="s">
        <v>9</v>
      </c>
      <c r="H232" s="6">
        <f>VLOOKUP(B232,'[1]Tồn Acrilic  T10'!C$6:F$346,4,0)</f>
        <v>203</v>
      </c>
    </row>
    <row r="233" spans="1:8" ht="15.6" x14ac:dyDescent="0.3">
      <c r="A233" s="2">
        <v>230</v>
      </c>
      <c r="B233" s="2" t="s">
        <v>471</v>
      </c>
      <c r="C233" s="2" t="s">
        <v>472</v>
      </c>
      <c r="D233" s="6"/>
      <c r="E233" s="6"/>
      <c r="F233" s="2" t="s">
        <v>12</v>
      </c>
      <c r="G233" s="2" t="s">
        <v>9</v>
      </c>
      <c r="H233" s="6">
        <f>VLOOKUP(B233,'[1]Tồn Acrilic  T10'!C$6:F$346,4,0)</f>
        <v>0</v>
      </c>
    </row>
    <row r="234" spans="1:8" ht="15.6" x14ac:dyDescent="0.3">
      <c r="A234" s="2">
        <v>231</v>
      </c>
      <c r="B234" s="2" t="s">
        <v>473</v>
      </c>
      <c r="C234" s="2" t="s">
        <v>474</v>
      </c>
      <c r="D234" s="6"/>
      <c r="E234" s="6"/>
      <c r="F234" s="2" t="s">
        <v>15</v>
      </c>
      <c r="G234" s="2" t="s">
        <v>9</v>
      </c>
      <c r="H234" s="6">
        <v>0</v>
      </c>
    </row>
    <row r="235" spans="1:8" ht="15.6" x14ac:dyDescent="0.3">
      <c r="A235" s="2">
        <v>232</v>
      </c>
      <c r="B235" s="2" t="s">
        <v>475</v>
      </c>
      <c r="C235" s="2" t="s">
        <v>476</v>
      </c>
      <c r="D235" s="6"/>
      <c r="E235" s="6"/>
      <c r="F235" s="2" t="s">
        <v>18</v>
      </c>
      <c r="G235" s="2" t="s">
        <v>9</v>
      </c>
      <c r="H235" s="6">
        <v>0</v>
      </c>
    </row>
    <row r="236" spans="1:8" ht="15.6" x14ac:dyDescent="0.3">
      <c r="A236" s="2">
        <v>233</v>
      </c>
      <c r="B236" s="2" t="s">
        <v>477</v>
      </c>
      <c r="C236" s="2" t="s">
        <v>478</v>
      </c>
      <c r="D236" s="6"/>
      <c r="E236" s="6"/>
      <c r="F236" s="2" t="s">
        <v>21</v>
      </c>
      <c r="G236" s="2" t="s">
        <v>9</v>
      </c>
      <c r="H236" s="6">
        <f>VLOOKUP(B236,'[1]Tồn Acrilic  T10'!C$6:F$346,4,0)</f>
        <v>6</v>
      </c>
    </row>
    <row r="237" spans="1:8" ht="15.6" x14ac:dyDescent="0.3">
      <c r="A237" s="2">
        <v>234</v>
      </c>
      <c r="B237" s="2" t="s">
        <v>479</v>
      </c>
      <c r="C237" s="2" t="s">
        <v>480</v>
      </c>
      <c r="D237" s="6"/>
      <c r="E237" s="6"/>
      <c r="F237" s="2" t="s">
        <v>24</v>
      </c>
      <c r="G237" s="2" t="s">
        <v>9</v>
      </c>
      <c r="H237" s="6">
        <v>0</v>
      </c>
    </row>
    <row r="238" spans="1:8" ht="15.6" x14ac:dyDescent="0.3">
      <c r="A238" s="2">
        <v>235</v>
      </c>
      <c r="B238" s="2" t="s">
        <v>481</v>
      </c>
      <c r="C238" s="2" t="s">
        <v>482</v>
      </c>
      <c r="D238" s="6" t="str">
        <f>VLOOKUP(B238,'[1]Tồn Acrilic  T10 .nháp'!C$6:E$115,2,0)</f>
        <v>High Gloss Acrylic sheet, Navy blue metallic, ASA-20218-Z, GV134</v>
      </c>
      <c r="E238" s="6" t="str">
        <f>VLOOKUP(B238,'[1]Tồn Acrilic  T10 .nháp'!C$6:E$115,3,0)</f>
        <v>China</v>
      </c>
      <c r="F238" s="2" t="s">
        <v>8</v>
      </c>
      <c r="G238" s="2" t="s">
        <v>9</v>
      </c>
      <c r="H238" s="6">
        <f>VLOOKUP(B238,'[1]Tồn Acrilic  T10'!C$6:F$346,4,0)</f>
        <v>220</v>
      </c>
    </row>
    <row r="239" spans="1:8" ht="15.6" x14ac:dyDescent="0.3">
      <c r="A239" s="2">
        <v>236</v>
      </c>
      <c r="B239" s="2" t="s">
        <v>483</v>
      </c>
      <c r="C239" s="2" t="s">
        <v>484</v>
      </c>
      <c r="D239" s="6"/>
      <c r="E239" s="6"/>
      <c r="F239" s="2" t="s">
        <v>12</v>
      </c>
      <c r="G239" s="2" t="s">
        <v>9</v>
      </c>
      <c r="H239" s="6">
        <f>VLOOKUP(B239,'[1]Tồn Acrilic  T10'!C$6:F$346,4,0)</f>
        <v>11</v>
      </c>
    </row>
    <row r="240" spans="1:8" ht="15.6" x14ac:dyDescent="0.3">
      <c r="A240" s="2">
        <v>237</v>
      </c>
      <c r="B240" s="2" t="s">
        <v>485</v>
      </c>
      <c r="C240" s="2" t="s">
        <v>486</v>
      </c>
      <c r="D240" s="6"/>
      <c r="E240" s="6"/>
      <c r="F240" s="2" t="s">
        <v>15</v>
      </c>
      <c r="G240" s="2" t="s">
        <v>9</v>
      </c>
      <c r="H240" s="6">
        <v>0</v>
      </c>
    </row>
    <row r="241" spans="1:8" ht="15.6" x14ac:dyDescent="0.3">
      <c r="A241" s="2">
        <v>238</v>
      </c>
      <c r="B241" s="2" t="s">
        <v>487</v>
      </c>
      <c r="C241" s="2" t="s">
        <v>488</v>
      </c>
      <c r="D241" s="6"/>
      <c r="E241" s="6"/>
      <c r="F241" s="2" t="s">
        <v>18</v>
      </c>
      <c r="G241" s="2" t="s">
        <v>9</v>
      </c>
      <c r="H241" s="6">
        <v>0</v>
      </c>
    </row>
    <row r="242" spans="1:8" ht="15.6" x14ac:dyDescent="0.3">
      <c r="A242" s="2">
        <v>239</v>
      </c>
      <c r="B242" s="2" t="s">
        <v>489</v>
      </c>
      <c r="C242" s="2" t="s">
        <v>490</v>
      </c>
      <c r="D242" s="6"/>
      <c r="E242" s="6"/>
      <c r="F242" s="2" t="s">
        <v>21</v>
      </c>
      <c r="G242" s="2" t="s">
        <v>9</v>
      </c>
      <c r="H242" s="6">
        <f>VLOOKUP(B242,'[1]Tồn Acrilic  T10'!C$6:F$346,4,0)</f>
        <v>5</v>
      </c>
    </row>
    <row r="243" spans="1:8" ht="15.6" x14ac:dyDescent="0.3">
      <c r="A243" s="2">
        <v>240</v>
      </c>
      <c r="B243" s="2" t="s">
        <v>491</v>
      </c>
      <c r="C243" s="2" t="s">
        <v>492</v>
      </c>
      <c r="D243" s="6"/>
      <c r="E243" s="6"/>
      <c r="F243" s="2" t="s">
        <v>24</v>
      </c>
      <c r="G243" s="2" t="s">
        <v>9</v>
      </c>
      <c r="H243" s="6">
        <v>0</v>
      </c>
    </row>
    <row r="244" spans="1:8" ht="15.6" x14ac:dyDescent="0.3">
      <c r="A244" s="2">
        <v>241</v>
      </c>
      <c r="B244" s="2" t="s">
        <v>493</v>
      </c>
      <c r="C244" s="2" t="s">
        <v>494</v>
      </c>
      <c r="D244" s="6" t="str">
        <f>VLOOKUP(B244,'[1]Tồn Acrilic  T10 .nháp'!C$6:E$115,2,0)</f>
        <v>High Gloss Acrylic sheet, Ivory white, ASA-20113-L, GV135</v>
      </c>
      <c r="E244" s="6" t="str">
        <f>VLOOKUP(B244,'[1]Tồn Acrilic  T10 .nháp'!C$6:E$115,3,0)</f>
        <v>China</v>
      </c>
      <c r="F244" s="2" t="s">
        <v>8</v>
      </c>
      <c r="G244" s="2" t="s">
        <v>9</v>
      </c>
      <c r="H244" s="6">
        <f>VLOOKUP(B244,'[1]Tồn Acrilic  T10'!C$6:F$346,4,0)</f>
        <v>163</v>
      </c>
    </row>
    <row r="245" spans="1:8" ht="15.6" x14ac:dyDescent="0.3">
      <c r="A245" s="2">
        <v>242</v>
      </c>
      <c r="B245" s="2" t="s">
        <v>495</v>
      </c>
      <c r="C245" s="2" t="s">
        <v>496</v>
      </c>
      <c r="D245" s="6"/>
      <c r="E245" s="6"/>
      <c r="F245" s="2" t="s">
        <v>12</v>
      </c>
      <c r="G245" s="2" t="s">
        <v>9</v>
      </c>
      <c r="H245" s="6">
        <f>VLOOKUP(B245,'[1]Tồn Acrilic  T10'!C$6:F$346,4,0)</f>
        <v>0</v>
      </c>
    </row>
    <row r="246" spans="1:8" ht="15.6" x14ac:dyDescent="0.3">
      <c r="A246" s="2">
        <v>243</v>
      </c>
      <c r="B246" s="2" t="s">
        <v>497</v>
      </c>
      <c r="C246" s="2" t="s">
        <v>498</v>
      </c>
      <c r="D246" s="6"/>
      <c r="E246" s="6"/>
      <c r="F246" s="2" t="s">
        <v>15</v>
      </c>
      <c r="G246" s="2" t="s">
        <v>9</v>
      </c>
      <c r="H246" s="6">
        <v>0</v>
      </c>
    </row>
    <row r="247" spans="1:8" ht="15.6" x14ac:dyDescent="0.3">
      <c r="A247" s="2">
        <v>244</v>
      </c>
      <c r="B247" s="2" t="s">
        <v>499</v>
      </c>
      <c r="C247" s="2" t="s">
        <v>500</v>
      </c>
      <c r="D247" s="6"/>
      <c r="E247" s="6"/>
      <c r="F247" s="2" t="s">
        <v>18</v>
      </c>
      <c r="G247" s="2" t="s">
        <v>9</v>
      </c>
      <c r="H247" s="6">
        <v>0</v>
      </c>
    </row>
    <row r="248" spans="1:8" ht="15.6" x14ac:dyDescent="0.3">
      <c r="A248" s="2">
        <v>245</v>
      </c>
      <c r="B248" s="2" t="s">
        <v>501</v>
      </c>
      <c r="C248" s="2" t="s">
        <v>502</v>
      </c>
      <c r="D248" s="6"/>
      <c r="E248" s="6"/>
      <c r="F248" s="2" t="s">
        <v>21</v>
      </c>
      <c r="G248" s="2" t="s">
        <v>9</v>
      </c>
      <c r="H248" s="6">
        <f>VLOOKUP(B248,'[1]Tồn Acrilic  T10'!C$6:F$346,4,0)</f>
        <v>4</v>
      </c>
    </row>
    <row r="249" spans="1:8" ht="15.6" x14ac:dyDescent="0.3">
      <c r="A249" s="2">
        <v>246</v>
      </c>
      <c r="B249" s="2" t="s">
        <v>503</v>
      </c>
      <c r="C249" s="2" t="s">
        <v>504</v>
      </c>
      <c r="D249" s="6"/>
      <c r="E249" s="6"/>
      <c r="F249" s="2" t="s">
        <v>24</v>
      </c>
      <c r="G249" s="2" t="s">
        <v>9</v>
      </c>
      <c r="H249" s="6">
        <v>0</v>
      </c>
    </row>
    <row r="250" spans="1:8" ht="15.6" x14ac:dyDescent="0.3">
      <c r="A250" s="2">
        <v>247</v>
      </c>
      <c r="B250" s="2" t="s">
        <v>505</v>
      </c>
      <c r="C250" s="2" t="s">
        <v>506</v>
      </c>
      <c r="D250" s="6" t="str">
        <f>VLOOKUP(B250,'[1]Tồn Acrilic  T10 .nháp'!C$6:E$115,2,0)</f>
        <v>High Gloss Acrylic sheet, Pearl cream white metallic, ASA-K0018-Z, GV136</v>
      </c>
      <c r="E250" s="6" t="str">
        <f>VLOOKUP(B250,'[1]Tồn Acrilic  T10 .nháp'!C$6:E$115,3,0)</f>
        <v>China</v>
      </c>
      <c r="F250" s="2" t="s">
        <v>8</v>
      </c>
      <c r="G250" s="2" t="s">
        <v>9</v>
      </c>
      <c r="H250" s="6">
        <f>VLOOKUP(B250,'[1]Tồn Acrilic  T10'!C$6:F$346,4,0)</f>
        <v>189</v>
      </c>
    </row>
    <row r="251" spans="1:8" ht="15.6" x14ac:dyDescent="0.3">
      <c r="A251" s="2">
        <v>248</v>
      </c>
      <c r="B251" s="2" t="s">
        <v>507</v>
      </c>
      <c r="C251" s="2" t="s">
        <v>508</v>
      </c>
      <c r="D251" s="6"/>
      <c r="E251" s="6"/>
      <c r="F251" s="2" t="s">
        <v>12</v>
      </c>
      <c r="G251" s="2" t="s">
        <v>9</v>
      </c>
      <c r="H251" s="6">
        <f>VLOOKUP(B251,'[1]Tồn Acrilic  T10'!C$6:F$346,4,0)</f>
        <v>0</v>
      </c>
    </row>
    <row r="252" spans="1:8" ht="15.6" x14ac:dyDescent="0.3">
      <c r="A252" s="2">
        <v>249</v>
      </c>
      <c r="B252" s="2" t="s">
        <v>509</v>
      </c>
      <c r="C252" s="2" t="s">
        <v>510</v>
      </c>
      <c r="D252" s="6"/>
      <c r="E252" s="6"/>
      <c r="F252" s="2" t="s">
        <v>15</v>
      </c>
      <c r="G252" s="2" t="s">
        <v>9</v>
      </c>
      <c r="H252" s="6">
        <v>0</v>
      </c>
    </row>
    <row r="253" spans="1:8" ht="15.6" x14ac:dyDescent="0.3">
      <c r="A253" s="2">
        <v>250</v>
      </c>
      <c r="B253" s="2" t="s">
        <v>511</v>
      </c>
      <c r="C253" s="2" t="s">
        <v>512</v>
      </c>
      <c r="D253" s="6"/>
      <c r="E253" s="6"/>
      <c r="F253" s="2" t="s">
        <v>18</v>
      </c>
      <c r="G253" s="2" t="s">
        <v>9</v>
      </c>
      <c r="H253" s="6">
        <v>0</v>
      </c>
    </row>
    <row r="254" spans="1:8" ht="15.6" x14ac:dyDescent="0.3">
      <c r="A254" s="2">
        <v>251</v>
      </c>
      <c r="B254" s="2" t="s">
        <v>513</v>
      </c>
      <c r="C254" s="2" t="s">
        <v>514</v>
      </c>
      <c r="D254" s="6"/>
      <c r="E254" s="6"/>
      <c r="F254" s="2" t="s">
        <v>21</v>
      </c>
      <c r="G254" s="2" t="s">
        <v>9</v>
      </c>
      <c r="H254" s="6">
        <f>VLOOKUP(B254,'[1]Tồn Acrilic  T10'!C$6:F$346,4,0)</f>
        <v>4</v>
      </c>
    </row>
    <row r="255" spans="1:8" ht="15.6" x14ac:dyDescent="0.3">
      <c r="A255" s="2">
        <v>252</v>
      </c>
      <c r="B255" s="2" t="s">
        <v>515</v>
      </c>
      <c r="C255" s="2" t="s">
        <v>516</v>
      </c>
      <c r="D255" s="6"/>
      <c r="E255" s="6"/>
      <c r="F255" s="2" t="s">
        <v>24</v>
      </c>
      <c r="G255" s="2" t="s">
        <v>9</v>
      </c>
      <c r="H255" s="6">
        <v>0</v>
      </c>
    </row>
    <row r="256" spans="1:8" ht="15.6" x14ac:dyDescent="0.3">
      <c r="A256" s="2">
        <v>253</v>
      </c>
      <c r="B256" s="2" t="s">
        <v>517</v>
      </c>
      <c r="C256" s="2" t="s">
        <v>518</v>
      </c>
      <c r="D256" s="6" t="str">
        <f>VLOOKUP(B256,'[1]Tồn Acrilic  T10 .nháp'!C$6:E$115,2,0)</f>
        <v>High Gloss Acrylic sheet, Grey iron purple metallic, ASA-20110-81L, GV137</v>
      </c>
      <c r="E256" s="6" t="str">
        <f>VLOOKUP(B256,'[1]Tồn Acrilic  T10 .nháp'!C$6:E$115,3,0)</f>
        <v>China</v>
      </c>
      <c r="F256" s="2" t="s">
        <v>8</v>
      </c>
      <c r="G256" s="2" t="s">
        <v>9</v>
      </c>
      <c r="H256" s="6">
        <f>VLOOKUP(B256,'[1]Tồn Acrilic  T10'!C$6:F$346,4,0)</f>
        <v>208</v>
      </c>
    </row>
    <row r="257" spans="1:8" ht="15.6" x14ac:dyDescent="0.3">
      <c r="A257" s="2">
        <v>254</v>
      </c>
      <c r="B257" s="2" t="s">
        <v>519</v>
      </c>
      <c r="C257" s="2" t="s">
        <v>520</v>
      </c>
      <c r="D257" s="6"/>
      <c r="E257" s="6"/>
      <c r="F257" s="2" t="s">
        <v>12</v>
      </c>
      <c r="G257" s="2" t="s">
        <v>9</v>
      </c>
      <c r="H257" s="6">
        <f>VLOOKUP(B257,'[1]Tồn Acrilic  T10'!C$6:F$346,4,0)</f>
        <v>0</v>
      </c>
    </row>
    <row r="258" spans="1:8" ht="15.6" x14ac:dyDescent="0.3">
      <c r="A258" s="2">
        <v>255</v>
      </c>
      <c r="B258" s="2" t="s">
        <v>521</v>
      </c>
      <c r="C258" s="2" t="s">
        <v>522</v>
      </c>
      <c r="D258" s="6"/>
      <c r="E258" s="6"/>
      <c r="F258" s="2" t="s">
        <v>15</v>
      </c>
      <c r="G258" s="2" t="s">
        <v>9</v>
      </c>
      <c r="H258" s="6">
        <v>0</v>
      </c>
    </row>
    <row r="259" spans="1:8" ht="15.6" x14ac:dyDescent="0.3">
      <c r="A259" s="2">
        <v>256</v>
      </c>
      <c r="B259" s="2" t="s">
        <v>523</v>
      </c>
      <c r="C259" s="2" t="s">
        <v>524</v>
      </c>
      <c r="D259" s="6"/>
      <c r="E259" s="6"/>
      <c r="F259" s="2" t="s">
        <v>18</v>
      </c>
      <c r="G259" s="2" t="s">
        <v>9</v>
      </c>
      <c r="H259" s="6">
        <v>0</v>
      </c>
    </row>
    <row r="260" spans="1:8" ht="15.6" x14ac:dyDescent="0.3">
      <c r="A260" s="2">
        <v>257</v>
      </c>
      <c r="B260" s="2" t="s">
        <v>525</v>
      </c>
      <c r="C260" s="2" t="s">
        <v>526</v>
      </c>
      <c r="D260" s="6"/>
      <c r="E260" s="6"/>
      <c r="F260" s="2" t="s">
        <v>21</v>
      </c>
      <c r="G260" s="2" t="s">
        <v>9</v>
      </c>
      <c r="H260" s="6">
        <f>VLOOKUP(B260,'[1]Tồn Acrilic  T10'!C$6:F$346,4,0)</f>
        <v>5</v>
      </c>
    </row>
    <row r="261" spans="1:8" ht="15.6" x14ac:dyDescent="0.3">
      <c r="A261" s="2">
        <v>258</v>
      </c>
      <c r="B261" s="2" t="s">
        <v>527</v>
      </c>
      <c r="C261" s="2" t="s">
        <v>528</v>
      </c>
      <c r="D261" s="6"/>
      <c r="E261" s="6"/>
      <c r="F261" s="2" t="s">
        <v>24</v>
      </c>
      <c r="G261" s="2" t="s">
        <v>9</v>
      </c>
      <c r="H261" s="6">
        <v>0</v>
      </c>
    </row>
    <row r="262" spans="1:8" ht="15.6" x14ac:dyDescent="0.3">
      <c r="A262" s="2">
        <v>259</v>
      </c>
      <c r="B262" s="2" t="s">
        <v>529</v>
      </c>
      <c r="C262" s="2" t="s">
        <v>530</v>
      </c>
      <c r="D262" s="6" t="str">
        <f>VLOOKUP(B262,'[1]Tồn Acrilic  T10 .nháp'!C$6:E$115,2,0)</f>
        <v>High Gloss Acrylic sheet, Dark purple, ASA-20112-L, GV138</v>
      </c>
      <c r="E262" s="6" t="str">
        <f>VLOOKUP(B262,'[1]Tồn Acrilic  T10 .nháp'!C$6:E$115,3,0)</f>
        <v>China</v>
      </c>
      <c r="F262" s="2" t="s">
        <v>8</v>
      </c>
      <c r="G262" s="2" t="s">
        <v>9</v>
      </c>
      <c r="H262" s="6">
        <f>VLOOKUP(B262,'[1]Tồn Acrilic  T10'!C$6:F$346,4,0)</f>
        <v>197</v>
      </c>
    </row>
    <row r="263" spans="1:8" ht="15.6" x14ac:dyDescent="0.3">
      <c r="A263" s="2">
        <v>260</v>
      </c>
      <c r="B263" s="2" t="s">
        <v>531</v>
      </c>
      <c r="C263" s="2" t="s">
        <v>532</v>
      </c>
      <c r="D263" s="6"/>
      <c r="E263" s="6"/>
      <c r="F263" s="2" t="s">
        <v>12</v>
      </c>
      <c r="G263" s="2" t="s">
        <v>9</v>
      </c>
      <c r="H263" s="6">
        <f>VLOOKUP(B263,'[1]Tồn Acrilic  T10'!C$6:F$346,4,0)</f>
        <v>0</v>
      </c>
    </row>
    <row r="264" spans="1:8" ht="15.6" x14ac:dyDescent="0.3">
      <c r="A264" s="2">
        <v>261</v>
      </c>
      <c r="B264" s="2" t="s">
        <v>533</v>
      </c>
      <c r="C264" s="2" t="s">
        <v>534</v>
      </c>
      <c r="D264" s="6"/>
      <c r="E264" s="6"/>
      <c r="F264" s="2" t="s">
        <v>15</v>
      </c>
      <c r="G264" s="2" t="s">
        <v>9</v>
      </c>
      <c r="H264" s="6">
        <v>0</v>
      </c>
    </row>
    <row r="265" spans="1:8" ht="15.6" x14ac:dyDescent="0.3">
      <c r="A265" s="2">
        <v>262</v>
      </c>
      <c r="B265" s="2" t="s">
        <v>535</v>
      </c>
      <c r="C265" s="2" t="s">
        <v>536</v>
      </c>
      <c r="D265" s="6"/>
      <c r="E265" s="6"/>
      <c r="F265" s="2" t="s">
        <v>18</v>
      </c>
      <c r="G265" s="2" t="s">
        <v>9</v>
      </c>
      <c r="H265" s="6">
        <v>0</v>
      </c>
    </row>
    <row r="266" spans="1:8" ht="15.6" x14ac:dyDescent="0.3">
      <c r="A266" s="2">
        <v>263</v>
      </c>
      <c r="B266" s="2" t="s">
        <v>537</v>
      </c>
      <c r="C266" s="2" t="s">
        <v>538</v>
      </c>
      <c r="D266" s="6"/>
      <c r="E266" s="6"/>
      <c r="F266" s="2" t="s">
        <v>21</v>
      </c>
      <c r="G266" s="2" t="s">
        <v>9</v>
      </c>
      <c r="H266" s="6">
        <f>VLOOKUP(B266,'[1]Tồn Acrilic  T10'!C$6:F$346,4,0)</f>
        <v>6</v>
      </c>
    </row>
    <row r="267" spans="1:8" ht="15.6" x14ac:dyDescent="0.3">
      <c r="A267" s="2">
        <v>264</v>
      </c>
      <c r="B267" s="2" t="s">
        <v>539</v>
      </c>
      <c r="C267" s="2" t="s">
        <v>540</v>
      </c>
      <c r="D267" s="6"/>
      <c r="E267" s="6"/>
      <c r="F267" s="2" t="s">
        <v>24</v>
      </c>
      <c r="G267" s="2" t="s">
        <v>9</v>
      </c>
      <c r="H267" s="6">
        <v>0</v>
      </c>
    </row>
    <row r="268" spans="1:8" ht="15.6" x14ac:dyDescent="0.3">
      <c r="A268" s="2">
        <v>265</v>
      </c>
      <c r="B268" s="2" t="s">
        <v>541</v>
      </c>
      <c r="C268" s="2" t="s">
        <v>542</v>
      </c>
      <c r="D268" s="6" t="str">
        <f>VLOOKUP(B268,'[1]Tồn Acrilic  T10 .nháp'!C$6:E$115,2,0)</f>
        <v>High Gloss Acrylic sheet, Blue grey metallic, ASA-20202-Z, GV139</v>
      </c>
      <c r="E268" s="6" t="str">
        <f>VLOOKUP(B268,'[1]Tồn Acrilic  T10 .nháp'!C$6:E$115,3,0)</f>
        <v>China</v>
      </c>
      <c r="F268" s="2" t="s">
        <v>8</v>
      </c>
      <c r="G268" s="2" t="s">
        <v>9</v>
      </c>
      <c r="H268" s="6">
        <f>VLOOKUP(B268,'[1]Tồn Acrilic  T10'!C$6:F$346,4,0)</f>
        <v>145</v>
      </c>
    </row>
    <row r="269" spans="1:8" ht="15.6" x14ac:dyDescent="0.3">
      <c r="A269" s="2">
        <v>266</v>
      </c>
      <c r="B269" s="2" t="s">
        <v>543</v>
      </c>
      <c r="C269" s="2" t="s">
        <v>544</v>
      </c>
      <c r="D269" s="6"/>
      <c r="E269" s="6"/>
      <c r="F269" s="2" t="s">
        <v>12</v>
      </c>
      <c r="G269" s="2" t="s">
        <v>9</v>
      </c>
      <c r="H269" s="6">
        <f>VLOOKUP(B269,'[1]Tồn Acrilic  T10'!C$6:F$346,4,0)</f>
        <v>0</v>
      </c>
    </row>
    <row r="270" spans="1:8" ht="15.6" x14ac:dyDescent="0.3">
      <c r="A270" s="2">
        <v>267</v>
      </c>
      <c r="B270" s="2" t="s">
        <v>545</v>
      </c>
      <c r="C270" s="2" t="s">
        <v>546</v>
      </c>
      <c r="D270" s="6"/>
      <c r="E270" s="6"/>
      <c r="F270" s="2" t="s">
        <v>15</v>
      </c>
      <c r="G270" s="2" t="s">
        <v>9</v>
      </c>
      <c r="H270" s="6">
        <v>0</v>
      </c>
    </row>
    <row r="271" spans="1:8" ht="15.6" x14ac:dyDescent="0.3">
      <c r="A271" s="2">
        <v>268</v>
      </c>
      <c r="B271" s="2" t="s">
        <v>547</v>
      </c>
      <c r="C271" s="2" t="s">
        <v>548</v>
      </c>
      <c r="D271" s="6"/>
      <c r="E271" s="6"/>
      <c r="F271" s="2" t="s">
        <v>18</v>
      </c>
      <c r="G271" s="2" t="s">
        <v>9</v>
      </c>
      <c r="H271" s="6">
        <v>0</v>
      </c>
    </row>
    <row r="272" spans="1:8" ht="15.6" x14ac:dyDescent="0.3">
      <c r="A272" s="2">
        <v>269</v>
      </c>
      <c r="B272" s="2" t="s">
        <v>549</v>
      </c>
      <c r="C272" s="2" t="s">
        <v>550</v>
      </c>
      <c r="D272" s="6"/>
      <c r="E272" s="6"/>
      <c r="F272" s="2" t="s">
        <v>21</v>
      </c>
      <c r="G272" s="2" t="s">
        <v>9</v>
      </c>
      <c r="H272" s="6">
        <f>VLOOKUP(B272,'[1]Tồn Acrilic  T10'!C$6:F$346,4,0)</f>
        <v>7</v>
      </c>
    </row>
    <row r="273" spans="1:8" ht="15.6" x14ac:dyDescent="0.3">
      <c r="A273" s="2">
        <v>270</v>
      </c>
      <c r="B273" s="2" t="s">
        <v>551</v>
      </c>
      <c r="C273" s="2" t="s">
        <v>552</v>
      </c>
      <c r="D273" s="6"/>
      <c r="E273" s="6"/>
      <c r="F273" s="2" t="s">
        <v>24</v>
      </c>
      <c r="G273" s="2" t="s">
        <v>9</v>
      </c>
      <c r="H273" s="6">
        <v>0</v>
      </c>
    </row>
    <row r="274" spans="1:8" ht="15.6" x14ac:dyDescent="0.3">
      <c r="A274" s="2">
        <v>271</v>
      </c>
      <c r="B274" s="2" t="s">
        <v>553</v>
      </c>
      <c r="C274" s="2" t="s">
        <v>554</v>
      </c>
      <c r="D274" s="6" t="str">
        <f>VLOOKUP(B274,'[1]Tồn Acrilic  T10 .nháp'!C$6:E$115,2,0)</f>
        <v>Acrylic UltraGloss, Mocha SO10-204 color GV14</v>
      </c>
      <c r="E274" s="6" t="str">
        <f>VLOOKUP(B274,'[1]Tồn Acrilic  T10 .nháp'!C$6:E$115,3,0)</f>
        <v>Korea</v>
      </c>
      <c r="F274" s="2" t="s">
        <v>8</v>
      </c>
      <c r="G274" s="2" t="s">
        <v>9</v>
      </c>
      <c r="H274" s="6">
        <f>VLOOKUP(B274,'[1]Tồn Acrilic  T10'!C$6:F$346,4,0)</f>
        <v>355</v>
      </c>
    </row>
    <row r="275" spans="1:8" ht="15.6" x14ac:dyDescent="0.3">
      <c r="A275" s="2">
        <v>272</v>
      </c>
      <c r="B275" s="2" t="s">
        <v>555</v>
      </c>
      <c r="C275" s="2" t="s">
        <v>556</v>
      </c>
      <c r="D275" s="6"/>
      <c r="E275" s="6"/>
      <c r="F275" s="2" t="s">
        <v>12</v>
      </c>
      <c r="G275" s="2" t="s">
        <v>9</v>
      </c>
      <c r="H275" s="6">
        <f>VLOOKUP(B275,'[1]Tồn Acrilic  T10'!C$6:F$346,4,0)</f>
        <v>0</v>
      </c>
    </row>
    <row r="276" spans="1:8" ht="15.6" x14ac:dyDescent="0.3">
      <c r="A276" s="2">
        <v>273</v>
      </c>
      <c r="B276" s="2" t="s">
        <v>557</v>
      </c>
      <c r="C276" s="2" t="s">
        <v>558</v>
      </c>
      <c r="D276" s="6"/>
      <c r="E276" s="6"/>
      <c r="F276" s="2" t="s">
        <v>15</v>
      </c>
      <c r="G276" s="2" t="s">
        <v>9</v>
      </c>
      <c r="H276" s="6">
        <v>0</v>
      </c>
    </row>
    <row r="277" spans="1:8" ht="15.6" x14ac:dyDescent="0.3">
      <c r="A277" s="2">
        <v>274</v>
      </c>
      <c r="B277" s="2" t="s">
        <v>559</v>
      </c>
      <c r="C277" s="2" t="s">
        <v>560</v>
      </c>
      <c r="D277" s="6"/>
      <c r="E277" s="6"/>
      <c r="F277" s="2" t="s">
        <v>18</v>
      </c>
      <c r="G277" s="2" t="s">
        <v>9</v>
      </c>
      <c r="H277" s="6">
        <v>0</v>
      </c>
    </row>
    <row r="278" spans="1:8" ht="15.6" x14ac:dyDescent="0.3">
      <c r="A278" s="2">
        <v>275</v>
      </c>
      <c r="B278" s="2" t="s">
        <v>561</v>
      </c>
      <c r="C278" s="2" t="s">
        <v>562</v>
      </c>
      <c r="D278" s="6"/>
      <c r="E278" s="6"/>
      <c r="F278" s="2" t="s">
        <v>21</v>
      </c>
      <c r="G278" s="2" t="s">
        <v>9</v>
      </c>
      <c r="H278" s="6">
        <f>VLOOKUP(B278,'[1]Tồn Acrilic  T10'!C$6:F$346,4,0)</f>
        <v>9</v>
      </c>
    </row>
    <row r="279" spans="1:8" ht="15.6" x14ac:dyDescent="0.3">
      <c r="A279" s="2">
        <v>276</v>
      </c>
      <c r="B279" s="2" t="s">
        <v>563</v>
      </c>
      <c r="C279" s="2" t="s">
        <v>564</v>
      </c>
      <c r="D279" s="6"/>
      <c r="E279" s="6"/>
      <c r="F279" s="2" t="s">
        <v>24</v>
      </c>
      <c r="G279" s="2" t="s">
        <v>9</v>
      </c>
      <c r="H279" s="6">
        <v>0</v>
      </c>
    </row>
    <row r="280" spans="1:8" ht="15.6" x14ac:dyDescent="0.3">
      <c r="A280" s="2">
        <v>277</v>
      </c>
      <c r="B280" s="2" t="s">
        <v>565</v>
      </c>
      <c r="C280" s="2" t="s">
        <v>566</v>
      </c>
      <c r="D280" s="6" t="str">
        <f>VLOOKUP(B280,'[1]Tồn Acrilic  T10 .nháp'!C$6:E$115,2,0)</f>
        <v>High Gloss Acrylic sheet, Beige metallic, AC66, GV140</v>
      </c>
      <c r="E280" s="6" t="str">
        <f>VLOOKUP(B280,'[1]Tồn Acrilic  T10 .nháp'!C$6:E$115,3,0)</f>
        <v>China</v>
      </c>
      <c r="F280" s="2" t="s">
        <v>8</v>
      </c>
      <c r="G280" s="2" t="s">
        <v>9</v>
      </c>
      <c r="H280" s="6">
        <f>VLOOKUP(B280,'[1]Tồn Acrilic  T10'!C$6:F$346,4,0)</f>
        <v>352</v>
      </c>
    </row>
    <row r="281" spans="1:8" ht="15.6" x14ac:dyDescent="0.3">
      <c r="A281" s="2">
        <v>278</v>
      </c>
      <c r="B281" s="2" t="s">
        <v>567</v>
      </c>
      <c r="C281" s="2" t="s">
        <v>568</v>
      </c>
      <c r="D281" s="6"/>
      <c r="E281" s="6"/>
      <c r="F281" s="2" t="s">
        <v>12</v>
      </c>
      <c r="G281" s="2" t="s">
        <v>9</v>
      </c>
      <c r="H281" s="6">
        <f>VLOOKUP(B281,'[1]Tồn Acrilic  T10'!C$6:F$346,4,0)</f>
        <v>0</v>
      </c>
    </row>
    <row r="282" spans="1:8" ht="15.6" x14ac:dyDescent="0.3">
      <c r="A282" s="2">
        <v>279</v>
      </c>
      <c r="B282" s="2" t="s">
        <v>569</v>
      </c>
      <c r="C282" s="2" t="s">
        <v>570</v>
      </c>
      <c r="D282" s="6"/>
      <c r="E282" s="6"/>
      <c r="F282" s="2" t="s">
        <v>15</v>
      </c>
      <c r="G282" s="2" t="s">
        <v>9</v>
      </c>
      <c r="H282" s="6">
        <v>0</v>
      </c>
    </row>
    <row r="283" spans="1:8" ht="15.6" x14ac:dyDescent="0.3">
      <c r="A283" s="2">
        <v>280</v>
      </c>
      <c r="B283" s="2" t="s">
        <v>571</v>
      </c>
      <c r="C283" s="2" t="s">
        <v>572</v>
      </c>
      <c r="D283" s="6"/>
      <c r="E283" s="6"/>
      <c r="F283" s="2" t="s">
        <v>18</v>
      </c>
      <c r="G283" s="2" t="s">
        <v>9</v>
      </c>
      <c r="H283" s="6">
        <v>0</v>
      </c>
    </row>
    <row r="284" spans="1:8" ht="15.6" x14ac:dyDescent="0.3">
      <c r="A284" s="2">
        <v>281</v>
      </c>
      <c r="B284" s="2" t="s">
        <v>573</v>
      </c>
      <c r="C284" s="2" t="s">
        <v>574</v>
      </c>
      <c r="D284" s="6"/>
      <c r="E284" s="6"/>
      <c r="F284" s="2" t="s">
        <v>21</v>
      </c>
      <c r="G284" s="2" t="s">
        <v>9</v>
      </c>
      <c r="H284" s="6">
        <f>VLOOKUP(B284,'[1]Tồn Acrilic  T10'!C$6:F$346,4,0)</f>
        <v>11</v>
      </c>
    </row>
    <row r="285" spans="1:8" ht="15.6" x14ac:dyDescent="0.3">
      <c r="A285" s="2">
        <v>282</v>
      </c>
      <c r="B285" s="2" t="s">
        <v>575</v>
      </c>
      <c r="C285" s="2" t="s">
        <v>576</v>
      </c>
      <c r="D285" s="6"/>
      <c r="E285" s="6"/>
      <c r="F285" s="2" t="s">
        <v>24</v>
      </c>
      <c r="G285" s="2" t="s">
        <v>9</v>
      </c>
      <c r="H285" s="6">
        <v>0</v>
      </c>
    </row>
    <row r="286" spans="1:8" ht="15.6" x14ac:dyDescent="0.3">
      <c r="A286" s="2">
        <v>283</v>
      </c>
      <c r="B286" s="2" t="s">
        <v>577</v>
      </c>
      <c r="C286" s="2" t="s">
        <v>578</v>
      </c>
      <c r="D286" s="6" t="str">
        <f>VLOOKUP(B286,'[1]Tồn Acrilic  T10 .nháp'!C$6:E$115,2,0)</f>
        <v>High Gloss Acrylic sheet, Rose gold metallic, AC80, GV141</v>
      </c>
      <c r="E286" s="6" t="str">
        <f>VLOOKUP(B286,'[1]Tồn Acrilic  T10 .nháp'!C$6:E$115,3,0)</f>
        <v>China</v>
      </c>
      <c r="F286" s="2" t="s">
        <v>8</v>
      </c>
      <c r="G286" s="2" t="s">
        <v>9</v>
      </c>
      <c r="H286" s="6">
        <f>VLOOKUP(B286,'[1]Tồn Acrilic  T10'!C$6:F$346,4,0)</f>
        <v>162</v>
      </c>
    </row>
    <row r="287" spans="1:8" ht="15.6" x14ac:dyDescent="0.3">
      <c r="A287" s="2">
        <v>284</v>
      </c>
      <c r="B287" s="2" t="s">
        <v>579</v>
      </c>
      <c r="C287" s="2" t="s">
        <v>580</v>
      </c>
      <c r="D287" s="6"/>
      <c r="E287" s="6"/>
      <c r="F287" s="2" t="s">
        <v>12</v>
      </c>
      <c r="G287" s="2" t="s">
        <v>9</v>
      </c>
      <c r="H287" s="6">
        <f>VLOOKUP(B287,'[1]Tồn Acrilic  T10'!C$6:F$346,4,0)</f>
        <v>0</v>
      </c>
    </row>
    <row r="288" spans="1:8" ht="15.6" x14ac:dyDescent="0.3">
      <c r="A288" s="2">
        <v>285</v>
      </c>
      <c r="B288" s="2" t="s">
        <v>581</v>
      </c>
      <c r="C288" s="2" t="s">
        <v>582</v>
      </c>
      <c r="D288" s="6"/>
      <c r="E288" s="6"/>
      <c r="F288" s="2" t="s">
        <v>15</v>
      </c>
      <c r="G288" s="2" t="s">
        <v>9</v>
      </c>
      <c r="H288" s="6">
        <v>0</v>
      </c>
    </row>
    <row r="289" spans="1:8" ht="15.6" x14ac:dyDescent="0.3">
      <c r="A289" s="2">
        <v>286</v>
      </c>
      <c r="B289" s="2" t="s">
        <v>583</v>
      </c>
      <c r="C289" s="2" t="s">
        <v>584</v>
      </c>
      <c r="D289" s="6"/>
      <c r="E289" s="6"/>
      <c r="F289" s="2" t="s">
        <v>18</v>
      </c>
      <c r="G289" s="2" t="s">
        <v>9</v>
      </c>
      <c r="H289" s="6">
        <v>0</v>
      </c>
    </row>
    <row r="290" spans="1:8" ht="15.6" x14ac:dyDescent="0.3">
      <c r="A290" s="2">
        <v>287</v>
      </c>
      <c r="B290" s="2" t="s">
        <v>585</v>
      </c>
      <c r="C290" s="2" t="s">
        <v>586</v>
      </c>
      <c r="D290" s="6"/>
      <c r="E290" s="6"/>
      <c r="F290" s="2" t="s">
        <v>21</v>
      </c>
      <c r="G290" s="2" t="s">
        <v>9</v>
      </c>
      <c r="H290" s="6">
        <f>VLOOKUP(B290,'[1]Tồn Acrilic  T10'!C$6:F$346,4,0)</f>
        <v>0</v>
      </c>
    </row>
    <row r="291" spans="1:8" ht="15.6" x14ac:dyDescent="0.3">
      <c r="A291" s="2">
        <v>288</v>
      </c>
      <c r="B291" s="2" t="s">
        <v>587</v>
      </c>
      <c r="C291" s="2" t="s">
        <v>588</v>
      </c>
      <c r="D291" s="6"/>
      <c r="E291" s="6"/>
      <c r="F291" s="2" t="s">
        <v>24</v>
      </c>
      <c r="G291" s="2" t="s">
        <v>9</v>
      </c>
      <c r="H291" s="6">
        <v>0</v>
      </c>
    </row>
    <row r="292" spans="1:8" ht="15.6" x14ac:dyDescent="0.3">
      <c r="A292" s="2">
        <v>289</v>
      </c>
      <c r="B292" s="2" t="s">
        <v>589</v>
      </c>
      <c r="C292" s="2" t="s">
        <v>590</v>
      </c>
      <c r="D292" s="6" t="str">
        <f>VLOOKUP(B292,'[1]Tồn Acrilic  T10 .nháp'!C$6:E$115,2,0)</f>
        <v>High Gloss Acrylic sheet, Champangne, AC26, GV142</v>
      </c>
      <c r="E292" s="6" t="str">
        <f>VLOOKUP(B292,'[1]Tồn Acrilic  T10 .nháp'!C$6:E$115,3,0)</f>
        <v>China</v>
      </c>
      <c r="F292" s="2" t="s">
        <v>8</v>
      </c>
      <c r="G292" s="2" t="s">
        <v>9</v>
      </c>
      <c r="H292" s="6">
        <f>VLOOKUP(B292,'[1]Tồn Acrilic  T10'!C$6:F$346,4,0)</f>
        <v>177</v>
      </c>
    </row>
    <row r="293" spans="1:8" ht="15.6" x14ac:dyDescent="0.3">
      <c r="A293" s="2">
        <v>290</v>
      </c>
      <c r="B293" s="2" t="s">
        <v>591</v>
      </c>
      <c r="C293" s="2" t="s">
        <v>592</v>
      </c>
      <c r="D293" s="6"/>
      <c r="E293" s="6"/>
      <c r="F293" s="2" t="s">
        <v>12</v>
      </c>
      <c r="G293" s="2" t="s">
        <v>9</v>
      </c>
      <c r="H293" s="6">
        <f>VLOOKUP(B293,'[1]Tồn Acrilic  T10'!C$6:F$346,4,0)</f>
        <v>0</v>
      </c>
    </row>
    <row r="294" spans="1:8" ht="15.6" x14ac:dyDescent="0.3">
      <c r="A294" s="2">
        <v>291</v>
      </c>
      <c r="B294" s="2" t="s">
        <v>593</v>
      </c>
      <c r="C294" s="2" t="s">
        <v>594</v>
      </c>
      <c r="D294" s="6"/>
      <c r="E294" s="6"/>
      <c r="F294" s="2" t="s">
        <v>15</v>
      </c>
      <c r="G294" s="2" t="s">
        <v>9</v>
      </c>
      <c r="H294" s="6">
        <v>0</v>
      </c>
    </row>
    <row r="295" spans="1:8" ht="15.6" x14ac:dyDescent="0.3">
      <c r="A295" s="2">
        <v>292</v>
      </c>
      <c r="B295" s="2" t="s">
        <v>595</v>
      </c>
      <c r="C295" s="2" t="s">
        <v>596</v>
      </c>
      <c r="D295" s="6"/>
      <c r="E295" s="6"/>
      <c r="F295" s="2" t="s">
        <v>18</v>
      </c>
      <c r="G295" s="2" t="s">
        <v>9</v>
      </c>
      <c r="H295" s="6">
        <v>0</v>
      </c>
    </row>
    <row r="296" spans="1:8" ht="15.6" x14ac:dyDescent="0.3">
      <c r="A296" s="2">
        <v>293</v>
      </c>
      <c r="B296" s="2" t="s">
        <v>597</v>
      </c>
      <c r="C296" s="2" t="s">
        <v>598</v>
      </c>
      <c r="D296" s="6"/>
      <c r="E296" s="6"/>
      <c r="F296" s="2" t="s">
        <v>21</v>
      </c>
      <c r="G296" s="2" t="s">
        <v>9</v>
      </c>
      <c r="H296" s="6">
        <f>VLOOKUP(B296,'[1]Tồn Acrilic  T10'!C$6:F$346,4,0)</f>
        <v>5</v>
      </c>
    </row>
    <row r="297" spans="1:8" ht="15.6" x14ac:dyDescent="0.3">
      <c r="A297" s="2">
        <v>294</v>
      </c>
      <c r="B297" s="2" t="s">
        <v>599</v>
      </c>
      <c r="C297" s="2" t="s">
        <v>600</v>
      </c>
      <c r="D297" s="6"/>
      <c r="E297" s="6"/>
      <c r="F297" s="2" t="s">
        <v>24</v>
      </c>
      <c r="G297" s="2" t="s">
        <v>9</v>
      </c>
      <c r="H297" s="6">
        <v>0</v>
      </c>
    </row>
    <row r="298" spans="1:8" ht="15.6" x14ac:dyDescent="0.3">
      <c r="A298" s="2">
        <v>295</v>
      </c>
      <c r="B298" s="2" t="s">
        <v>601</v>
      </c>
      <c r="C298" s="2" t="s">
        <v>602</v>
      </c>
      <c r="D298" s="6" t="str">
        <f>VLOOKUP(B298,'[1]Tồn Acrilic  T10 .nháp'!C$6:E$115,2,0)</f>
        <v>Acrylic, Tiara Prime F1 Grey_7402M, 2440x1220x0.8mm</v>
      </c>
      <c r="E298" s="6" t="str">
        <f>VLOOKUP(B298,'[1]Tồn Acrilic  T10 .nháp'!C$6:E$115,3,0)</f>
        <v>Indonesia</v>
      </c>
      <c r="F298" s="2" t="s">
        <v>8</v>
      </c>
      <c r="G298" s="2" t="s">
        <v>9</v>
      </c>
      <c r="H298" s="6">
        <f>VLOOKUP(B298,'[1]Tồn Acrilic  T10'!C$6:F$346,4,0)</f>
        <v>191</v>
      </c>
    </row>
    <row r="299" spans="1:8" ht="15.6" x14ac:dyDescent="0.3">
      <c r="A299" s="2">
        <v>296</v>
      </c>
      <c r="B299" s="2" t="s">
        <v>603</v>
      </c>
      <c r="C299" s="2" t="s">
        <v>604</v>
      </c>
      <c r="D299" s="6"/>
      <c r="E299" s="6"/>
      <c r="F299" s="2" t="s">
        <v>12</v>
      </c>
      <c r="G299" s="2" t="s">
        <v>9</v>
      </c>
      <c r="H299" s="6">
        <f>VLOOKUP(B299,'[1]Tồn Acrilic  T10'!C$6:F$346,4,0)</f>
        <v>21</v>
      </c>
    </row>
    <row r="300" spans="1:8" ht="15.6" x14ac:dyDescent="0.3">
      <c r="A300" s="2">
        <v>297</v>
      </c>
      <c r="B300" s="2" t="s">
        <v>605</v>
      </c>
      <c r="C300" s="2" t="s">
        <v>606</v>
      </c>
      <c r="D300" s="6"/>
      <c r="E300" s="6"/>
      <c r="F300" s="2" t="s">
        <v>15</v>
      </c>
      <c r="G300" s="2" t="s">
        <v>9</v>
      </c>
      <c r="H300" s="6">
        <v>0</v>
      </c>
    </row>
    <row r="301" spans="1:8" ht="15.6" x14ac:dyDescent="0.3">
      <c r="A301" s="2">
        <v>298</v>
      </c>
      <c r="B301" s="2" t="s">
        <v>607</v>
      </c>
      <c r="C301" s="2" t="s">
        <v>608</v>
      </c>
      <c r="D301" s="6"/>
      <c r="E301" s="6"/>
      <c r="F301" s="2" t="s">
        <v>18</v>
      </c>
      <c r="G301" s="2" t="s">
        <v>9</v>
      </c>
      <c r="H301" s="6">
        <v>0</v>
      </c>
    </row>
    <row r="302" spans="1:8" ht="15.6" x14ac:dyDescent="0.3">
      <c r="A302" s="2">
        <v>299</v>
      </c>
      <c r="B302" s="2" t="s">
        <v>609</v>
      </c>
      <c r="C302" s="2" t="s">
        <v>610</v>
      </c>
      <c r="D302" s="6"/>
      <c r="E302" s="6"/>
      <c r="F302" s="2" t="s">
        <v>21</v>
      </c>
      <c r="G302" s="2" t="s">
        <v>9</v>
      </c>
      <c r="H302" s="6">
        <f>VLOOKUP(B302,'[1]Tồn Acrilic  T10'!C$6:F$346,4,0)</f>
        <v>4</v>
      </c>
    </row>
    <row r="303" spans="1:8" ht="15.6" x14ac:dyDescent="0.3">
      <c r="A303" s="2">
        <v>300</v>
      </c>
      <c r="B303" s="2" t="s">
        <v>611</v>
      </c>
      <c r="C303" s="2" t="s">
        <v>612</v>
      </c>
      <c r="D303" s="6"/>
      <c r="E303" s="6"/>
      <c r="F303" s="2" t="s">
        <v>24</v>
      </c>
      <c r="G303" s="2" t="s">
        <v>9</v>
      </c>
      <c r="H303" s="6">
        <v>0</v>
      </c>
    </row>
    <row r="304" spans="1:8" ht="15.6" x14ac:dyDescent="0.3">
      <c r="A304" s="2">
        <v>301</v>
      </c>
      <c r="B304" s="2" t="s">
        <v>613</v>
      </c>
      <c r="C304" s="2" t="s">
        <v>614</v>
      </c>
      <c r="D304" s="6" t="str">
        <f>VLOOKUP(B304,'[1]Tồn Acrilic  T10 .nháp'!C$6:E$115,2,0)</f>
        <v>Acrylic siêu chống xước Áo, AM1800TopX, beige 7498 color GV16</v>
      </c>
      <c r="E304" s="6" t="str">
        <f>VLOOKUP(B304,'[1]Tồn Acrilic  T10 .nháp'!C$6:E$115,3,0)</f>
        <v>Austria</v>
      </c>
      <c r="F304" s="2" t="s">
        <v>8</v>
      </c>
      <c r="G304" s="2" t="s">
        <v>9</v>
      </c>
      <c r="H304" s="6">
        <f>VLOOKUP(B304,'[1]Tồn Acrilic  T10'!C$6:F$346,4,0)</f>
        <v>156</v>
      </c>
    </row>
    <row r="305" spans="1:8" ht="15.6" x14ac:dyDescent="0.3">
      <c r="A305" s="2">
        <v>302</v>
      </c>
      <c r="B305" s="2" t="s">
        <v>615</v>
      </c>
      <c r="C305" s="2" t="s">
        <v>616</v>
      </c>
      <c r="D305" s="6"/>
      <c r="E305" s="6"/>
      <c r="F305" s="2" t="s">
        <v>12</v>
      </c>
      <c r="G305" s="2" t="s">
        <v>9</v>
      </c>
      <c r="H305" s="6">
        <f>VLOOKUP(B305,'[1]Tồn Acrilic  T10'!C$6:F$346,4,0)</f>
        <v>0</v>
      </c>
    </row>
    <row r="306" spans="1:8" ht="15.6" x14ac:dyDescent="0.3">
      <c r="A306" s="2">
        <v>303</v>
      </c>
      <c r="B306" s="2" t="s">
        <v>617</v>
      </c>
      <c r="C306" s="2" t="s">
        <v>618</v>
      </c>
      <c r="D306" s="6"/>
      <c r="E306" s="6"/>
      <c r="F306" s="2" t="s">
        <v>15</v>
      </c>
      <c r="G306" s="2" t="s">
        <v>9</v>
      </c>
      <c r="H306" s="6">
        <v>0</v>
      </c>
    </row>
    <row r="307" spans="1:8" ht="15.6" x14ac:dyDescent="0.3">
      <c r="A307" s="2">
        <v>304</v>
      </c>
      <c r="B307" s="2" t="s">
        <v>619</v>
      </c>
      <c r="C307" s="2" t="s">
        <v>620</v>
      </c>
      <c r="D307" s="6"/>
      <c r="E307" s="6"/>
      <c r="F307" s="2" t="s">
        <v>18</v>
      </c>
      <c r="G307" s="2" t="s">
        <v>9</v>
      </c>
      <c r="H307" s="6">
        <v>0</v>
      </c>
    </row>
    <row r="308" spans="1:8" ht="15.6" x14ac:dyDescent="0.3">
      <c r="A308" s="2">
        <v>305</v>
      </c>
      <c r="B308" s="2" t="s">
        <v>621</v>
      </c>
      <c r="C308" s="2" t="s">
        <v>622</v>
      </c>
      <c r="D308" s="6"/>
      <c r="E308" s="6"/>
      <c r="F308" s="2" t="s">
        <v>21</v>
      </c>
      <c r="G308" s="2" t="s">
        <v>9</v>
      </c>
      <c r="H308" s="6">
        <f>VLOOKUP(B308,'[1]Tồn Acrilic  T10'!C$6:F$346,4,0)</f>
        <v>7</v>
      </c>
    </row>
    <row r="309" spans="1:8" ht="15.6" x14ac:dyDescent="0.3">
      <c r="A309" s="2">
        <v>306</v>
      </c>
      <c r="B309" s="2" t="s">
        <v>623</v>
      </c>
      <c r="C309" s="2" t="s">
        <v>624</v>
      </c>
      <c r="D309" s="6"/>
      <c r="E309" s="6"/>
      <c r="F309" s="2" t="s">
        <v>24</v>
      </c>
      <c r="G309" s="2" t="s">
        <v>9</v>
      </c>
      <c r="H309" s="6">
        <v>0</v>
      </c>
    </row>
    <row r="310" spans="1:8" ht="15.6" x14ac:dyDescent="0.3">
      <c r="A310" s="2">
        <v>307</v>
      </c>
      <c r="B310" s="2" t="s">
        <v>625</v>
      </c>
      <c r="C310" s="2" t="s">
        <v>626</v>
      </c>
      <c r="D310" s="6" t="str">
        <f>VLOOKUP(B310,'[1]Tồn Acrilic  T10 .nháp'!C$6:E$115,2,0)</f>
        <v>High Gloss Acrylic sheet, Gray, 86GR, GV20</v>
      </c>
      <c r="E310" s="6" t="str">
        <f>VLOOKUP(B310,'[1]Tồn Acrilic  T10 .nháp'!C$6:E$115,3,0)</f>
        <v>Taiwan</v>
      </c>
      <c r="F310" s="2" t="s">
        <v>8</v>
      </c>
      <c r="G310" s="2" t="s">
        <v>9</v>
      </c>
      <c r="H310" s="6">
        <f>VLOOKUP(B310,'[1]Tồn Acrilic  T10'!C$6:F$346,4,0)</f>
        <v>509</v>
      </c>
    </row>
    <row r="311" spans="1:8" ht="15.6" x14ac:dyDescent="0.3">
      <c r="A311" s="2">
        <v>308</v>
      </c>
      <c r="B311" s="2" t="s">
        <v>627</v>
      </c>
      <c r="C311" s="2" t="s">
        <v>628</v>
      </c>
      <c r="D311" s="6"/>
      <c r="E311" s="6"/>
      <c r="F311" s="2" t="s">
        <v>12</v>
      </c>
      <c r="G311" s="2" t="s">
        <v>9</v>
      </c>
      <c r="H311" s="6">
        <f>VLOOKUP(B311,'[1]Tồn Acrilic  T10'!C$6:F$346,4,0)</f>
        <v>0</v>
      </c>
    </row>
    <row r="312" spans="1:8" ht="15.6" x14ac:dyDescent="0.3">
      <c r="A312" s="2">
        <v>309</v>
      </c>
      <c r="B312" s="2" t="s">
        <v>629</v>
      </c>
      <c r="C312" s="2" t="s">
        <v>630</v>
      </c>
      <c r="D312" s="6"/>
      <c r="E312" s="6"/>
      <c r="F312" s="2" t="s">
        <v>15</v>
      </c>
      <c r="G312" s="2" t="s">
        <v>9</v>
      </c>
      <c r="H312" s="6">
        <v>0</v>
      </c>
    </row>
    <row r="313" spans="1:8" ht="15.6" x14ac:dyDescent="0.3">
      <c r="A313" s="2">
        <v>310</v>
      </c>
      <c r="B313" s="2" t="s">
        <v>631</v>
      </c>
      <c r="C313" s="2" t="s">
        <v>632</v>
      </c>
      <c r="D313" s="6"/>
      <c r="E313" s="6"/>
      <c r="F313" s="2" t="s">
        <v>18</v>
      </c>
      <c r="G313" s="2" t="s">
        <v>9</v>
      </c>
      <c r="H313" s="6">
        <v>0</v>
      </c>
    </row>
    <row r="314" spans="1:8" ht="15.6" x14ac:dyDescent="0.3">
      <c r="A314" s="2">
        <v>311</v>
      </c>
      <c r="B314" s="2" t="s">
        <v>633</v>
      </c>
      <c r="C314" s="2" t="s">
        <v>634</v>
      </c>
      <c r="D314" s="6"/>
      <c r="E314" s="6"/>
      <c r="F314" s="2" t="s">
        <v>21</v>
      </c>
      <c r="G314" s="2" t="s">
        <v>9</v>
      </c>
      <c r="H314" s="6">
        <f>VLOOKUP(B314,'[1]Tồn Acrilic  T10'!C$6:F$346,4,0)</f>
        <v>5</v>
      </c>
    </row>
    <row r="315" spans="1:8" ht="15.6" x14ac:dyDescent="0.3">
      <c r="A315" s="2">
        <v>312</v>
      </c>
      <c r="B315" s="2" t="s">
        <v>635</v>
      </c>
      <c r="C315" s="2" t="s">
        <v>636</v>
      </c>
      <c r="D315" s="6"/>
      <c r="E315" s="6"/>
      <c r="F315" s="2" t="s">
        <v>24</v>
      </c>
      <c r="G315" s="2" t="s">
        <v>9</v>
      </c>
      <c r="H315" s="6">
        <v>0</v>
      </c>
    </row>
    <row r="316" spans="1:8" ht="15.6" x14ac:dyDescent="0.3">
      <c r="A316" s="2">
        <v>313</v>
      </c>
      <c r="B316" s="2" t="s">
        <v>637</v>
      </c>
      <c r="C316" s="2" t="s">
        <v>638</v>
      </c>
      <c r="D316" s="6" t="str">
        <f>VLOOKUP(B316,'[1]Tồn Acrilic  T10 .nháp'!C$6:E$115,2,0)</f>
        <v>Acrylic UltraGloss, Gray SO10-701 color GV21</v>
      </c>
      <c r="E316" s="6" t="str">
        <f>VLOOKUP(B316,'[1]Tồn Acrilic  T10 .nháp'!C$6:E$115,3,0)</f>
        <v>Korea</v>
      </c>
      <c r="F316" s="2" t="s">
        <v>8</v>
      </c>
      <c r="G316" s="2" t="s">
        <v>9</v>
      </c>
      <c r="H316" s="6">
        <f>VLOOKUP(B316,'[1]Tồn Acrilic  T10'!C$6:F$346,4,0)</f>
        <v>125</v>
      </c>
    </row>
    <row r="317" spans="1:8" ht="15.6" x14ac:dyDescent="0.3">
      <c r="A317" s="2">
        <v>314</v>
      </c>
      <c r="B317" s="2" t="s">
        <v>639</v>
      </c>
      <c r="C317" s="2" t="s">
        <v>640</v>
      </c>
      <c r="D317" s="6"/>
      <c r="E317" s="6"/>
      <c r="F317" s="2" t="s">
        <v>12</v>
      </c>
      <c r="G317" s="2" t="s">
        <v>9</v>
      </c>
      <c r="H317" s="6">
        <f>VLOOKUP(B317,'[1]Tồn Acrilic  T10'!C$6:F$346,4,0)</f>
        <v>0</v>
      </c>
    </row>
    <row r="318" spans="1:8" ht="15.6" x14ac:dyDescent="0.3">
      <c r="A318" s="2">
        <v>315</v>
      </c>
      <c r="B318" s="2" t="s">
        <v>641</v>
      </c>
      <c r="C318" s="2" t="s">
        <v>642</v>
      </c>
      <c r="D318" s="6"/>
      <c r="E318" s="6"/>
      <c r="F318" s="2" t="s">
        <v>15</v>
      </c>
      <c r="G318" s="2" t="s">
        <v>9</v>
      </c>
      <c r="H318" s="6">
        <v>0</v>
      </c>
    </row>
    <row r="319" spans="1:8" ht="15.6" x14ac:dyDescent="0.3">
      <c r="A319" s="2">
        <v>316</v>
      </c>
      <c r="B319" s="2" t="s">
        <v>643</v>
      </c>
      <c r="C319" s="2" t="s">
        <v>644</v>
      </c>
      <c r="D319" s="6"/>
      <c r="E319" s="6"/>
      <c r="F319" s="2" t="s">
        <v>18</v>
      </c>
      <c r="G319" s="2" t="s">
        <v>9</v>
      </c>
      <c r="H319" s="6">
        <v>0</v>
      </c>
    </row>
    <row r="320" spans="1:8" ht="15.6" x14ac:dyDescent="0.3">
      <c r="A320" s="2">
        <v>317</v>
      </c>
      <c r="B320" s="2" t="s">
        <v>645</v>
      </c>
      <c r="C320" s="2" t="s">
        <v>646</v>
      </c>
      <c r="D320" s="6"/>
      <c r="E320" s="6"/>
      <c r="F320" s="2" t="s">
        <v>21</v>
      </c>
      <c r="G320" s="2" t="s">
        <v>9</v>
      </c>
      <c r="H320" s="6">
        <f>VLOOKUP(B320,'[1]Tồn Acrilic  T10'!C$6:F$346,4,0)</f>
        <v>0</v>
      </c>
    </row>
    <row r="321" spans="1:8" ht="15.6" x14ac:dyDescent="0.3">
      <c r="A321" s="2">
        <v>318</v>
      </c>
      <c r="B321" s="2" t="s">
        <v>647</v>
      </c>
      <c r="C321" s="2" t="s">
        <v>648</v>
      </c>
      <c r="D321" s="6"/>
      <c r="E321" s="6"/>
      <c r="F321" s="2" t="s">
        <v>24</v>
      </c>
      <c r="G321" s="2" t="s">
        <v>9</v>
      </c>
      <c r="H321" s="6">
        <v>0</v>
      </c>
    </row>
    <row r="322" spans="1:8" ht="15.6" x14ac:dyDescent="0.3">
      <c r="A322" s="2">
        <v>319</v>
      </c>
      <c r="B322" s="2" t="s">
        <v>649</v>
      </c>
      <c r="C322" s="2" t="s">
        <v>650</v>
      </c>
      <c r="D322" s="6" t="str">
        <f>VLOOKUP(B322,'[1]Tồn Acrilic  T10 .nháp'!C$6:E$115,2,0)</f>
        <v>UltraGloss SO10-903_Silver Metallic GV22</v>
      </c>
      <c r="E322" s="6" t="str">
        <f>VLOOKUP(B322,'[1]Tồn Acrilic  T10 .nháp'!C$6:E$115,3,0)</f>
        <v>Korea</v>
      </c>
      <c r="F322" s="2" t="s">
        <v>8</v>
      </c>
      <c r="G322" s="2" t="s">
        <v>9</v>
      </c>
      <c r="H322" s="6">
        <f>VLOOKUP(B322,'[1]Tồn Acrilic  T10'!C$6:F$346,4,0)</f>
        <v>302</v>
      </c>
    </row>
    <row r="323" spans="1:8" ht="15.6" x14ac:dyDescent="0.3">
      <c r="A323" s="2">
        <v>320</v>
      </c>
      <c r="B323" s="2" t="s">
        <v>651</v>
      </c>
      <c r="C323" s="2" t="s">
        <v>652</v>
      </c>
      <c r="D323" s="6"/>
      <c r="E323" s="6"/>
      <c r="F323" s="2" t="s">
        <v>12</v>
      </c>
      <c r="G323" s="2" t="s">
        <v>9</v>
      </c>
      <c r="H323" s="6">
        <f>VLOOKUP(B323,'[1]Tồn Acrilic  T10'!C$6:F$346,4,0)</f>
        <v>0</v>
      </c>
    </row>
    <row r="324" spans="1:8" ht="15.6" x14ac:dyDescent="0.3">
      <c r="A324" s="2">
        <v>321</v>
      </c>
      <c r="B324" s="2" t="s">
        <v>653</v>
      </c>
      <c r="C324" s="2" t="s">
        <v>654</v>
      </c>
      <c r="D324" s="6"/>
      <c r="E324" s="6"/>
      <c r="F324" s="2" t="s">
        <v>15</v>
      </c>
      <c r="G324" s="2" t="s">
        <v>9</v>
      </c>
      <c r="H324" s="6">
        <v>0</v>
      </c>
    </row>
    <row r="325" spans="1:8" ht="15.6" x14ac:dyDescent="0.3">
      <c r="A325" s="2">
        <v>322</v>
      </c>
      <c r="B325" s="2" t="s">
        <v>655</v>
      </c>
      <c r="C325" s="2" t="s">
        <v>656</v>
      </c>
      <c r="D325" s="6"/>
      <c r="E325" s="6"/>
      <c r="F325" s="2" t="s">
        <v>18</v>
      </c>
      <c r="G325" s="2" t="s">
        <v>9</v>
      </c>
      <c r="H325" s="6">
        <v>0</v>
      </c>
    </row>
    <row r="326" spans="1:8" ht="15.6" x14ac:dyDescent="0.3">
      <c r="A326" s="2">
        <v>323</v>
      </c>
      <c r="B326" s="2" t="s">
        <v>657</v>
      </c>
      <c r="C326" s="2" t="s">
        <v>658</v>
      </c>
      <c r="D326" s="6"/>
      <c r="E326" s="6"/>
      <c r="F326" s="2" t="s">
        <v>21</v>
      </c>
      <c r="G326" s="2" t="s">
        <v>9</v>
      </c>
      <c r="H326" s="6">
        <f>VLOOKUP(B326,'[1]Tồn Acrilic  T10'!C$6:F$346,4,0)</f>
        <v>0</v>
      </c>
    </row>
    <row r="327" spans="1:8" ht="15.6" x14ac:dyDescent="0.3">
      <c r="A327" s="2">
        <v>324</v>
      </c>
      <c r="B327" s="2" t="s">
        <v>659</v>
      </c>
      <c r="C327" s="2" t="s">
        <v>660</v>
      </c>
      <c r="D327" s="6"/>
      <c r="E327" s="6"/>
      <c r="F327" s="2" t="s">
        <v>24</v>
      </c>
      <c r="G327" s="2" t="s">
        <v>9</v>
      </c>
      <c r="H327" s="6">
        <v>0</v>
      </c>
    </row>
    <row r="328" spans="1:8" ht="15.6" x14ac:dyDescent="0.3">
      <c r="A328" s="2">
        <v>325</v>
      </c>
      <c r="B328" s="2" t="s">
        <v>661</v>
      </c>
      <c r="C328" s="2" t="s">
        <v>662</v>
      </c>
      <c r="D328" s="6" t="str">
        <f>VLOOKUP(B328,'[1]Tồn Acrilic  T10 .nháp'!C$6:E$115,2,0)</f>
        <v>Acrylic, AM1800TopX, silver metallic 85385 color, size 1220x2440x0.8mm</v>
      </c>
      <c r="E328" s="6" t="str">
        <f>VLOOKUP(B328,'[1]Tồn Acrilic  T10 .nháp'!C$6:E$115,3,0)</f>
        <v>Austria</v>
      </c>
      <c r="F328" s="2" t="s">
        <v>8</v>
      </c>
      <c r="G328" s="2" t="s">
        <v>9</v>
      </c>
      <c r="H328" s="6">
        <f>VLOOKUP(B328,'[1]Tồn Acrilic  T10'!C$6:F$346,4,0)</f>
        <v>1241</v>
      </c>
    </row>
    <row r="329" spans="1:8" ht="15.6" x14ac:dyDescent="0.3">
      <c r="A329" s="2">
        <v>326</v>
      </c>
      <c r="B329" s="2" t="s">
        <v>663</v>
      </c>
      <c r="C329" s="2" t="s">
        <v>664</v>
      </c>
      <c r="D329" s="6"/>
      <c r="E329" s="6"/>
      <c r="F329" s="2" t="s">
        <v>12</v>
      </c>
      <c r="G329" s="2" t="s">
        <v>9</v>
      </c>
      <c r="H329" s="6">
        <f>VLOOKUP(B329,'[1]Tồn Acrilic  T10'!C$6:F$346,4,0)</f>
        <v>0</v>
      </c>
    </row>
    <row r="330" spans="1:8" ht="15.6" x14ac:dyDescent="0.3">
      <c r="A330" s="2">
        <v>327</v>
      </c>
      <c r="B330" s="2" t="s">
        <v>665</v>
      </c>
      <c r="C330" s="2" t="s">
        <v>666</v>
      </c>
      <c r="D330" s="6"/>
      <c r="E330" s="6"/>
      <c r="F330" s="2" t="s">
        <v>15</v>
      </c>
      <c r="G330" s="2" t="s">
        <v>9</v>
      </c>
      <c r="H330" s="6">
        <v>0</v>
      </c>
    </row>
    <row r="331" spans="1:8" ht="15.6" x14ac:dyDescent="0.3">
      <c r="A331" s="2">
        <v>328</v>
      </c>
      <c r="B331" s="2" t="s">
        <v>667</v>
      </c>
      <c r="C331" s="2" t="s">
        <v>668</v>
      </c>
      <c r="D331" s="6"/>
      <c r="E331" s="6"/>
      <c r="F331" s="2" t="s">
        <v>18</v>
      </c>
      <c r="G331" s="2" t="s">
        <v>9</v>
      </c>
      <c r="H331" s="6">
        <v>0</v>
      </c>
    </row>
    <row r="332" spans="1:8" ht="15.6" x14ac:dyDescent="0.3">
      <c r="A332" s="2">
        <v>329</v>
      </c>
      <c r="B332" s="2" t="s">
        <v>669</v>
      </c>
      <c r="C332" s="2" t="s">
        <v>670</v>
      </c>
      <c r="D332" s="6"/>
      <c r="E332" s="6"/>
      <c r="F332" s="2" t="s">
        <v>21</v>
      </c>
      <c r="G332" s="2" t="s">
        <v>9</v>
      </c>
      <c r="H332" s="6">
        <f>VLOOKUP(B332,'[1]Tồn Acrilic  T10'!C$6:F$346,4,0)</f>
        <v>0</v>
      </c>
    </row>
    <row r="333" spans="1:8" ht="15.6" x14ac:dyDescent="0.3">
      <c r="A333" s="2">
        <v>330</v>
      </c>
      <c r="B333" s="2" t="s">
        <v>671</v>
      </c>
      <c r="C333" s="2" t="s">
        <v>672</v>
      </c>
      <c r="D333" s="6"/>
      <c r="E333" s="6"/>
      <c r="F333" s="2" t="s">
        <v>24</v>
      </c>
      <c r="G333" s="2" t="s">
        <v>9</v>
      </c>
      <c r="H333" s="6">
        <f>1</f>
        <v>1</v>
      </c>
    </row>
    <row r="334" spans="1:8" ht="15.6" x14ac:dyDescent="0.3">
      <c r="A334" s="2">
        <v>331</v>
      </c>
      <c r="B334" s="2" t="s">
        <v>673</v>
      </c>
      <c r="C334" s="2" t="s">
        <v>674</v>
      </c>
      <c r="D334" s="6" t="str">
        <f>VLOOKUP(B334,'[1]Tồn Acrilic  T10 .nháp'!C$6:E$115,2,0)</f>
        <v>Acrylic siêu chống xước Áo, AM1800TopX, grey 85383 color GV24</v>
      </c>
      <c r="E334" s="6" t="str">
        <f>VLOOKUP(B334,'[1]Tồn Acrilic  T10 .nháp'!C$6:E$115,3,0)</f>
        <v>Austria</v>
      </c>
      <c r="F334" s="2" t="s">
        <v>8</v>
      </c>
      <c r="G334" s="2" t="s">
        <v>9</v>
      </c>
      <c r="H334" s="6">
        <f>VLOOKUP(B334,'[1]Tồn Acrilic  T10'!C$6:F$346,4,0)</f>
        <v>302</v>
      </c>
    </row>
    <row r="335" spans="1:8" ht="15.6" x14ac:dyDescent="0.3">
      <c r="A335" s="2">
        <v>332</v>
      </c>
      <c r="B335" s="2" t="s">
        <v>675</v>
      </c>
      <c r="C335" s="2" t="s">
        <v>676</v>
      </c>
      <c r="D335" s="6"/>
      <c r="E335" s="6"/>
      <c r="F335" s="2" t="s">
        <v>12</v>
      </c>
      <c r="G335" s="2" t="s">
        <v>9</v>
      </c>
      <c r="H335" s="6">
        <f>VLOOKUP(B335,'[1]Tồn Acrilic  T10'!C$6:F$346,4,0)</f>
        <v>0</v>
      </c>
    </row>
    <row r="336" spans="1:8" ht="15.6" x14ac:dyDescent="0.3">
      <c r="A336" s="2">
        <v>333</v>
      </c>
      <c r="B336" s="2" t="s">
        <v>677</v>
      </c>
      <c r="C336" s="2" t="s">
        <v>678</v>
      </c>
      <c r="D336" s="6"/>
      <c r="E336" s="6"/>
      <c r="F336" s="2" t="s">
        <v>15</v>
      </c>
      <c r="G336" s="2" t="s">
        <v>9</v>
      </c>
      <c r="H336" s="6">
        <v>0</v>
      </c>
    </row>
    <row r="337" spans="1:8" ht="15.6" x14ac:dyDescent="0.3">
      <c r="A337" s="2">
        <v>334</v>
      </c>
      <c r="B337" s="2" t="s">
        <v>679</v>
      </c>
      <c r="C337" s="2" t="s">
        <v>680</v>
      </c>
      <c r="D337" s="6"/>
      <c r="E337" s="6"/>
      <c r="F337" s="2" t="s">
        <v>18</v>
      </c>
      <c r="G337" s="2" t="s">
        <v>9</v>
      </c>
      <c r="H337" s="6">
        <v>0</v>
      </c>
    </row>
    <row r="338" spans="1:8" ht="15.6" x14ac:dyDescent="0.3">
      <c r="A338" s="2">
        <v>335</v>
      </c>
      <c r="B338" s="2" t="s">
        <v>681</v>
      </c>
      <c r="C338" s="2" t="s">
        <v>682</v>
      </c>
      <c r="D338" s="6"/>
      <c r="E338" s="6"/>
      <c r="F338" s="2" t="s">
        <v>21</v>
      </c>
      <c r="G338" s="2" t="s">
        <v>9</v>
      </c>
      <c r="H338" s="6">
        <f>VLOOKUP(B338,'[1]Tồn Acrilic  T10'!C$6:F$346,4,0)</f>
        <v>8</v>
      </c>
    </row>
    <row r="339" spans="1:8" ht="15.6" x14ac:dyDescent="0.3">
      <c r="A339" s="2">
        <v>336</v>
      </c>
      <c r="B339" s="2" t="s">
        <v>683</v>
      </c>
      <c r="C339" s="2" t="s">
        <v>684</v>
      </c>
      <c r="D339" s="6"/>
      <c r="E339" s="6"/>
      <c r="F339" s="2" t="s">
        <v>24</v>
      </c>
      <c r="G339" s="2" t="s">
        <v>9</v>
      </c>
      <c r="H339" s="6">
        <v>0</v>
      </c>
    </row>
    <row r="340" spans="1:8" ht="15.6" x14ac:dyDescent="0.3">
      <c r="A340" s="2">
        <v>337</v>
      </c>
      <c r="B340" s="2" t="s">
        <v>685</v>
      </c>
      <c r="C340" s="2" t="s">
        <v>686</v>
      </c>
      <c r="D340" s="6" t="str">
        <f>VLOOKUP(B340,'[1]Tồn Acrilic  T10 .nháp'!C$6:E$115,2,0)</f>
        <v>High Gloss Acrylic sheet, 72GR, GV25 mới</v>
      </c>
      <c r="E340" s="6" t="str">
        <f>VLOOKUP(B340,'[1]Tồn Acrilic  T10 .nháp'!C$6:E$115,3,0)</f>
        <v>Taiwan</v>
      </c>
      <c r="F340" s="2" t="s">
        <v>8</v>
      </c>
      <c r="G340" s="2" t="s">
        <v>9</v>
      </c>
      <c r="H340" s="6">
        <f>VLOOKUP(B340,'[1]Tồn Acrilic  T10'!C$6:F$346,4,0)</f>
        <v>406</v>
      </c>
    </row>
    <row r="341" spans="1:8" ht="15.6" x14ac:dyDescent="0.3">
      <c r="A341" s="2">
        <v>338</v>
      </c>
      <c r="B341" s="2" t="s">
        <v>687</v>
      </c>
      <c r="C341" s="2" t="s">
        <v>688</v>
      </c>
      <c r="D341" s="6"/>
      <c r="E341" s="6"/>
      <c r="F341" s="2" t="s">
        <v>12</v>
      </c>
      <c r="G341" s="2" t="s">
        <v>9</v>
      </c>
      <c r="H341" s="6">
        <f>VLOOKUP(B341,'[1]Tồn Acrilic  T10'!C$6:F$346,4,0)</f>
        <v>0</v>
      </c>
    </row>
    <row r="342" spans="1:8" ht="15.6" x14ac:dyDescent="0.3">
      <c r="A342" s="2">
        <v>339</v>
      </c>
      <c r="B342" s="2" t="s">
        <v>689</v>
      </c>
      <c r="C342" s="2" t="s">
        <v>690</v>
      </c>
      <c r="D342" s="6"/>
      <c r="E342" s="6"/>
      <c r="F342" s="2" t="s">
        <v>15</v>
      </c>
      <c r="G342" s="2" t="s">
        <v>9</v>
      </c>
      <c r="H342" s="6">
        <v>0</v>
      </c>
    </row>
    <row r="343" spans="1:8" ht="15.6" x14ac:dyDescent="0.3">
      <c r="A343" s="2">
        <v>340</v>
      </c>
      <c r="B343" s="2" t="s">
        <v>691</v>
      </c>
      <c r="C343" s="2" t="s">
        <v>692</v>
      </c>
      <c r="D343" s="6"/>
      <c r="E343" s="6"/>
      <c r="F343" s="2" t="s">
        <v>18</v>
      </c>
      <c r="G343" s="2" t="s">
        <v>9</v>
      </c>
      <c r="H343" s="6">
        <v>0</v>
      </c>
    </row>
    <row r="344" spans="1:8" ht="15.6" x14ac:dyDescent="0.3">
      <c r="A344" s="2">
        <v>341</v>
      </c>
      <c r="B344" s="2" t="s">
        <v>693</v>
      </c>
      <c r="C344" s="2" t="s">
        <v>694</v>
      </c>
      <c r="D344" s="6"/>
      <c r="E344" s="6"/>
      <c r="F344" s="2" t="s">
        <v>21</v>
      </c>
      <c r="G344" s="2" t="s">
        <v>9</v>
      </c>
      <c r="H344" s="6">
        <f>VLOOKUP(B344,'[1]Tồn Acrilic  T10'!C$6:F$346,4,0)</f>
        <v>7</v>
      </c>
    </row>
    <row r="345" spans="1:8" ht="15.6" x14ac:dyDescent="0.3">
      <c r="A345" s="2">
        <v>342</v>
      </c>
      <c r="B345" s="2" t="s">
        <v>695</v>
      </c>
      <c r="C345" s="2" t="s">
        <v>696</v>
      </c>
      <c r="D345" s="6"/>
      <c r="E345" s="6"/>
      <c r="F345" s="2" t="s">
        <v>24</v>
      </c>
      <c r="G345" s="2" t="s">
        <v>9</v>
      </c>
      <c r="H345" s="6">
        <v>0</v>
      </c>
    </row>
    <row r="346" spans="1:8" ht="15.6" x14ac:dyDescent="0.3">
      <c r="A346" s="2">
        <v>343</v>
      </c>
      <c r="B346" s="2" t="s">
        <v>697</v>
      </c>
      <c r="C346" s="2" t="s">
        <v>698</v>
      </c>
      <c r="D346" s="6" t="str">
        <f>VLOOKUP(B346,'[1]Tồn Acrilic  T10 .nháp'!C$6:E$115,2,0)</f>
        <v>Acrylic, AM1800TopX, silver metallic 85387 color, size 1220x2440x0.8mm</v>
      </c>
      <c r="E346" s="6" t="str">
        <f>VLOOKUP(B346,'[1]Tồn Acrilic  T10 .nháp'!C$6:E$115,3,0)</f>
        <v>Austria</v>
      </c>
      <c r="F346" s="2" t="s">
        <v>8</v>
      </c>
      <c r="G346" s="2" t="s">
        <v>9</v>
      </c>
      <c r="H346" s="6">
        <f>VLOOKUP(B346,'[1]Tồn Acrilic  T10'!C$6:F$346,4,0)</f>
        <v>460</v>
      </c>
    </row>
    <row r="347" spans="1:8" ht="15.6" x14ac:dyDescent="0.3">
      <c r="A347" s="2">
        <v>344</v>
      </c>
      <c r="B347" s="2" t="s">
        <v>699</v>
      </c>
      <c r="C347" s="2" t="s">
        <v>700</v>
      </c>
      <c r="D347" s="6"/>
      <c r="E347" s="6"/>
      <c r="F347" s="2" t="s">
        <v>12</v>
      </c>
      <c r="G347" s="2" t="s">
        <v>9</v>
      </c>
      <c r="H347" s="6">
        <f>VLOOKUP(B347,'[1]Tồn Acrilic  T10'!C$6:F$346,4,0)</f>
        <v>0</v>
      </c>
    </row>
    <row r="348" spans="1:8" ht="15.6" x14ac:dyDescent="0.3">
      <c r="A348" s="2">
        <v>345</v>
      </c>
      <c r="B348" s="2" t="s">
        <v>701</v>
      </c>
      <c r="C348" s="2" t="s">
        <v>702</v>
      </c>
      <c r="D348" s="6"/>
      <c r="E348" s="6"/>
      <c r="F348" s="2" t="s">
        <v>15</v>
      </c>
      <c r="G348" s="2" t="s">
        <v>9</v>
      </c>
      <c r="H348" s="6">
        <v>0</v>
      </c>
    </row>
    <row r="349" spans="1:8" ht="15.6" x14ac:dyDescent="0.3">
      <c r="A349" s="2">
        <v>346</v>
      </c>
      <c r="B349" s="2" t="s">
        <v>703</v>
      </c>
      <c r="C349" s="2" t="s">
        <v>704</v>
      </c>
      <c r="D349" s="6"/>
      <c r="E349" s="6"/>
      <c r="F349" s="2" t="s">
        <v>18</v>
      </c>
      <c r="G349" s="2" t="s">
        <v>9</v>
      </c>
      <c r="H349" s="6">
        <v>0</v>
      </c>
    </row>
    <row r="350" spans="1:8" ht="15.6" x14ac:dyDescent="0.3">
      <c r="A350" s="2">
        <v>347</v>
      </c>
      <c r="B350" s="2" t="s">
        <v>705</v>
      </c>
      <c r="C350" s="2" t="s">
        <v>706</v>
      </c>
      <c r="D350" s="6"/>
      <c r="E350" s="6"/>
      <c r="F350" s="2" t="s">
        <v>21</v>
      </c>
      <c r="G350" s="2" t="s">
        <v>9</v>
      </c>
      <c r="H350" s="6">
        <f>VLOOKUP(B350,'[1]Tồn Acrilic  T10'!C$6:F$346,4,0)</f>
        <v>0</v>
      </c>
    </row>
    <row r="351" spans="1:8" ht="15.6" x14ac:dyDescent="0.3">
      <c r="A351" s="2">
        <v>348</v>
      </c>
      <c r="B351" s="2" t="s">
        <v>707</v>
      </c>
      <c r="C351" s="2" t="s">
        <v>708</v>
      </c>
      <c r="D351" s="6"/>
      <c r="E351" s="6"/>
      <c r="F351" s="2" t="s">
        <v>24</v>
      </c>
      <c r="G351" s="2" t="s">
        <v>9</v>
      </c>
      <c r="H351" s="6">
        <v>0</v>
      </c>
    </row>
    <row r="352" spans="1:8" ht="15.6" x14ac:dyDescent="0.3">
      <c r="A352" s="2">
        <v>349</v>
      </c>
      <c r="B352" s="2" t="s">
        <v>709</v>
      </c>
      <c r="C352" s="2" t="s">
        <v>710</v>
      </c>
      <c r="D352" s="6" t="str">
        <f>VLOOKUP(B352,'[1]Tồn Acrilic  T10 .nháp'!C$6:E$115,2,0)</f>
        <v>Acrylic UltraGloss, Graphite Metallic SO10-905 color GV27</v>
      </c>
      <c r="E352" s="6" t="str">
        <f>VLOOKUP(B352,'[1]Tồn Acrilic  T10 .nháp'!C$6:E$115,3,0)</f>
        <v>Korea</v>
      </c>
      <c r="F352" s="2" t="s">
        <v>8</v>
      </c>
      <c r="G352" s="2" t="s">
        <v>9</v>
      </c>
      <c r="H352" s="6">
        <f>VLOOKUP(B352,'[1]Tồn Acrilic  T10'!C$6:F$346,4,0)</f>
        <v>806</v>
      </c>
    </row>
    <row r="353" spans="1:8" ht="15.6" x14ac:dyDescent="0.3">
      <c r="A353" s="2">
        <v>350</v>
      </c>
      <c r="B353" s="2" t="s">
        <v>711</v>
      </c>
      <c r="C353" s="2" t="s">
        <v>712</v>
      </c>
      <c r="D353" s="6"/>
      <c r="E353" s="6"/>
      <c r="F353" s="2" t="s">
        <v>12</v>
      </c>
      <c r="G353" s="2" t="s">
        <v>9</v>
      </c>
      <c r="H353" s="6">
        <f>VLOOKUP(B353,'[1]Tồn Acrilic  T10'!C$6:F$346,4,0)</f>
        <v>0</v>
      </c>
    </row>
    <row r="354" spans="1:8" ht="15.6" x14ac:dyDescent="0.3">
      <c r="A354" s="2">
        <v>351</v>
      </c>
      <c r="B354" s="2" t="s">
        <v>713</v>
      </c>
      <c r="C354" s="2" t="s">
        <v>714</v>
      </c>
      <c r="D354" s="6"/>
      <c r="E354" s="6"/>
      <c r="F354" s="2" t="s">
        <v>15</v>
      </c>
      <c r="G354" s="2" t="s">
        <v>9</v>
      </c>
      <c r="H354" s="6">
        <v>0</v>
      </c>
    </row>
    <row r="355" spans="1:8" ht="15.6" x14ac:dyDescent="0.3">
      <c r="A355" s="2">
        <v>352</v>
      </c>
      <c r="B355" s="2" t="s">
        <v>715</v>
      </c>
      <c r="C355" s="2" t="s">
        <v>716</v>
      </c>
      <c r="D355" s="6"/>
      <c r="E355" s="6"/>
      <c r="F355" s="2" t="s">
        <v>18</v>
      </c>
      <c r="G355" s="2" t="s">
        <v>9</v>
      </c>
      <c r="H355" s="6">
        <v>0</v>
      </c>
    </row>
    <row r="356" spans="1:8" ht="15.6" x14ac:dyDescent="0.3">
      <c r="A356" s="2">
        <v>353</v>
      </c>
      <c r="B356" s="2" t="s">
        <v>717</v>
      </c>
      <c r="C356" s="2" t="s">
        <v>718</v>
      </c>
      <c r="D356" s="6"/>
      <c r="E356" s="6"/>
      <c r="F356" s="2" t="s">
        <v>21</v>
      </c>
      <c r="G356" s="2" t="s">
        <v>9</v>
      </c>
      <c r="H356" s="6">
        <f>VLOOKUP(B356,'[1]Tồn Acrilic  T10'!C$6:F$346,4,0)</f>
        <v>7</v>
      </c>
    </row>
    <row r="357" spans="1:8" ht="15.6" x14ac:dyDescent="0.3">
      <c r="A357" s="2">
        <v>354</v>
      </c>
      <c r="B357" s="2" t="s">
        <v>719</v>
      </c>
      <c r="C357" s="2" t="s">
        <v>720</v>
      </c>
      <c r="D357" s="6"/>
      <c r="E357" s="6"/>
      <c r="F357" s="2" t="s">
        <v>24</v>
      </c>
      <c r="G357" s="2" t="s">
        <v>9</v>
      </c>
      <c r="H357" s="6">
        <v>0</v>
      </c>
    </row>
    <row r="358" spans="1:8" ht="15.6" x14ac:dyDescent="0.3">
      <c r="A358" s="2">
        <v>355</v>
      </c>
      <c r="B358" s="2" t="s">
        <v>721</v>
      </c>
      <c r="C358" s="2" t="s">
        <v>722</v>
      </c>
      <c r="D358" s="6" t="str">
        <f>VLOOKUP(B358,'[1]Tồn Acrilic  T10 .nháp'!C$6:E$115,2,0)</f>
        <v>Acrylic UltraGloss, Slate SO10-702 color GV28</v>
      </c>
      <c r="E358" s="6" t="str">
        <f>VLOOKUP(B358,'[1]Tồn Acrilic  T10 .nháp'!C$6:E$115,3,0)</f>
        <v>Korea</v>
      </c>
      <c r="F358" s="2" t="s">
        <v>8</v>
      </c>
      <c r="G358" s="2" t="s">
        <v>9</v>
      </c>
      <c r="H358" s="6">
        <f>VLOOKUP(B358,'[1]Tồn Acrilic  T10'!C$6:F$346,4,0)</f>
        <v>1156</v>
      </c>
    </row>
    <row r="359" spans="1:8" ht="15.6" x14ac:dyDescent="0.3">
      <c r="A359" s="2">
        <v>356</v>
      </c>
      <c r="B359" s="2" t="s">
        <v>723</v>
      </c>
      <c r="C359" s="2" t="s">
        <v>724</v>
      </c>
      <c r="D359" s="6"/>
      <c r="E359" s="6"/>
      <c r="F359" s="2" t="s">
        <v>12</v>
      </c>
      <c r="G359" s="2" t="s">
        <v>9</v>
      </c>
      <c r="H359" s="6">
        <f>VLOOKUP(B359,'[1]Tồn Acrilic  T10'!C$6:F$346,4,0)</f>
        <v>0</v>
      </c>
    </row>
    <row r="360" spans="1:8" ht="15.6" x14ac:dyDescent="0.3">
      <c r="A360" s="2">
        <v>357</v>
      </c>
      <c r="B360" s="2" t="s">
        <v>725</v>
      </c>
      <c r="C360" s="2" t="s">
        <v>726</v>
      </c>
      <c r="D360" s="6"/>
      <c r="E360" s="6"/>
      <c r="F360" s="2" t="s">
        <v>15</v>
      </c>
      <c r="G360" s="2" t="s">
        <v>9</v>
      </c>
      <c r="H360" s="6">
        <f>2</f>
        <v>2</v>
      </c>
    </row>
    <row r="361" spans="1:8" ht="15.6" x14ac:dyDescent="0.3">
      <c r="A361" s="2">
        <v>358</v>
      </c>
      <c r="B361" s="2" t="s">
        <v>727</v>
      </c>
      <c r="C361" s="2" t="s">
        <v>728</v>
      </c>
      <c r="D361" s="6"/>
      <c r="E361" s="6"/>
      <c r="F361" s="2" t="s">
        <v>18</v>
      </c>
      <c r="G361" s="2" t="s">
        <v>9</v>
      </c>
      <c r="H361" s="6">
        <v>0</v>
      </c>
    </row>
    <row r="362" spans="1:8" ht="15.6" x14ac:dyDescent="0.3">
      <c r="A362" s="2">
        <v>359</v>
      </c>
      <c r="B362" s="2" t="s">
        <v>729</v>
      </c>
      <c r="C362" s="2" t="s">
        <v>730</v>
      </c>
      <c r="D362" s="6"/>
      <c r="E362" s="6"/>
      <c r="F362" s="2" t="s">
        <v>21</v>
      </c>
      <c r="G362" s="2" t="s">
        <v>9</v>
      </c>
      <c r="H362" s="6">
        <f>VLOOKUP(B362,'[1]Tồn Acrilic  T10'!C$6:F$346,4,0)</f>
        <v>0</v>
      </c>
    </row>
    <row r="363" spans="1:8" ht="15.6" x14ac:dyDescent="0.3">
      <c r="A363" s="2">
        <v>360</v>
      </c>
      <c r="B363" s="2" t="s">
        <v>731</v>
      </c>
      <c r="C363" s="2" t="s">
        <v>732</v>
      </c>
      <c r="D363" s="6"/>
      <c r="E363" s="6"/>
      <c r="F363" s="2" t="s">
        <v>24</v>
      </c>
      <c r="G363" s="2" t="s">
        <v>9</v>
      </c>
      <c r="H363" s="6">
        <v>0</v>
      </c>
    </row>
    <row r="364" spans="1:8" ht="15.6" x14ac:dyDescent="0.3">
      <c r="A364" s="2">
        <v>361</v>
      </c>
      <c r="B364" s="2" t="s">
        <v>733</v>
      </c>
      <c r="C364" s="2" t="s">
        <v>734</v>
      </c>
      <c r="D364" s="6" t="str">
        <f>VLOOKUP(B364,'[1]Tồn Acrilic  T10 .nháp'!C$6:E$115,2,0)</f>
        <v>Acrylic siêu chống xước Áo, AM1800TopX, dark grey 85382 color GV29</v>
      </c>
      <c r="E364" s="6" t="str">
        <f>VLOOKUP(B364,'[1]Tồn Acrilic  T10 .nháp'!C$6:E$115,3,0)</f>
        <v>Austria</v>
      </c>
      <c r="F364" s="2" t="s">
        <v>8</v>
      </c>
      <c r="G364" s="2" t="s">
        <v>9</v>
      </c>
      <c r="H364" s="6">
        <f>VLOOKUP(B364,'[1]Tồn Acrilic  T10'!C$6:F$346,4,0)</f>
        <v>480</v>
      </c>
    </row>
    <row r="365" spans="1:8" ht="15.6" x14ac:dyDescent="0.3">
      <c r="A365" s="2">
        <v>362</v>
      </c>
      <c r="B365" s="2" t="s">
        <v>735</v>
      </c>
      <c r="C365" s="2" t="s">
        <v>736</v>
      </c>
      <c r="D365" s="6"/>
      <c r="E365" s="6"/>
      <c r="F365" s="2" t="s">
        <v>12</v>
      </c>
      <c r="G365" s="2" t="s">
        <v>9</v>
      </c>
      <c r="H365" s="6">
        <f>VLOOKUP(B365,'[1]Tồn Acrilic  T10'!C$6:F$346,4,0)</f>
        <v>13</v>
      </c>
    </row>
    <row r="366" spans="1:8" ht="15.6" x14ac:dyDescent="0.3">
      <c r="A366" s="2">
        <v>363</v>
      </c>
      <c r="B366" s="2" t="s">
        <v>737</v>
      </c>
      <c r="C366" s="2" t="s">
        <v>738</v>
      </c>
      <c r="D366" s="6"/>
      <c r="E366" s="6"/>
      <c r="F366" s="2" t="s">
        <v>15</v>
      </c>
      <c r="G366" s="2" t="s">
        <v>9</v>
      </c>
      <c r="H366" s="6">
        <v>0</v>
      </c>
    </row>
    <row r="367" spans="1:8" ht="15.6" x14ac:dyDescent="0.3">
      <c r="A367" s="2">
        <v>364</v>
      </c>
      <c r="B367" s="2" t="s">
        <v>739</v>
      </c>
      <c r="C367" s="2" t="s">
        <v>740</v>
      </c>
      <c r="D367" s="6"/>
      <c r="E367" s="6"/>
      <c r="F367" s="2" t="s">
        <v>18</v>
      </c>
      <c r="G367" s="2" t="s">
        <v>9</v>
      </c>
      <c r="H367" s="6">
        <v>0</v>
      </c>
    </row>
    <row r="368" spans="1:8" ht="15.6" x14ac:dyDescent="0.3">
      <c r="A368" s="2">
        <v>365</v>
      </c>
      <c r="B368" s="2" t="s">
        <v>741</v>
      </c>
      <c r="C368" s="2" t="s">
        <v>742</v>
      </c>
      <c r="D368" s="6"/>
      <c r="E368" s="6"/>
      <c r="F368" s="2" t="s">
        <v>21</v>
      </c>
      <c r="G368" s="2" t="s">
        <v>9</v>
      </c>
      <c r="H368" s="6">
        <f>VLOOKUP(B368,'[1]Tồn Acrilic  T10'!C$6:F$346,4,0)</f>
        <v>12</v>
      </c>
    </row>
    <row r="369" spans="1:8" ht="15.6" x14ac:dyDescent="0.3">
      <c r="A369" s="2">
        <v>366</v>
      </c>
      <c r="B369" s="2" t="s">
        <v>743</v>
      </c>
      <c r="C369" s="2" t="s">
        <v>744</v>
      </c>
      <c r="D369" s="6"/>
      <c r="E369" s="6"/>
      <c r="F369" s="2" t="s">
        <v>24</v>
      </c>
      <c r="G369" s="2" t="s">
        <v>9</v>
      </c>
      <c r="H369" s="6">
        <v>0</v>
      </c>
    </row>
    <row r="370" spans="1:8" ht="15.6" x14ac:dyDescent="0.3">
      <c r="A370" s="2">
        <v>367</v>
      </c>
      <c r="B370" s="2" t="s">
        <v>745</v>
      </c>
      <c r="C370" s="2" t="s">
        <v>746</v>
      </c>
      <c r="D370" s="6" t="str">
        <f>VLOOKUP(B370,'[1]Tồn Acrilic  T10 .nháp'!C$6:E$115,2,0)</f>
        <v>Acrylic UltraGloss, Cappuccino SO10-203 color GV30</v>
      </c>
      <c r="E370" s="6" t="str">
        <f>VLOOKUP(B370,'[1]Tồn Acrilic  T10 .nháp'!C$6:E$115,3,0)</f>
        <v>Korea</v>
      </c>
      <c r="F370" s="2" t="s">
        <v>8</v>
      </c>
      <c r="G370" s="2" t="s">
        <v>9</v>
      </c>
      <c r="H370" s="6">
        <f>VLOOKUP(B370,'[1]Tồn Acrilic  T10'!C$6:F$346,4,0)</f>
        <v>180</v>
      </c>
    </row>
    <row r="371" spans="1:8" ht="15.6" x14ac:dyDescent="0.3">
      <c r="A371" s="2">
        <v>368</v>
      </c>
      <c r="B371" s="2" t="s">
        <v>747</v>
      </c>
      <c r="C371" s="2" t="s">
        <v>748</v>
      </c>
      <c r="D371" s="6"/>
      <c r="E371" s="6"/>
      <c r="F371" s="2" t="s">
        <v>12</v>
      </c>
      <c r="G371" s="2" t="s">
        <v>9</v>
      </c>
      <c r="H371" s="6">
        <f>VLOOKUP(B371,'[1]Tồn Acrilic  T10'!C$6:F$346,4,0)</f>
        <v>18</v>
      </c>
    </row>
    <row r="372" spans="1:8" ht="15.6" x14ac:dyDescent="0.3">
      <c r="A372" s="2">
        <v>369</v>
      </c>
      <c r="B372" s="2" t="s">
        <v>749</v>
      </c>
      <c r="C372" s="2" t="s">
        <v>750</v>
      </c>
      <c r="D372" s="6"/>
      <c r="E372" s="6"/>
      <c r="F372" s="2" t="s">
        <v>15</v>
      </c>
      <c r="G372" s="2" t="s">
        <v>9</v>
      </c>
      <c r="H372" s="6">
        <v>0</v>
      </c>
    </row>
    <row r="373" spans="1:8" ht="15.6" x14ac:dyDescent="0.3">
      <c r="A373" s="2">
        <v>370</v>
      </c>
      <c r="B373" s="2" t="s">
        <v>751</v>
      </c>
      <c r="C373" s="2" t="s">
        <v>752</v>
      </c>
      <c r="D373" s="6"/>
      <c r="E373" s="6"/>
      <c r="F373" s="2" t="s">
        <v>18</v>
      </c>
      <c r="G373" s="2" t="s">
        <v>9</v>
      </c>
      <c r="H373" s="6">
        <v>0</v>
      </c>
    </row>
    <row r="374" spans="1:8" ht="15.6" x14ac:dyDescent="0.3">
      <c r="A374" s="2">
        <v>371</v>
      </c>
      <c r="B374" s="2" t="s">
        <v>753</v>
      </c>
      <c r="C374" s="2" t="s">
        <v>754</v>
      </c>
      <c r="D374" s="6"/>
      <c r="E374" s="6"/>
      <c r="F374" s="2" t="s">
        <v>21</v>
      </c>
      <c r="G374" s="2" t="s">
        <v>9</v>
      </c>
      <c r="H374" s="6">
        <f>VLOOKUP(B374,'[1]Tồn Acrilic  T10'!C$6:F$346,4,0)</f>
        <v>6</v>
      </c>
    </row>
    <row r="375" spans="1:8" ht="15.6" x14ac:dyDescent="0.3">
      <c r="A375" s="2">
        <v>372</v>
      </c>
      <c r="B375" s="2" t="s">
        <v>755</v>
      </c>
      <c r="C375" s="2" t="s">
        <v>756</v>
      </c>
      <c r="D375" s="6"/>
      <c r="E375" s="6"/>
      <c r="F375" s="2" t="s">
        <v>24</v>
      </c>
      <c r="G375" s="2" t="s">
        <v>9</v>
      </c>
      <c r="H375" s="6">
        <v>0</v>
      </c>
    </row>
    <row r="376" spans="1:8" ht="15.6" x14ac:dyDescent="0.3">
      <c r="A376" s="2">
        <v>373</v>
      </c>
      <c r="B376" s="2" t="s">
        <v>757</v>
      </c>
      <c r="C376" s="2" t="s">
        <v>758</v>
      </c>
      <c r="D376" s="6" t="str">
        <f>VLOOKUP(B376,'[1]Tồn Acrilic  T10 .nháp'!C$6:E$115,2,0)</f>
        <v>UltraGloss_Gold Metallic 902 color GV31</v>
      </c>
      <c r="E376" s="6" t="str">
        <f>VLOOKUP(B376,'[1]Tồn Acrilic  T10 .nháp'!C$6:E$115,3,0)</f>
        <v>Korea</v>
      </c>
      <c r="F376" s="2" t="s">
        <v>8</v>
      </c>
      <c r="G376" s="2" t="s">
        <v>9</v>
      </c>
      <c r="H376" s="6">
        <f>VLOOKUP(B376,'[1]Tồn Acrilic  T10'!C$6:F$346,4,0)</f>
        <v>369</v>
      </c>
    </row>
    <row r="377" spans="1:8" ht="15.6" x14ac:dyDescent="0.3">
      <c r="A377" s="2">
        <v>374</v>
      </c>
      <c r="B377" s="2" t="s">
        <v>759</v>
      </c>
      <c r="C377" s="2" t="s">
        <v>760</v>
      </c>
      <c r="D377" s="6"/>
      <c r="E377" s="6"/>
      <c r="F377" s="2" t="s">
        <v>12</v>
      </c>
      <c r="G377" s="2" t="s">
        <v>9</v>
      </c>
      <c r="H377" s="6">
        <f>VLOOKUP(B377,'[1]Tồn Acrilic  T10'!C$6:F$346,4,0)</f>
        <v>0</v>
      </c>
    </row>
    <row r="378" spans="1:8" ht="15.6" x14ac:dyDescent="0.3">
      <c r="A378" s="2">
        <v>375</v>
      </c>
      <c r="B378" s="2" t="s">
        <v>761</v>
      </c>
      <c r="C378" s="2" t="s">
        <v>762</v>
      </c>
      <c r="D378" s="6"/>
      <c r="E378" s="6"/>
      <c r="F378" s="2" t="s">
        <v>15</v>
      </c>
      <c r="G378" s="2" t="s">
        <v>9</v>
      </c>
      <c r="H378" s="6">
        <v>0</v>
      </c>
    </row>
    <row r="379" spans="1:8" ht="15.6" x14ac:dyDescent="0.3">
      <c r="A379" s="2">
        <v>376</v>
      </c>
      <c r="B379" s="2" t="s">
        <v>763</v>
      </c>
      <c r="C379" s="2" t="s">
        <v>764</v>
      </c>
      <c r="D379" s="6"/>
      <c r="E379" s="6"/>
      <c r="F379" s="2" t="s">
        <v>18</v>
      </c>
      <c r="G379" s="2" t="s">
        <v>9</v>
      </c>
      <c r="H379" s="6">
        <v>0</v>
      </c>
    </row>
    <row r="380" spans="1:8" ht="15.6" x14ac:dyDescent="0.3">
      <c r="A380" s="2">
        <v>377</v>
      </c>
      <c r="B380" s="2" t="s">
        <v>765</v>
      </c>
      <c r="C380" s="2" t="s">
        <v>766</v>
      </c>
      <c r="D380" s="6"/>
      <c r="E380" s="6"/>
      <c r="F380" s="2" t="s">
        <v>21</v>
      </c>
      <c r="G380" s="2" t="s">
        <v>9</v>
      </c>
      <c r="H380" s="6">
        <f>VLOOKUP(B380,'[1]Tồn Acrilic  T10'!C$6:F$346,4,0)</f>
        <v>5</v>
      </c>
    </row>
    <row r="381" spans="1:8" ht="15.6" x14ac:dyDescent="0.3">
      <c r="A381" s="2">
        <v>378</v>
      </c>
      <c r="B381" s="2" t="s">
        <v>767</v>
      </c>
      <c r="C381" s="2" t="s">
        <v>768</v>
      </c>
      <c r="D381" s="6"/>
      <c r="E381" s="6"/>
      <c r="F381" s="2" t="s">
        <v>24</v>
      </c>
      <c r="G381" s="2" t="s">
        <v>9</v>
      </c>
      <c r="H381" s="6">
        <v>0</v>
      </c>
    </row>
    <row r="382" spans="1:8" ht="15.6" x14ac:dyDescent="0.3">
      <c r="A382" s="2">
        <v>379</v>
      </c>
      <c r="B382" s="2" t="s">
        <v>769</v>
      </c>
      <c r="C382" s="2" t="s">
        <v>770</v>
      </c>
      <c r="D382" s="6" t="str">
        <f>VLOOKUP(B382,'[1]Tồn Acrilic  T10 .nháp'!C$6:E$115,2,0)</f>
        <v>Acrylic UltraMatte Arctic White SM10-102 color, GV32</v>
      </c>
      <c r="E382" s="6" t="str">
        <f>VLOOKUP(B382,'[1]Tồn Acrilic  T10 .nháp'!C$6:E$115,3,0)</f>
        <v>Korea</v>
      </c>
      <c r="F382" s="2" t="s">
        <v>8</v>
      </c>
      <c r="G382" s="2" t="s">
        <v>9</v>
      </c>
      <c r="H382" s="6">
        <f>VLOOKUP(B382,'[1]Tồn Acrilic  T10'!C$6:F$346,4,0)</f>
        <v>386</v>
      </c>
    </row>
    <row r="383" spans="1:8" ht="15.6" x14ac:dyDescent="0.3">
      <c r="A383" s="2">
        <v>380</v>
      </c>
      <c r="B383" s="2" t="s">
        <v>771</v>
      </c>
      <c r="C383" s="2" t="s">
        <v>772</v>
      </c>
      <c r="D383" s="6"/>
      <c r="E383" s="6"/>
      <c r="F383" s="2" t="s">
        <v>12</v>
      </c>
      <c r="G383" s="2" t="s">
        <v>9</v>
      </c>
      <c r="H383" s="6">
        <f>VLOOKUP(B383,'[1]Tồn Acrilic  T10'!C$6:F$346,4,0)</f>
        <v>0</v>
      </c>
    </row>
    <row r="384" spans="1:8" ht="15.6" x14ac:dyDescent="0.3">
      <c r="A384" s="2">
        <v>381</v>
      </c>
      <c r="B384" s="2" t="s">
        <v>773</v>
      </c>
      <c r="C384" s="2" t="s">
        <v>774</v>
      </c>
      <c r="D384" s="6"/>
      <c r="E384" s="6"/>
      <c r="F384" s="2" t="s">
        <v>15</v>
      </c>
      <c r="G384" s="2" t="s">
        <v>9</v>
      </c>
      <c r="H384" s="6">
        <v>0</v>
      </c>
    </row>
    <row r="385" spans="1:8" ht="15.6" x14ac:dyDescent="0.3">
      <c r="A385" s="2">
        <v>382</v>
      </c>
      <c r="B385" s="2" t="s">
        <v>775</v>
      </c>
      <c r="C385" s="2" t="s">
        <v>776</v>
      </c>
      <c r="D385" s="6"/>
      <c r="E385" s="6"/>
      <c r="F385" s="2" t="s">
        <v>18</v>
      </c>
      <c r="G385" s="2" t="s">
        <v>9</v>
      </c>
      <c r="H385" s="6">
        <v>0</v>
      </c>
    </row>
    <row r="386" spans="1:8" ht="15.6" x14ac:dyDescent="0.3">
      <c r="A386" s="2">
        <v>383</v>
      </c>
      <c r="B386" s="2" t="s">
        <v>777</v>
      </c>
      <c r="C386" s="2" t="s">
        <v>778</v>
      </c>
      <c r="D386" s="6"/>
      <c r="E386" s="6"/>
      <c r="F386" s="2" t="s">
        <v>21</v>
      </c>
      <c r="G386" s="2" t="s">
        <v>9</v>
      </c>
      <c r="H386" s="6">
        <f>VLOOKUP(B386,'[1]Tồn Acrilic  T10'!C$6:F$346,4,0)</f>
        <v>5</v>
      </c>
    </row>
    <row r="387" spans="1:8" ht="15.6" x14ac:dyDescent="0.3">
      <c r="A387" s="2">
        <v>384</v>
      </c>
      <c r="B387" s="2" t="s">
        <v>779</v>
      </c>
      <c r="C387" s="2" t="s">
        <v>780</v>
      </c>
      <c r="D387" s="6"/>
      <c r="E387" s="6"/>
      <c r="F387" s="2" t="s">
        <v>24</v>
      </c>
      <c r="G387" s="2" t="s">
        <v>9</v>
      </c>
      <c r="H387" s="6">
        <v>0</v>
      </c>
    </row>
    <row r="388" spans="1:8" ht="15.6" x14ac:dyDescent="0.3">
      <c r="A388" s="2">
        <v>385</v>
      </c>
      <c r="B388" s="2" t="s">
        <v>781</v>
      </c>
      <c r="C388" s="2" t="s">
        <v>782</v>
      </c>
      <c r="D388" s="6" t="str">
        <f>VLOOKUP(B388,'[1]Tồn Acrilic  T10 .nháp'!C$6:E$115,2,0)</f>
        <v>Acrylic UltraMatte Arctic Slate SM10-702 color, GV33</v>
      </c>
      <c r="E388" s="6" t="str">
        <f>VLOOKUP(B388,'[1]Tồn Acrilic  T10 .nháp'!C$6:E$115,3,0)</f>
        <v>Korea</v>
      </c>
      <c r="F388" s="2" t="s">
        <v>8</v>
      </c>
      <c r="G388" s="2" t="s">
        <v>9</v>
      </c>
      <c r="H388" s="6">
        <f>VLOOKUP(B388,'[1]Tồn Acrilic  T10'!C$6:F$346,4,0)</f>
        <v>233</v>
      </c>
    </row>
    <row r="389" spans="1:8" ht="15.6" x14ac:dyDescent="0.3">
      <c r="A389" s="2">
        <v>386</v>
      </c>
      <c r="B389" s="2" t="s">
        <v>783</v>
      </c>
      <c r="C389" s="2" t="s">
        <v>784</v>
      </c>
      <c r="D389" s="6"/>
      <c r="E389" s="6"/>
      <c r="F389" s="2" t="s">
        <v>12</v>
      </c>
      <c r="G389" s="2" t="s">
        <v>9</v>
      </c>
      <c r="H389" s="6">
        <f>VLOOKUP(B389,'[1]Tồn Acrilic  T10'!C$6:F$346,4,0)</f>
        <v>0</v>
      </c>
    </row>
    <row r="390" spans="1:8" ht="15.6" x14ac:dyDescent="0.3">
      <c r="A390" s="2">
        <v>387</v>
      </c>
      <c r="B390" s="2" t="s">
        <v>785</v>
      </c>
      <c r="C390" s="2" t="s">
        <v>786</v>
      </c>
      <c r="D390" s="6"/>
      <c r="E390" s="6"/>
      <c r="F390" s="2" t="s">
        <v>15</v>
      </c>
      <c r="G390" s="2" t="s">
        <v>9</v>
      </c>
      <c r="H390" s="6">
        <v>0</v>
      </c>
    </row>
    <row r="391" spans="1:8" ht="15.6" x14ac:dyDescent="0.3">
      <c r="A391" s="2">
        <v>388</v>
      </c>
      <c r="B391" s="2" t="s">
        <v>787</v>
      </c>
      <c r="C391" s="2" t="s">
        <v>788</v>
      </c>
      <c r="D391" s="6"/>
      <c r="E391" s="6"/>
      <c r="F391" s="2" t="s">
        <v>18</v>
      </c>
      <c r="G391" s="2" t="s">
        <v>9</v>
      </c>
      <c r="H391" s="6">
        <v>0</v>
      </c>
    </row>
    <row r="392" spans="1:8" ht="15.6" x14ac:dyDescent="0.3">
      <c r="A392" s="2">
        <v>389</v>
      </c>
      <c r="B392" s="2" t="s">
        <v>789</v>
      </c>
      <c r="C392" s="2" t="s">
        <v>790</v>
      </c>
      <c r="D392" s="6"/>
      <c r="E392" s="6"/>
      <c r="F392" s="2" t="s">
        <v>21</v>
      </c>
      <c r="G392" s="2" t="s">
        <v>9</v>
      </c>
      <c r="H392" s="6">
        <f>VLOOKUP(B392,'[1]Tồn Acrilic  T10'!C$6:F$346,4,0)</f>
        <v>14</v>
      </c>
    </row>
    <row r="393" spans="1:8" ht="15.6" x14ac:dyDescent="0.3">
      <c r="A393" s="2">
        <v>390</v>
      </c>
      <c r="B393" s="2" t="s">
        <v>791</v>
      </c>
      <c r="C393" s="2" t="s">
        <v>792</v>
      </c>
      <c r="D393" s="6"/>
      <c r="E393" s="6"/>
      <c r="F393" s="2" t="s">
        <v>24</v>
      </c>
      <c r="G393" s="2" t="s">
        <v>9</v>
      </c>
      <c r="H393" s="6">
        <v>0</v>
      </c>
    </row>
    <row r="394" spans="1:8" ht="15.6" x14ac:dyDescent="0.3">
      <c r="A394" s="2">
        <v>391</v>
      </c>
      <c r="B394" s="2" t="s">
        <v>793</v>
      </c>
      <c r="C394" s="2" t="s">
        <v>794</v>
      </c>
      <c r="D394" s="6" t="str">
        <f>VLOOKUP(B394,'[1]Tồn Acrilic  T10 .nháp'!C$6:E$115,2,0)</f>
        <v>Acrylic UltraMatte Arctic Black SM10-801 color, GV34</v>
      </c>
      <c r="E394" s="6" t="str">
        <f>VLOOKUP(B394,'[1]Tồn Acrilic  T10 .nháp'!C$6:E$115,3,0)</f>
        <v>Korea</v>
      </c>
      <c r="F394" s="2" t="s">
        <v>8</v>
      </c>
      <c r="G394" s="2" t="s">
        <v>9</v>
      </c>
      <c r="H394" s="6">
        <f>VLOOKUP(B394,'[1]Tồn Acrilic  T10'!C$6:F$346,4,0)</f>
        <v>677</v>
      </c>
    </row>
    <row r="395" spans="1:8" ht="15.6" x14ac:dyDescent="0.3">
      <c r="A395" s="2">
        <v>392</v>
      </c>
      <c r="B395" s="2" t="s">
        <v>795</v>
      </c>
      <c r="C395" s="2" t="s">
        <v>796</v>
      </c>
      <c r="D395" s="6"/>
      <c r="E395" s="6"/>
      <c r="F395" s="2" t="s">
        <v>12</v>
      </c>
      <c r="G395" s="2" t="s">
        <v>9</v>
      </c>
      <c r="H395" s="6">
        <f>VLOOKUP(B395,'[1]Tồn Acrilic  T10'!C$6:F$346,4,0)</f>
        <v>0</v>
      </c>
    </row>
    <row r="396" spans="1:8" ht="15.6" x14ac:dyDescent="0.3">
      <c r="A396" s="2">
        <v>393</v>
      </c>
      <c r="B396" s="2" t="s">
        <v>797</v>
      </c>
      <c r="C396" s="2" t="s">
        <v>798</v>
      </c>
      <c r="D396" s="6"/>
      <c r="E396" s="6"/>
      <c r="F396" s="2" t="s">
        <v>15</v>
      </c>
      <c r="G396" s="2" t="s">
        <v>9</v>
      </c>
      <c r="H396" s="6">
        <v>0</v>
      </c>
    </row>
    <row r="397" spans="1:8" ht="15.6" x14ac:dyDescent="0.3">
      <c r="A397" s="2">
        <v>394</v>
      </c>
      <c r="B397" s="2" t="s">
        <v>799</v>
      </c>
      <c r="C397" s="2" t="s">
        <v>800</v>
      </c>
      <c r="D397" s="6"/>
      <c r="E397" s="6"/>
      <c r="F397" s="2" t="s">
        <v>18</v>
      </c>
      <c r="G397" s="2" t="s">
        <v>9</v>
      </c>
      <c r="H397" s="6">
        <v>0</v>
      </c>
    </row>
    <row r="398" spans="1:8" ht="15.6" x14ac:dyDescent="0.3">
      <c r="A398" s="2">
        <v>395</v>
      </c>
      <c r="B398" s="2" t="s">
        <v>801</v>
      </c>
      <c r="C398" s="2" t="s">
        <v>802</v>
      </c>
      <c r="D398" s="6"/>
      <c r="E398" s="6"/>
      <c r="F398" s="2" t="s">
        <v>21</v>
      </c>
      <c r="G398" s="2" t="s">
        <v>9</v>
      </c>
      <c r="H398" s="6">
        <f>VLOOKUP(B398,'[1]Tồn Acrilic  T10'!C$6:F$346,4,0)</f>
        <v>6</v>
      </c>
    </row>
    <row r="399" spans="1:8" ht="15.6" x14ac:dyDescent="0.3">
      <c r="A399" s="2">
        <v>396</v>
      </c>
      <c r="B399" s="2" t="s">
        <v>803</v>
      </c>
      <c r="C399" s="2" t="s">
        <v>804</v>
      </c>
      <c r="D399" s="6"/>
      <c r="E399" s="6"/>
      <c r="F399" s="2" t="s">
        <v>24</v>
      </c>
      <c r="G399" s="2" t="s">
        <v>9</v>
      </c>
      <c r="H399" s="6">
        <v>0</v>
      </c>
    </row>
    <row r="400" spans="1:8" ht="15.6" x14ac:dyDescent="0.3">
      <c r="A400" s="2">
        <v>397</v>
      </c>
      <c r="B400" s="2" t="s">
        <v>805</v>
      </c>
      <c r="C400" s="2" t="s">
        <v>806</v>
      </c>
      <c r="D400" s="6" t="str">
        <f>VLOOKUP(B400,'[1]Tồn Acrilic  T10 .nháp'!C$6:E$115,2,0)</f>
        <v>Acrylic, Tiara Prime F1 Grey_7901M, 2440x1220x0.8mm</v>
      </c>
      <c r="E400" s="6" t="str">
        <f>VLOOKUP(B400,'[1]Tồn Acrilic  T10 .nháp'!C$6:E$115,3,0)</f>
        <v>Indonesia</v>
      </c>
      <c r="F400" s="2" t="s">
        <v>8</v>
      </c>
      <c r="G400" s="2" t="s">
        <v>9</v>
      </c>
      <c r="H400" s="6">
        <f>VLOOKUP(B400,'[1]Tồn Acrilic  T10'!C$6:F$346,4,0)</f>
        <v>430</v>
      </c>
    </row>
    <row r="401" spans="1:8" ht="15.6" x14ac:dyDescent="0.3">
      <c r="A401" s="2">
        <v>398</v>
      </c>
      <c r="B401" s="2" t="s">
        <v>807</v>
      </c>
      <c r="C401" s="2" t="s">
        <v>808</v>
      </c>
      <c r="D401" s="6"/>
      <c r="E401" s="6"/>
      <c r="F401" s="2" t="s">
        <v>12</v>
      </c>
      <c r="G401" s="2" t="s">
        <v>9</v>
      </c>
      <c r="H401" s="6">
        <f>VLOOKUP(B401,'[1]Tồn Acrilic  T10'!C$6:F$346,4,0)</f>
        <v>0</v>
      </c>
    </row>
    <row r="402" spans="1:8" ht="15.6" x14ac:dyDescent="0.3">
      <c r="A402" s="2">
        <v>399</v>
      </c>
      <c r="B402" s="2" t="s">
        <v>809</v>
      </c>
      <c r="C402" s="2" t="s">
        <v>810</v>
      </c>
      <c r="D402" s="6"/>
      <c r="E402" s="6"/>
      <c r="F402" s="2" t="s">
        <v>15</v>
      </c>
      <c r="G402" s="2" t="s">
        <v>9</v>
      </c>
      <c r="H402" s="6">
        <v>0</v>
      </c>
    </row>
    <row r="403" spans="1:8" ht="15.6" x14ac:dyDescent="0.3">
      <c r="A403" s="2">
        <v>400</v>
      </c>
      <c r="B403" s="2" t="s">
        <v>811</v>
      </c>
      <c r="C403" s="2" t="s">
        <v>812</v>
      </c>
      <c r="D403" s="6"/>
      <c r="E403" s="6"/>
      <c r="F403" s="2" t="s">
        <v>18</v>
      </c>
      <c r="G403" s="2" t="s">
        <v>9</v>
      </c>
      <c r="H403" s="6">
        <v>0</v>
      </c>
    </row>
    <row r="404" spans="1:8" ht="15.6" x14ac:dyDescent="0.3">
      <c r="A404" s="2">
        <v>401</v>
      </c>
      <c r="B404" s="2" t="s">
        <v>813</v>
      </c>
      <c r="C404" s="2" t="s">
        <v>814</v>
      </c>
      <c r="D404" s="6"/>
      <c r="E404" s="6"/>
      <c r="F404" s="2" t="s">
        <v>21</v>
      </c>
      <c r="G404" s="2" t="s">
        <v>9</v>
      </c>
      <c r="H404" s="6">
        <f>VLOOKUP(B404,'[1]Tồn Acrilic  T10'!C$6:F$346,4,0)</f>
        <v>0</v>
      </c>
    </row>
    <row r="405" spans="1:8" ht="15.6" x14ac:dyDescent="0.3">
      <c r="A405" s="2">
        <v>402</v>
      </c>
      <c r="B405" s="2" t="s">
        <v>815</v>
      </c>
      <c r="C405" s="2" t="s">
        <v>816</v>
      </c>
      <c r="D405" s="6"/>
      <c r="E405" s="6"/>
      <c r="F405" s="2" t="s">
        <v>24</v>
      </c>
      <c r="G405" s="2" t="s">
        <v>9</v>
      </c>
      <c r="H405" s="6">
        <v>0</v>
      </c>
    </row>
    <row r="406" spans="1:8" ht="15.6" x14ac:dyDescent="0.3">
      <c r="A406" s="2">
        <v>403</v>
      </c>
      <c r="B406" s="2" t="s">
        <v>817</v>
      </c>
      <c r="C406" s="2" t="s">
        <v>818</v>
      </c>
      <c r="D406" s="6" t="str">
        <f>VLOOKUP(B406,'[1]Tồn Acrilic  T10 .nháp'!C$6:E$115,2,0)</f>
        <v>High Gloss Acrylic sheet, Pink, 61R, size 1220x2440x0.8mm</v>
      </c>
      <c r="E406" s="6" t="str">
        <f>VLOOKUP(B406,'[1]Tồn Acrilic  T10 .nháp'!C$6:E$115,3,0)</f>
        <v>Taiwan</v>
      </c>
      <c r="F406" s="2" t="s">
        <v>8</v>
      </c>
      <c r="G406" s="2" t="s">
        <v>9</v>
      </c>
      <c r="H406" s="6">
        <f>VLOOKUP(B406,'[1]Tồn Acrilic  T10'!C$6:F$346,4,0)</f>
        <v>429</v>
      </c>
    </row>
    <row r="407" spans="1:8" ht="15.6" x14ac:dyDescent="0.3">
      <c r="A407" s="2">
        <v>404</v>
      </c>
      <c r="B407" s="2" t="s">
        <v>819</v>
      </c>
      <c r="C407" s="2" t="s">
        <v>820</v>
      </c>
      <c r="D407" s="6"/>
      <c r="E407" s="6"/>
      <c r="F407" s="2" t="s">
        <v>12</v>
      </c>
      <c r="G407" s="2" t="s">
        <v>9</v>
      </c>
      <c r="H407" s="6">
        <f>VLOOKUP(B407,'[1]Tồn Acrilic  T10'!C$6:F$346,4,0)</f>
        <v>0</v>
      </c>
    </row>
    <row r="408" spans="1:8" ht="15.6" x14ac:dyDescent="0.3">
      <c r="A408" s="2">
        <v>405</v>
      </c>
      <c r="B408" s="2" t="s">
        <v>821</v>
      </c>
      <c r="C408" s="2" t="s">
        <v>822</v>
      </c>
      <c r="D408" s="6"/>
      <c r="E408" s="6"/>
      <c r="F408" s="2" t="s">
        <v>15</v>
      </c>
      <c r="G408" s="2" t="s">
        <v>9</v>
      </c>
      <c r="H408" s="6">
        <v>0</v>
      </c>
    </row>
    <row r="409" spans="1:8" ht="15.6" x14ac:dyDescent="0.3">
      <c r="A409" s="2">
        <v>406</v>
      </c>
      <c r="B409" s="2" t="s">
        <v>823</v>
      </c>
      <c r="C409" s="2" t="s">
        <v>824</v>
      </c>
      <c r="D409" s="6"/>
      <c r="E409" s="6"/>
      <c r="F409" s="2" t="s">
        <v>18</v>
      </c>
      <c r="G409" s="2" t="s">
        <v>9</v>
      </c>
      <c r="H409" s="6">
        <v>0</v>
      </c>
    </row>
    <row r="410" spans="1:8" ht="15.6" x14ac:dyDescent="0.3">
      <c r="A410" s="2">
        <v>407</v>
      </c>
      <c r="B410" s="2" t="s">
        <v>825</v>
      </c>
      <c r="C410" s="2" t="s">
        <v>826</v>
      </c>
      <c r="D410" s="6"/>
      <c r="E410" s="6"/>
      <c r="F410" s="2" t="s">
        <v>21</v>
      </c>
      <c r="G410" s="2" t="s">
        <v>9</v>
      </c>
      <c r="H410" s="6">
        <f>VLOOKUP(B410,'[1]Tồn Acrilic  T10'!C$6:F$346,4,0)</f>
        <v>0</v>
      </c>
    </row>
    <row r="411" spans="1:8" ht="15.6" x14ac:dyDescent="0.3">
      <c r="A411" s="2">
        <v>408</v>
      </c>
      <c r="B411" s="2" t="s">
        <v>827</v>
      </c>
      <c r="C411" s="2" t="s">
        <v>828</v>
      </c>
      <c r="D411" s="6"/>
      <c r="E411" s="6"/>
      <c r="F411" s="2" t="s">
        <v>24</v>
      </c>
      <c r="G411" s="2" t="s">
        <v>9</v>
      </c>
      <c r="H411" s="6">
        <v>0</v>
      </c>
    </row>
    <row r="412" spans="1:8" ht="15.6" x14ac:dyDescent="0.3">
      <c r="A412" s="2">
        <v>409</v>
      </c>
      <c r="B412" s="2" t="s">
        <v>829</v>
      </c>
      <c r="C412" s="2" t="s">
        <v>830</v>
      </c>
      <c r="D412" s="6" t="str">
        <f>VLOOKUP(B412,'[1]Tồn Acrilic  T10 .nháp'!C$6:E$115,2,0)</f>
        <v>High Gloss Acrylic sheet, Gold, 35Y, size 1220x2440x0.8mm</v>
      </c>
      <c r="E412" s="6" t="str">
        <f>VLOOKUP(B412,'[1]Tồn Acrilic  T10 .nháp'!C$6:E$115,3,0)</f>
        <v>Taiwan</v>
      </c>
      <c r="F412" s="2" t="s">
        <v>8</v>
      </c>
      <c r="G412" s="2" t="s">
        <v>9</v>
      </c>
      <c r="H412" s="6">
        <f>VLOOKUP(B412,'[1]Tồn Acrilic  T10'!C$6:F$346,4,0)</f>
        <v>292</v>
      </c>
    </row>
    <row r="413" spans="1:8" ht="15.6" x14ac:dyDescent="0.3">
      <c r="A413" s="2">
        <v>410</v>
      </c>
      <c r="B413" s="2" t="s">
        <v>831</v>
      </c>
      <c r="C413" s="2" t="s">
        <v>832</v>
      </c>
      <c r="D413" s="6"/>
      <c r="E413" s="6"/>
      <c r="F413" s="2" t="s">
        <v>12</v>
      </c>
      <c r="G413" s="2" t="s">
        <v>9</v>
      </c>
      <c r="H413" s="6">
        <f>VLOOKUP(B413,'[1]Tồn Acrilic  T10'!C$6:F$346,4,0)</f>
        <v>0</v>
      </c>
    </row>
    <row r="414" spans="1:8" ht="15.6" x14ac:dyDescent="0.3">
      <c r="A414" s="2">
        <v>411</v>
      </c>
      <c r="B414" s="2" t="s">
        <v>833</v>
      </c>
      <c r="C414" s="2" t="s">
        <v>834</v>
      </c>
      <c r="D414" s="6"/>
      <c r="E414" s="6"/>
      <c r="F414" s="2" t="s">
        <v>15</v>
      </c>
      <c r="G414" s="2" t="s">
        <v>9</v>
      </c>
      <c r="H414" s="6">
        <v>0</v>
      </c>
    </row>
    <row r="415" spans="1:8" ht="15.6" x14ac:dyDescent="0.3">
      <c r="A415" s="2">
        <v>412</v>
      </c>
      <c r="B415" s="2" t="s">
        <v>835</v>
      </c>
      <c r="C415" s="2" t="s">
        <v>836</v>
      </c>
      <c r="D415" s="6"/>
      <c r="E415" s="6"/>
      <c r="F415" s="2" t="s">
        <v>18</v>
      </c>
      <c r="G415" s="2" t="s">
        <v>9</v>
      </c>
      <c r="H415" s="6">
        <v>0</v>
      </c>
    </row>
    <row r="416" spans="1:8" ht="15.6" x14ac:dyDescent="0.3">
      <c r="A416" s="2">
        <v>413</v>
      </c>
      <c r="B416" s="2" t="s">
        <v>837</v>
      </c>
      <c r="C416" s="2" t="s">
        <v>838</v>
      </c>
      <c r="D416" s="6"/>
      <c r="E416" s="6"/>
      <c r="F416" s="2" t="s">
        <v>21</v>
      </c>
      <c r="G416" s="2" t="s">
        <v>9</v>
      </c>
      <c r="H416" s="6">
        <f>VLOOKUP(B416,'[1]Tồn Acrilic  T10'!C$6:F$346,4,0)</f>
        <v>0</v>
      </c>
    </row>
    <row r="417" spans="1:8" ht="15.6" x14ac:dyDescent="0.3">
      <c r="A417" s="2">
        <v>414</v>
      </c>
      <c r="B417" s="2" t="s">
        <v>839</v>
      </c>
      <c r="C417" s="2" t="s">
        <v>840</v>
      </c>
      <c r="D417" s="6"/>
      <c r="E417" s="6"/>
      <c r="F417" s="2" t="s">
        <v>24</v>
      </c>
      <c r="G417" s="2" t="s">
        <v>9</v>
      </c>
      <c r="H417" s="6">
        <v>0</v>
      </c>
    </row>
    <row r="418" spans="1:8" ht="15.6" x14ac:dyDescent="0.3">
      <c r="A418" s="2">
        <v>415</v>
      </c>
      <c r="B418" s="2" t="s">
        <v>841</v>
      </c>
      <c r="C418" s="2" t="s">
        <v>842</v>
      </c>
      <c r="D418" s="6" t="str">
        <f>VLOOKUP(B418,'[1]Tồn Acrilic  T10 .nháp'!C$6:E$115,2,0)</f>
        <v>High Gloss Acrylic sheet, Light blue, 62BL, size 1220x2440x0.8mm</v>
      </c>
      <c r="E418" s="6" t="str">
        <f>VLOOKUP(B418,'[1]Tồn Acrilic  T10 .nháp'!C$6:E$115,3,0)</f>
        <v>Taiwan</v>
      </c>
      <c r="F418" s="2" t="s">
        <v>8</v>
      </c>
      <c r="G418" s="2" t="s">
        <v>9</v>
      </c>
      <c r="H418" s="6">
        <f>VLOOKUP(B418,'[1]Tồn Acrilic  T10'!C$6:F$346,4,0)</f>
        <v>392</v>
      </c>
    </row>
    <row r="419" spans="1:8" ht="15.6" x14ac:dyDescent="0.3">
      <c r="A419" s="2">
        <v>416</v>
      </c>
      <c r="B419" s="2" t="s">
        <v>843</v>
      </c>
      <c r="C419" s="2" t="s">
        <v>844</v>
      </c>
      <c r="D419" s="6"/>
      <c r="E419" s="6"/>
      <c r="F419" s="2" t="s">
        <v>12</v>
      </c>
      <c r="G419" s="2" t="s">
        <v>9</v>
      </c>
      <c r="H419" s="6">
        <f>VLOOKUP(B419,'[1]Tồn Acrilic  T10'!C$6:F$346,4,0)</f>
        <v>0</v>
      </c>
    </row>
    <row r="420" spans="1:8" ht="15.6" x14ac:dyDescent="0.3">
      <c r="A420" s="2">
        <v>417</v>
      </c>
      <c r="B420" s="2" t="s">
        <v>845</v>
      </c>
      <c r="C420" s="2" t="s">
        <v>846</v>
      </c>
      <c r="D420" s="6"/>
      <c r="E420" s="6"/>
      <c r="F420" s="2" t="s">
        <v>15</v>
      </c>
      <c r="G420" s="2" t="s">
        <v>9</v>
      </c>
      <c r="H420" s="6">
        <v>0</v>
      </c>
    </row>
    <row r="421" spans="1:8" ht="15.6" x14ac:dyDescent="0.3">
      <c r="A421" s="2">
        <v>418</v>
      </c>
      <c r="B421" s="2" t="s">
        <v>847</v>
      </c>
      <c r="C421" s="2" t="s">
        <v>848</v>
      </c>
      <c r="D421" s="6"/>
      <c r="E421" s="6"/>
      <c r="F421" s="2" t="s">
        <v>18</v>
      </c>
      <c r="G421" s="2" t="s">
        <v>9</v>
      </c>
      <c r="H421" s="6">
        <v>0</v>
      </c>
    </row>
    <row r="422" spans="1:8" ht="15.6" x14ac:dyDescent="0.3">
      <c r="A422" s="2">
        <v>419</v>
      </c>
      <c r="B422" s="2" t="s">
        <v>849</v>
      </c>
      <c r="C422" s="2" t="s">
        <v>850</v>
      </c>
      <c r="D422" s="6"/>
      <c r="E422" s="6"/>
      <c r="F422" s="2" t="s">
        <v>21</v>
      </c>
      <c r="G422" s="2" t="s">
        <v>9</v>
      </c>
      <c r="H422" s="6">
        <f>VLOOKUP(B422,'[1]Tồn Acrilic  T10'!C$6:F$346,4,0)</f>
        <v>2</v>
      </c>
    </row>
    <row r="423" spans="1:8" ht="15.6" x14ac:dyDescent="0.3">
      <c r="A423" s="2">
        <v>420</v>
      </c>
      <c r="B423" s="2" t="s">
        <v>851</v>
      </c>
      <c r="C423" s="2" t="s">
        <v>852</v>
      </c>
      <c r="D423" s="6"/>
      <c r="E423" s="6"/>
      <c r="F423" s="2" t="s">
        <v>24</v>
      </c>
      <c r="G423" s="2" t="s">
        <v>9</v>
      </c>
      <c r="H423" s="6">
        <v>0</v>
      </c>
    </row>
    <row r="424" spans="1:8" ht="15.6" x14ac:dyDescent="0.3">
      <c r="A424" s="2">
        <v>421</v>
      </c>
      <c r="B424" s="2" t="s">
        <v>853</v>
      </c>
      <c r="C424" s="2" t="s">
        <v>854</v>
      </c>
      <c r="D424" s="6" t="str">
        <f>VLOOKUP(B424,'[1]Tồn Acrilic  T10 .nháp'!C$6:E$115,2,0)</f>
        <v>High gloss sheet AC37 color GV39</v>
      </c>
      <c r="E424" s="6" t="str">
        <f>VLOOKUP(B424,'[1]Tồn Acrilic  T10 .nháp'!C$6:E$115,3,0)</f>
        <v>China</v>
      </c>
      <c r="F424" s="2" t="s">
        <v>8</v>
      </c>
      <c r="G424" s="2" t="s">
        <v>9</v>
      </c>
      <c r="H424" s="6">
        <f>VLOOKUP(B424,'[1]Tồn Acrilic  T10'!C$6:F$346,4,0)</f>
        <v>361</v>
      </c>
    </row>
    <row r="425" spans="1:8" ht="15.6" x14ac:dyDescent="0.3">
      <c r="A425" s="2">
        <v>422</v>
      </c>
      <c r="B425" s="2" t="s">
        <v>855</v>
      </c>
      <c r="C425" s="2" t="s">
        <v>856</v>
      </c>
      <c r="D425" s="6"/>
      <c r="E425" s="6"/>
      <c r="F425" s="2" t="s">
        <v>12</v>
      </c>
      <c r="G425" s="2" t="s">
        <v>9</v>
      </c>
      <c r="H425" s="6">
        <v>0</v>
      </c>
    </row>
    <row r="426" spans="1:8" ht="15.6" x14ac:dyDescent="0.3">
      <c r="A426" s="2">
        <v>423</v>
      </c>
      <c r="B426" s="2" t="s">
        <v>857</v>
      </c>
      <c r="C426" s="2" t="s">
        <v>858</v>
      </c>
      <c r="D426" s="6"/>
      <c r="E426" s="6"/>
      <c r="F426" s="2" t="s">
        <v>15</v>
      </c>
      <c r="G426" s="2" t="s">
        <v>9</v>
      </c>
      <c r="H426" s="6">
        <v>0</v>
      </c>
    </row>
    <row r="427" spans="1:8" ht="15.6" x14ac:dyDescent="0.3">
      <c r="A427" s="2">
        <v>424</v>
      </c>
      <c r="B427" s="2" t="s">
        <v>859</v>
      </c>
      <c r="C427" s="2" t="s">
        <v>860</v>
      </c>
      <c r="D427" s="6"/>
      <c r="E427" s="6"/>
      <c r="F427" s="2" t="s">
        <v>18</v>
      </c>
      <c r="G427" s="2" t="s">
        <v>9</v>
      </c>
      <c r="H427" s="6">
        <v>0</v>
      </c>
    </row>
    <row r="428" spans="1:8" ht="15.6" x14ac:dyDescent="0.3">
      <c r="A428" s="2">
        <v>425</v>
      </c>
      <c r="B428" s="2" t="s">
        <v>861</v>
      </c>
      <c r="C428" s="2" t="s">
        <v>862</v>
      </c>
      <c r="D428" s="6"/>
      <c r="E428" s="6"/>
      <c r="F428" s="2" t="s">
        <v>21</v>
      </c>
      <c r="G428" s="2" t="s">
        <v>9</v>
      </c>
      <c r="H428" s="6">
        <f>5</f>
        <v>5</v>
      </c>
    </row>
    <row r="429" spans="1:8" ht="15.6" x14ac:dyDescent="0.3">
      <c r="A429" s="2">
        <v>426</v>
      </c>
      <c r="B429" s="2" t="s">
        <v>863</v>
      </c>
      <c r="C429" s="2" t="s">
        <v>864</v>
      </c>
      <c r="D429" s="6"/>
      <c r="E429" s="6"/>
      <c r="F429" s="2" t="s">
        <v>24</v>
      </c>
      <c r="G429" s="2" t="s">
        <v>9</v>
      </c>
      <c r="H429" s="6">
        <v>0</v>
      </c>
    </row>
    <row r="430" spans="1:8" ht="15.6" x14ac:dyDescent="0.3">
      <c r="A430" s="2">
        <v>427</v>
      </c>
      <c r="B430" s="2" t="s">
        <v>865</v>
      </c>
      <c r="C430" s="2" t="s">
        <v>866</v>
      </c>
      <c r="D430" s="6" t="str">
        <f>VLOOKUP(B430,'[1]Tồn Acrilic  T10 .nháp'!C$6:E$115,2,0)</f>
        <v>Acrylic siêu chống xước Áo, AM1800TopX, green 5357 color GV40</v>
      </c>
      <c r="E430" s="6" t="str">
        <f>VLOOKUP(B430,'[1]Tồn Acrilic  T10 .nháp'!C$6:E$115,3,0)</f>
        <v>Austria</v>
      </c>
      <c r="F430" s="2" t="s">
        <v>8</v>
      </c>
      <c r="G430" s="2" t="s">
        <v>9</v>
      </c>
      <c r="H430" s="6">
        <f>VLOOKUP(B430,'[1]Tồn Acrilic  T10'!C$6:F$346,4,0)</f>
        <v>181</v>
      </c>
    </row>
    <row r="431" spans="1:8" ht="15.6" x14ac:dyDescent="0.3">
      <c r="A431" s="2">
        <v>428</v>
      </c>
      <c r="B431" s="2" t="s">
        <v>867</v>
      </c>
      <c r="C431" s="2" t="s">
        <v>868</v>
      </c>
      <c r="D431" s="6"/>
      <c r="E431" s="6"/>
      <c r="F431" s="2" t="s">
        <v>12</v>
      </c>
      <c r="G431" s="2" t="s">
        <v>9</v>
      </c>
      <c r="H431" s="6">
        <f>VLOOKUP(B431,'[1]Tồn Acrilic  T10'!C$6:F$346,4,0)</f>
        <v>0</v>
      </c>
    </row>
    <row r="432" spans="1:8" ht="15.6" x14ac:dyDescent="0.3">
      <c r="A432" s="2">
        <v>429</v>
      </c>
      <c r="B432" s="2" t="s">
        <v>869</v>
      </c>
      <c r="C432" s="2" t="s">
        <v>870</v>
      </c>
      <c r="D432" s="6"/>
      <c r="E432" s="6"/>
      <c r="F432" s="2" t="s">
        <v>15</v>
      </c>
      <c r="G432" s="2" t="s">
        <v>9</v>
      </c>
      <c r="H432" s="6">
        <v>0</v>
      </c>
    </row>
    <row r="433" spans="1:8" ht="15.6" x14ac:dyDescent="0.3">
      <c r="A433" s="2">
        <v>430</v>
      </c>
      <c r="B433" s="2" t="s">
        <v>871</v>
      </c>
      <c r="C433" s="2" t="s">
        <v>872</v>
      </c>
      <c r="D433" s="6"/>
      <c r="E433" s="6"/>
      <c r="F433" s="2" t="s">
        <v>18</v>
      </c>
      <c r="G433" s="2" t="s">
        <v>9</v>
      </c>
      <c r="H433" s="6">
        <v>0</v>
      </c>
    </row>
    <row r="434" spans="1:8" ht="15.6" x14ac:dyDescent="0.3">
      <c r="A434" s="2">
        <v>431</v>
      </c>
      <c r="B434" s="2" t="s">
        <v>873</v>
      </c>
      <c r="C434" s="2" t="s">
        <v>874</v>
      </c>
      <c r="D434" s="6"/>
      <c r="E434" s="6"/>
      <c r="F434" s="2" t="s">
        <v>21</v>
      </c>
      <c r="G434" s="2" t="s">
        <v>9</v>
      </c>
      <c r="H434" s="6">
        <f>VLOOKUP(B434,'[1]Tồn Acrilic  T10'!C$6:F$346,4,0)</f>
        <v>5</v>
      </c>
    </row>
    <row r="435" spans="1:8" ht="15.6" x14ac:dyDescent="0.3">
      <c r="A435" s="2">
        <v>432</v>
      </c>
      <c r="B435" s="2" t="s">
        <v>875</v>
      </c>
      <c r="C435" s="2" t="s">
        <v>876</v>
      </c>
      <c r="D435" s="6"/>
      <c r="E435" s="6"/>
      <c r="F435" s="2" t="s">
        <v>24</v>
      </c>
      <c r="G435" s="2" t="s">
        <v>9</v>
      </c>
      <c r="H435" s="6">
        <v>0</v>
      </c>
    </row>
    <row r="436" spans="1:8" ht="15.6" x14ac:dyDescent="0.3">
      <c r="A436" s="2">
        <v>433</v>
      </c>
      <c r="B436" s="2" t="s">
        <v>877</v>
      </c>
      <c r="C436" s="2" t="s">
        <v>878</v>
      </c>
      <c r="D436" s="6" t="str">
        <f>VLOOKUP(B436,'[1]Tồn Acrilic  T10 .nháp'!C$6:E$115,2,0)</f>
        <v>Acrylic siêu chống xước Áo, AM1800TopX, blue metallic 4562 color GV41**</v>
      </c>
      <c r="E436" s="6" t="str">
        <f>VLOOKUP(B436,'[1]Tồn Acrilic  T10 .nháp'!C$6:E$115,3,0)</f>
        <v>Austria</v>
      </c>
      <c r="F436" s="2" t="s">
        <v>8</v>
      </c>
      <c r="G436" s="2" t="s">
        <v>9</v>
      </c>
      <c r="H436" s="6">
        <f>VLOOKUP(B436,'[1]Tồn Acrilic  T10'!C$6:F$346,4,0)</f>
        <v>233</v>
      </c>
    </row>
    <row r="437" spans="1:8" ht="15.6" x14ac:dyDescent="0.3">
      <c r="A437" s="2">
        <v>434</v>
      </c>
      <c r="B437" s="2" t="s">
        <v>879</v>
      </c>
      <c r="C437" s="2" t="s">
        <v>880</v>
      </c>
      <c r="D437" s="6"/>
      <c r="E437" s="6"/>
      <c r="F437" s="2" t="s">
        <v>12</v>
      </c>
      <c r="G437" s="2" t="s">
        <v>9</v>
      </c>
      <c r="H437" s="6">
        <f>VLOOKUP(B437,'[1]Tồn Acrilic  T10'!C$6:F$346,4,0)</f>
        <v>0</v>
      </c>
    </row>
    <row r="438" spans="1:8" ht="15.6" x14ac:dyDescent="0.3">
      <c r="A438" s="2">
        <v>435</v>
      </c>
      <c r="B438" s="2" t="s">
        <v>881</v>
      </c>
      <c r="C438" s="2" t="s">
        <v>882</v>
      </c>
      <c r="D438" s="6"/>
      <c r="E438" s="6"/>
      <c r="F438" s="2" t="s">
        <v>15</v>
      </c>
      <c r="G438" s="2" t="s">
        <v>9</v>
      </c>
      <c r="H438" s="6">
        <v>0</v>
      </c>
    </row>
    <row r="439" spans="1:8" ht="15.6" x14ac:dyDescent="0.3">
      <c r="A439" s="2">
        <v>436</v>
      </c>
      <c r="B439" s="2" t="s">
        <v>883</v>
      </c>
      <c r="C439" s="2" t="s">
        <v>884</v>
      </c>
      <c r="D439" s="6"/>
      <c r="E439" s="6"/>
      <c r="F439" s="2" t="s">
        <v>18</v>
      </c>
      <c r="G439" s="2" t="s">
        <v>9</v>
      </c>
      <c r="H439" s="6">
        <v>0</v>
      </c>
    </row>
    <row r="440" spans="1:8" ht="15.6" x14ac:dyDescent="0.3">
      <c r="A440" s="2">
        <v>437</v>
      </c>
      <c r="B440" s="2" t="s">
        <v>885</v>
      </c>
      <c r="C440" s="2" t="s">
        <v>886</v>
      </c>
      <c r="D440" s="6"/>
      <c r="E440" s="6"/>
      <c r="F440" s="2" t="s">
        <v>21</v>
      </c>
      <c r="G440" s="2" t="s">
        <v>9</v>
      </c>
      <c r="H440" s="6">
        <f>VLOOKUP(B440,'[1]Tồn Acrilic  T10'!C$6:F$346,4,0)</f>
        <v>8</v>
      </c>
    </row>
    <row r="441" spans="1:8" ht="15.6" x14ac:dyDescent="0.3">
      <c r="A441" s="2">
        <v>438</v>
      </c>
      <c r="B441" s="2" t="s">
        <v>887</v>
      </c>
      <c r="C441" s="2" t="s">
        <v>888</v>
      </c>
      <c r="D441" s="6"/>
      <c r="E441" s="6"/>
      <c r="F441" s="2" t="s">
        <v>24</v>
      </c>
      <c r="G441" s="2" t="s">
        <v>9</v>
      </c>
      <c r="H441" s="6">
        <v>0</v>
      </c>
    </row>
    <row r="442" spans="1:8" ht="15.6" x14ac:dyDescent="0.3">
      <c r="A442" s="2">
        <v>439</v>
      </c>
      <c r="B442" s="2" t="s">
        <v>889</v>
      </c>
      <c r="C442" s="2" t="s">
        <v>890</v>
      </c>
      <c r="D442" s="6" t="str">
        <f>VLOOKUP(B442,'[1]Tồn Acrilic  T10 .nháp'!C$6:E$115,2,0)</f>
        <v>Acrylic siêu chống xước Áo, AM1800TopX, blue 4670 color GV42</v>
      </c>
      <c r="E442" s="6" t="str">
        <f>VLOOKUP(B442,'[1]Tồn Acrilic  T10 .nháp'!C$6:E$115,3,0)</f>
        <v>Austria</v>
      </c>
      <c r="F442" s="2" t="s">
        <v>8</v>
      </c>
      <c r="G442" s="2" t="s">
        <v>9</v>
      </c>
      <c r="H442" s="6">
        <f>VLOOKUP(B442,'[1]Tồn Acrilic  T10'!C$6:F$346,4,0)</f>
        <v>172</v>
      </c>
    </row>
    <row r="443" spans="1:8" ht="15.6" x14ac:dyDescent="0.3">
      <c r="A443" s="2">
        <v>440</v>
      </c>
      <c r="B443" s="2" t="s">
        <v>891</v>
      </c>
      <c r="C443" s="2" t="s">
        <v>892</v>
      </c>
      <c r="D443" s="6"/>
      <c r="E443" s="6"/>
      <c r="F443" s="2" t="s">
        <v>12</v>
      </c>
      <c r="G443" s="2" t="s">
        <v>9</v>
      </c>
      <c r="H443" s="6">
        <f>VLOOKUP(B443,'[1]Tồn Acrilic  T10'!C$6:F$346,4,0)</f>
        <v>0</v>
      </c>
    </row>
    <row r="444" spans="1:8" ht="15.6" x14ac:dyDescent="0.3">
      <c r="A444" s="2">
        <v>441</v>
      </c>
      <c r="B444" s="2" t="s">
        <v>893</v>
      </c>
      <c r="C444" s="2" t="s">
        <v>894</v>
      </c>
      <c r="D444" s="6"/>
      <c r="E444" s="6"/>
      <c r="F444" s="2" t="s">
        <v>15</v>
      </c>
      <c r="G444" s="2" t="s">
        <v>9</v>
      </c>
      <c r="H444" s="6">
        <v>0</v>
      </c>
    </row>
    <row r="445" spans="1:8" ht="15.6" x14ac:dyDescent="0.3">
      <c r="A445" s="2">
        <v>442</v>
      </c>
      <c r="B445" s="2" t="s">
        <v>895</v>
      </c>
      <c r="C445" s="2" t="s">
        <v>896</v>
      </c>
      <c r="D445" s="6"/>
      <c r="E445" s="6"/>
      <c r="F445" s="2" t="s">
        <v>18</v>
      </c>
      <c r="G445" s="2" t="s">
        <v>9</v>
      </c>
      <c r="H445" s="6">
        <v>0</v>
      </c>
    </row>
    <row r="446" spans="1:8" ht="15.6" x14ac:dyDescent="0.3">
      <c r="A446" s="2">
        <v>443</v>
      </c>
      <c r="B446" s="2" t="s">
        <v>897</v>
      </c>
      <c r="C446" s="2" t="s">
        <v>898</v>
      </c>
      <c r="D446" s="6"/>
      <c r="E446" s="6"/>
      <c r="F446" s="2" t="s">
        <v>21</v>
      </c>
      <c r="G446" s="2" t="s">
        <v>9</v>
      </c>
      <c r="H446" s="6">
        <f>VLOOKUP(B446,'[1]Tồn Acrilic  T10'!C$6:F$346,4,0)</f>
        <v>8</v>
      </c>
    </row>
    <row r="447" spans="1:8" ht="15.6" x14ac:dyDescent="0.3">
      <c r="A447" s="2">
        <v>444</v>
      </c>
      <c r="B447" s="2" t="s">
        <v>899</v>
      </c>
      <c r="C447" s="2" t="s">
        <v>900</v>
      </c>
      <c r="D447" s="6"/>
      <c r="E447" s="6"/>
      <c r="F447" s="2" t="s">
        <v>24</v>
      </c>
      <c r="G447" s="2" t="s">
        <v>9</v>
      </c>
      <c r="H447" s="6">
        <v>0</v>
      </c>
    </row>
    <row r="448" spans="1:8" ht="15.6" x14ac:dyDescent="0.3">
      <c r="A448" s="2">
        <v>445</v>
      </c>
      <c r="B448" s="2" t="s">
        <v>901</v>
      </c>
      <c r="C448" s="2" t="s">
        <v>902</v>
      </c>
      <c r="D448" s="6" t="str">
        <f>VLOOKUP(B448,'[1]Tồn Acrilic  T10 .nháp'!C$6:E$115,2,0)</f>
        <v>Acrylic siêu chống xước Áo, AM1800TopX, blue 4644 color GV43</v>
      </c>
      <c r="E448" s="6" t="str">
        <f>VLOOKUP(B448,'[1]Tồn Acrilic  T10 .nháp'!C$6:E$115,3,0)</f>
        <v>Austria</v>
      </c>
      <c r="F448" s="2" t="s">
        <v>8</v>
      </c>
      <c r="G448" s="2" t="s">
        <v>9</v>
      </c>
      <c r="H448" s="6">
        <f>VLOOKUP(B448,'[1]Tồn Acrilic  T10'!C$6:F$346,4,0)</f>
        <v>252</v>
      </c>
    </row>
    <row r="449" spans="1:8" ht="15.6" x14ac:dyDescent="0.3">
      <c r="A449" s="2">
        <v>446</v>
      </c>
      <c r="B449" s="2" t="s">
        <v>903</v>
      </c>
      <c r="C449" s="2" t="s">
        <v>904</v>
      </c>
      <c r="D449" s="6"/>
      <c r="E449" s="6"/>
      <c r="F449" s="2" t="s">
        <v>12</v>
      </c>
      <c r="G449" s="2" t="s">
        <v>9</v>
      </c>
      <c r="H449" s="6">
        <f>VLOOKUP(B449,'[1]Tồn Acrilic  T10'!C$6:F$346,4,0)</f>
        <v>0</v>
      </c>
    </row>
    <row r="450" spans="1:8" ht="15.6" x14ac:dyDescent="0.3">
      <c r="A450" s="2">
        <v>447</v>
      </c>
      <c r="B450" s="2" t="s">
        <v>905</v>
      </c>
      <c r="C450" s="2" t="s">
        <v>906</v>
      </c>
      <c r="D450" s="6"/>
      <c r="E450" s="6"/>
      <c r="F450" s="2" t="s">
        <v>15</v>
      </c>
      <c r="G450" s="2" t="s">
        <v>9</v>
      </c>
      <c r="H450" s="6">
        <v>0</v>
      </c>
    </row>
    <row r="451" spans="1:8" ht="15.6" x14ac:dyDescent="0.3">
      <c r="A451" s="2">
        <v>448</v>
      </c>
      <c r="B451" s="2" t="s">
        <v>907</v>
      </c>
      <c r="C451" s="2" t="s">
        <v>908</v>
      </c>
      <c r="D451" s="6"/>
      <c r="E451" s="6"/>
      <c r="F451" s="2" t="s">
        <v>18</v>
      </c>
      <c r="G451" s="2" t="s">
        <v>9</v>
      </c>
      <c r="H451" s="6">
        <v>0</v>
      </c>
    </row>
    <row r="452" spans="1:8" ht="15.6" x14ac:dyDescent="0.3">
      <c r="A452" s="2">
        <v>449</v>
      </c>
      <c r="B452" s="2" t="s">
        <v>909</v>
      </c>
      <c r="C452" s="2" t="s">
        <v>910</v>
      </c>
      <c r="D452" s="6"/>
      <c r="E452" s="6"/>
      <c r="F452" s="2" t="s">
        <v>21</v>
      </c>
      <c r="G452" s="2" t="s">
        <v>9</v>
      </c>
      <c r="H452" s="6">
        <f>VLOOKUP(B452,'[1]Tồn Acrilic  T10'!C$6:F$346,4,0)</f>
        <v>10</v>
      </c>
    </row>
    <row r="453" spans="1:8" ht="15.6" x14ac:dyDescent="0.3">
      <c r="A453" s="2">
        <v>450</v>
      </c>
      <c r="B453" s="2" t="s">
        <v>911</v>
      </c>
      <c r="C453" s="2" t="s">
        <v>912</v>
      </c>
      <c r="D453" s="6"/>
      <c r="E453" s="6"/>
      <c r="F453" s="2" t="s">
        <v>24</v>
      </c>
      <c r="G453" s="2" t="s">
        <v>9</v>
      </c>
      <c r="H453" s="6">
        <v>0</v>
      </c>
    </row>
    <row r="454" spans="1:8" ht="15.6" x14ac:dyDescent="0.3">
      <c r="A454" s="2">
        <v>451</v>
      </c>
      <c r="B454" s="2" t="s">
        <v>913</v>
      </c>
      <c r="C454" s="2" t="s">
        <v>914</v>
      </c>
      <c r="D454" s="6" t="str">
        <f>VLOOKUP(B454,'[1]Tồn Acrilic  T10 .nháp'!C$6:E$115,2,0)</f>
        <v>Acrylic, Tiara Prime F1 Black_0108M, 2440x1220x0.8mm</v>
      </c>
      <c r="E454" s="6" t="str">
        <f>VLOOKUP(B454,'[1]Tồn Acrilic  T10 .nháp'!C$6:E$115,3,0)</f>
        <v>Indonesia</v>
      </c>
      <c r="F454" s="2" t="s">
        <v>8</v>
      </c>
      <c r="G454" s="2" t="s">
        <v>9</v>
      </c>
      <c r="H454" s="6">
        <f>VLOOKUP(B454,'[1]Tồn Acrilic  T10'!C$6:F$346,4,0)</f>
        <v>264</v>
      </c>
    </row>
    <row r="455" spans="1:8" ht="15.6" x14ac:dyDescent="0.3">
      <c r="A455" s="2">
        <v>452</v>
      </c>
      <c r="B455" s="2" t="s">
        <v>915</v>
      </c>
      <c r="C455" s="2" t="s">
        <v>916</v>
      </c>
      <c r="D455" s="6"/>
      <c r="E455" s="6"/>
      <c r="F455" s="2" t="s">
        <v>12</v>
      </c>
      <c r="G455" s="2" t="s">
        <v>9</v>
      </c>
      <c r="H455" s="6">
        <f>VLOOKUP(B455,'[1]Tồn Acrilic  T10'!C$6:F$346,4,0)</f>
        <v>0</v>
      </c>
    </row>
    <row r="456" spans="1:8" ht="15.6" x14ac:dyDescent="0.3">
      <c r="A456" s="2">
        <v>453</v>
      </c>
      <c r="B456" s="2" t="s">
        <v>917</v>
      </c>
      <c r="C456" s="2" t="s">
        <v>918</v>
      </c>
      <c r="D456" s="6"/>
      <c r="E456" s="6"/>
      <c r="F456" s="2" t="s">
        <v>15</v>
      </c>
      <c r="G456" s="2" t="s">
        <v>9</v>
      </c>
      <c r="H456" s="6">
        <v>0</v>
      </c>
    </row>
    <row r="457" spans="1:8" ht="15.6" x14ac:dyDescent="0.3">
      <c r="A457" s="2">
        <v>454</v>
      </c>
      <c r="B457" s="2" t="s">
        <v>919</v>
      </c>
      <c r="C457" s="2" t="s">
        <v>920</v>
      </c>
      <c r="D457" s="6"/>
      <c r="E457" s="6"/>
      <c r="F457" s="2" t="s">
        <v>18</v>
      </c>
      <c r="G457" s="2" t="s">
        <v>9</v>
      </c>
      <c r="H457" s="6">
        <v>0</v>
      </c>
    </row>
    <row r="458" spans="1:8" ht="15.6" x14ac:dyDescent="0.3">
      <c r="A458" s="2">
        <v>455</v>
      </c>
      <c r="B458" s="2" t="s">
        <v>921</v>
      </c>
      <c r="C458" s="2" t="s">
        <v>922</v>
      </c>
      <c r="D458" s="6"/>
      <c r="E458" s="6"/>
      <c r="F458" s="2" t="s">
        <v>21</v>
      </c>
      <c r="G458" s="2" t="s">
        <v>9</v>
      </c>
      <c r="H458" s="6">
        <f>VLOOKUP(B458,'[1]Tồn Acrilic  T10'!C$6:F$346,4,0)</f>
        <v>11</v>
      </c>
    </row>
    <row r="459" spans="1:8" ht="15.6" x14ac:dyDescent="0.3">
      <c r="A459" s="2">
        <v>456</v>
      </c>
      <c r="B459" s="2" t="s">
        <v>923</v>
      </c>
      <c r="C459" s="2" t="s">
        <v>924</v>
      </c>
      <c r="D459" s="6"/>
      <c r="E459" s="6"/>
      <c r="F459" s="2" t="s">
        <v>24</v>
      </c>
      <c r="G459" s="2" t="s">
        <v>9</v>
      </c>
      <c r="H459" s="6">
        <v>0</v>
      </c>
    </row>
    <row r="460" spans="1:8" ht="15.6" x14ac:dyDescent="0.3">
      <c r="A460" s="2">
        <v>457</v>
      </c>
      <c r="B460" s="2" t="s">
        <v>925</v>
      </c>
      <c r="C460" s="2" t="s">
        <v>926</v>
      </c>
      <c r="D460" s="6" t="str">
        <f>VLOOKUP(B460,'[1]Tồn Acrilic  T10 .nháp'!C$6:E$115,2,0)</f>
        <v>Acrylic, AM1800TopX, black metallic 8427 color, size 1220x2440x0.8mm</v>
      </c>
      <c r="E460" s="6" t="str">
        <f>VLOOKUP(B460,'[1]Tồn Acrilic  T10 .nháp'!C$6:E$115,3,0)</f>
        <v>Austria</v>
      </c>
      <c r="F460" s="2" t="s">
        <v>8</v>
      </c>
      <c r="G460" s="2" t="s">
        <v>9</v>
      </c>
      <c r="H460" s="6">
        <f>VLOOKUP(B460,'[1]Tồn Acrilic  T10'!C$6:F$346,4,0)</f>
        <v>318</v>
      </c>
    </row>
    <row r="461" spans="1:8" ht="15.6" x14ac:dyDescent="0.3">
      <c r="A461" s="2">
        <v>458</v>
      </c>
      <c r="B461" s="2" t="s">
        <v>927</v>
      </c>
      <c r="C461" s="2" t="s">
        <v>928</v>
      </c>
      <c r="D461" s="6"/>
      <c r="E461" s="6"/>
      <c r="F461" s="2" t="s">
        <v>12</v>
      </c>
      <c r="G461" s="2" t="s">
        <v>9</v>
      </c>
      <c r="H461" s="6">
        <f>VLOOKUP(B461,'[1]Tồn Acrilic  T10'!C$6:F$346,4,0)</f>
        <v>1</v>
      </c>
    </row>
    <row r="462" spans="1:8" ht="15.6" x14ac:dyDescent="0.3">
      <c r="A462" s="2">
        <v>459</v>
      </c>
      <c r="B462" s="2" t="s">
        <v>929</v>
      </c>
      <c r="C462" s="2" t="s">
        <v>930</v>
      </c>
      <c r="D462" s="6"/>
      <c r="E462" s="6"/>
      <c r="F462" s="2" t="s">
        <v>15</v>
      </c>
      <c r="G462" s="2" t="s">
        <v>9</v>
      </c>
      <c r="H462" s="6">
        <v>0</v>
      </c>
    </row>
    <row r="463" spans="1:8" ht="15.6" x14ac:dyDescent="0.3">
      <c r="A463" s="2">
        <v>460</v>
      </c>
      <c r="B463" s="2" t="s">
        <v>931</v>
      </c>
      <c r="C463" s="2" t="s">
        <v>932</v>
      </c>
      <c r="D463" s="6"/>
      <c r="E463" s="6"/>
      <c r="F463" s="2" t="s">
        <v>18</v>
      </c>
      <c r="G463" s="2" t="s">
        <v>9</v>
      </c>
      <c r="H463" s="6">
        <v>0</v>
      </c>
    </row>
    <row r="464" spans="1:8" ht="15.6" x14ac:dyDescent="0.3">
      <c r="A464" s="2">
        <v>461</v>
      </c>
      <c r="B464" s="2" t="s">
        <v>933</v>
      </c>
      <c r="C464" s="2" t="s">
        <v>934</v>
      </c>
      <c r="D464" s="6"/>
      <c r="E464" s="6"/>
      <c r="F464" s="2" t="s">
        <v>21</v>
      </c>
      <c r="G464" s="2" t="s">
        <v>9</v>
      </c>
      <c r="H464" s="6">
        <f>VLOOKUP(B464,'[1]Tồn Acrilic  T10'!C$6:F$346,4,0)</f>
        <v>1</v>
      </c>
    </row>
    <row r="465" spans="1:8" ht="15.6" x14ac:dyDescent="0.3">
      <c r="A465" s="2">
        <v>462</v>
      </c>
      <c r="B465" s="2" t="s">
        <v>935</v>
      </c>
      <c r="C465" s="2" t="s">
        <v>936</v>
      </c>
      <c r="D465" s="6"/>
      <c r="E465" s="6"/>
      <c r="F465" s="2" t="s">
        <v>24</v>
      </c>
      <c r="G465" s="2" t="s">
        <v>9</v>
      </c>
      <c r="H465" s="6">
        <v>0</v>
      </c>
    </row>
    <row r="466" spans="1:8" ht="15.6" x14ac:dyDescent="0.3">
      <c r="A466" s="2">
        <v>463</v>
      </c>
      <c r="B466" s="2" t="s">
        <v>937</v>
      </c>
      <c r="C466" s="2" t="s">
        <v>938</v>
      </c>
      <c r="D466" s="6" t="str">
        <f>VLOOKUP(B466,'[1]Tồn Acrilic  T10 .nháp'!C$6:E$115,2,0)</f>
        <v>UltraGloss_Wine Metallic color GV46</v>
      </c>
      <c r="E466" s="6" t="str">
        <f>VLOOKUP(B466,'[1]Tồn Acrilic  T10 .nháp'!C$6:E$115,3,0)</f>
        <v>Korea</v>
      </c>
      <c r="F466" s="2" t="s">
        <v>8</v>
      </c>
      <c r="G466" s="2" t="s">
        <v>9</v>
      </c>
      <c r="H466" s="6">
        <f>VLOOKUP(B466,'[1]Tồn Acrilic  T10'!C$6:F$346,4,0)</f>
        <v>83</v>
      </c>
    </row>
    <row r="467" spans="1:8" ht="15.6" x14ac:dyDescent="0.3">
      <c r="A467" s="2">
        <v>464</v>
      </c>
      <c r="B467" s="2" t="s">
        <v>939</v>
      </c>
      <c r="C467" s="2" t="s">
        <v>940</v>
      </c>
      <c r="D467" s="6"/>
      <c r="E467" s="6"/>
      <c r="F467" s="2" t="s">
        <v>12</v>
      </c>
      <c r="G467" s="2" t="s">
        <v>9</v>
      </c>
      <c r="H467" s="6">
        <f>VLOOKUP(B467,'[1]Tồn Acrilic  T10'!C$6:F$346,4,0)</f>
        <v>0</v>
      </c>
    </row>
    <row r="468" spans="1:8" ht="15.6" x14ac:dyDescent="0.3">
      <c r="A468" s="2">
        <v>465</v>
      </c>
      <c r="B468" s="2" t="s">
        <v>941</v>
      </c>
      <c r="C468" s="2" t="s">
        <v>942</v>
      </c>
      <c r="D468" s="6"/>
      <c r="E468" s="6"/>
      <c r="F468" s="2" t="s">
        <v>15</v>
      </c>
      <c r="G468" s="2" t="s">
        <v>9</v>
      </c>
      <c r="H468" s="6">
        <v>0</v>
      </c>
    </row>
    <row r="469" spans="1:8" ht="15.6" x14ac:dyDescent="0.3">
      <c r="A469" s="2">
        <v>466</v>
      </c>
      <c r="B469" s="2" t="s">
        <v>943</v>
      </c>
      <c r="C469" s="2" t="s">
        <v>944</v>
      </c>
      <c r="D469" s="6"/>
      <c r="E469" s="6"/>
      <c r="F469" s="2" t="s">
        <v>18</v>
      </c>
      <c r="G469" s="2" t="s">
        <v>9</v>
      </c>
      <c r="H469" s="6">
        <v>0</v>
      </c>
    </row>
    <row r="470" spans="1:8" ht="15.6" x14ac:dyDescent="0.3">
      <c r="A470" s="2">
        <v>467</v>
      </c>
      <c r="B470" s="2" t="s">
        <v>945</v>
      </c>
      <c r="C470" s="2" t="s">
        <v>946</v>
      </c>
      <c r="D470" s="6"/>
      <c r="E470" s="6"/>
      <c r="F470" s="2" t="s">
        <v>21</v>
      </c>
      <c r="G470" s="2" t="s">
        <v>9</v>
      </c>
      <c r="H470" s="6">
        <f>VLOOKUP(B470,'[1]Tồn Acrilic  T10'!C$6:F$346,4,0)</f>
        <v>7</v>
      </c>
    </row>
    <row r="471" spans="1:8" ht="15.6" x14ac:dyDescent="0.3">
      <c r="A471" s="2">
        <v>468</v>
      </c>
      <c r="B471" s="2" t="s">
        <v>947</v>
      </c>
      <c r="C471" s="2" t="s">
        <v>948</v>
      </c>
      <c r="D471" s="6"/>
      <c r="E471" s="6"/>
      <c r="F471" s="2" t="s">
        <v>24</v>
      </c>
      <c r="G471" s="2" t="s">
        <v>9</v>
      </c>
      <c r="H471" s="6">
        <v>0</v>
      </c>
    </row>
    <row r="472" spans="1:8" ht="15.6" x14ac:dyDescent="0.3">
      <c r="A472" s="2">
        <v>469</v>
      </c>
      <c r="B472" s="2" t="s">
        <v>949</v>
      </c>
      <c r="C472" s="2" t="s">
        <v>950</v>
      </c>
      <c r="D472" s="6" t="str">
        <f>VLOOKUP(B472,'[1]Tồn Acrilic  T10 .nháp'!C$6:E$115,2,0)</f>
        <v>Acrylic siêu chống xước Áo, AM1800TopX, violet 4548 color GV47</v>
      </c>
      <c r="E472" s="6" t="str">
        <f>VLOOKUP(B472,'[1]Tồn Acrilic  T10 .nháp'!C$6:E$115,3,0)</f>
        <v>Austria</v>
      </c>
      <c r="F472" s="2" t="s">
        <v>8</v>
      </c>
      <c r="G472" s="2" t="s">
        <v>9</v>
      </c>
      <c r="H472" s="6">
        <f>VLOOKUP(B472,'[1]Tồn Acrilic  T10'!C$6:F$346,4,0)</f>
        <v>10</v>
      </c>
    </row>
    <row r="473" spans="1:8" ht="15.6" x14ac:dyDescent="0.3">
      <c r="A473" s="2">
        <v>470</v>
      </c>
      <c r="B473" s="2" t="s">
        <v>951</v>
      </c>
      <c r="C473" s="2" t="s">
        <v>952</v>
      </c>
      <c r="D473" s="6"/>
      <c r="E473" s="6"/>
      <c r="F473" s="2" t="s">
        <v>12</v>
      </c>
      <c r="G473" s="2" t="s">
        <v>9</v>
      </c>
      <c r="H473" s="6">
        <f>VLOOKUP(B473,'[1]Tồn Acrilic  T10'!C$6:F$346,4,0)</f>
        <v>8</v>
      </c>
    </row>
    <row r="474" spans="1:8" ht="15.6" x14ac:dyDescent="0.3">
      <c r="A474" s="2">
        <v>471</v>
      </c>
      <c r="B474" s="2" t="s">
        <v>953</v>
      </c>
      <c r="C474" s="2" t="s">
        <v>954</v>
      </c>
      <c r="D474" s="6"/>
      <c r="E474" s="6"/>
      <c r="F474" s="2" t="s">
        <v>15</v>
      </c>
      <c r="G474" s="2" t="s">
        <v>9</v>
      </c>
      <c r="H474" s="6">
        <v>0</v>
      </c>
    </row>
    <row r="475" spans="1:8" ht="15.6" x14ac:dyDescent="0.3">
      <c r="A475" s="2">
        <v>472</v>
      </c>
      <c r="B475" s="2" t="s">
        <v>955</v>
      </c>
      <c r="C475" s="2" t="s">
        <v>956</v>
      </c>
      <c r="D475" s="6"/>
      <c r="E475" s="6"/>
      <c r="F475" s="2" t="s">
        <v>18</v>
      </c>
      <c r="G475" s="2" t="s">
        <v>9</v>
      </c>
      <c r="H475" s="6">
        <v>0</v>
      </c>
    </row>
    <row r="476" spans="1:8" ht="15.6" x14ac:dyDescent="0.3">
      <c r="A476" s="2">
        <v>473</v>
      </c>
      <c r="B476" s="2" t="s">
        <v>957</v>
      </c>
      <c r="C476" s="2" t="s">
        <v>958</v>
      </c>
      <c r="D476" s="6"/>
      <c r="E476" s="6"/>
      <c r="F476" s="2" t="s">
        <v>21</v>
      </c>
      <c r="G476" s="2" t="s">
        <v>9</v>
      </c>
      <c r="H476" s="6">
        <f>VLOOKUP(B476,'[1]Tồn Acrilic  T10'!C$6:F$346,4,0)</f>
        <v>1</v>
      </c>
    </row>
    <row r="477" spans="1:8" ht="15.6" x14ac:dyDescent="0.3">
      <c r="A477" s="2">
        <v>474</v>
      </c>
      <c r="B477" s="2" t="s">
        <v>959</v>
      </c>
      <c r="C477" s="2" t="s">
        <v>960</v>
      </c>
      <c r="D477" s="6"/>
      <c r="E477" s="6"/>
      <c r="F477" s="2" t="s">
        <v>24</v>
      </c>
      <c r="G477" s="2" t="s">
        <v>9</v>
      </c>
      <c r="H477" s="6">
        <v>0</v>
      </c>
    </row>
    <row r="478" spans="1:8" ht="15.6" x14ac:dyDescent="0.3">
      <c r="A478" s="2">
        <v>475</v>
      </c>
      <c r="B478" s="2" t="s">
        <v>961</v>
      </c>
      <c r="C478" s="2" t="s">
        <v>962</v>
      </c>
      <c r="D478" s="6" t="str">
        <f>VLOOKUP(B478,'[1]Tồn Acrilic  T10 .nháp'!C$6:E$115,2,0)</f>
        <v>Acrylic siêu chống xước Áo, AM1800TopX, red 3362 color GV48</v>
      </c>
      <c r="E478" s="6" t="str">
        <f>VLOOKUP(B478,'[1]Tồn Acrilic  T10 .nháp'!C$6:E$115,3,0)</f>
        <v>Austria</v>
      </c>
      <c r="F478" s="2" t="s">
        <v>8</v>
      </c>
      <c r="G478" s="2" t="s">
        <v>9</v>
      </c>
      <c r="H478" s="6">
        <f>VLOOKUP(B478,'[1]Tồn Acrilic  T10'!C$6:F$346,4,0)</f>
        <v>30</v>
      </c>
    </row>
    <row r="479" spans="1:8" ht="15.6" x14ac:dyDescent="0.3">
      <c r="A479" s="2">
        <v>476</v>
      </c>
      <c r="B479" s="2" t="s">
        <v>963</v>
      </c>
      <c r="C479" s="2" t="s">
        <v>964</v>
      </c>
      <c r="D479" s="6"/>
      <c r="E479" s="6"/>
      <c r="F479" s="2" t="s">
        <v>12</v>
      </c>
      <c r="G479" s="2" t="s">
        <v>9</v>
      </c>
      <c r="H479" s="6">
        <f>VLOOKUP(B479,'[1]Tồn Acrilic  T10'!C$6:F$346,4,0)</f>
        <v>6</v>
      </c>
    </row>
    <row r="480" spans="1:8" ht="15.6" x14ac:dyDescent="0.3">
      <c r="A480" s="2">
        <v>477</v>
      </c>
      <c r="B480" s="2" t="s">
        <v>965</v>
      </c>
      <c r="C480" s="2" t="s">
        <v>966</v>
      </c>
      <c r="D480" s="6"/>
      <c r="E480" s="6"/>
      <c r="F480" s="2" t="s">
        <v>15</v>
      </c>
      <c r="G480" s="2" t="s">
        <v>9</v>
      </c>
      <c r="H480" s="6">
        <v>0</v>
      </c>
    </row>
    <row r="481" spans="1:8" ht="15.6" x14ac:dyDescent="0.3">
      <c r="A481" s="2">
        <v>478</v>
      </c>
      <c r="B481" s="2" t="s">
        <v>967</v>
      </c>
      <c r="C481" s="2" t="s">
        <v>968</v>
      </c>
      <c r="D481" s="6"/>
      <c r="E481" s="6"/>
      <c r="F481" s="2" t="s">
        <v>18</v>
      </c>
      <c r="G481" s="2" t="s">
        <v>9</v>
      </c>
      <c r="H481" s="6">
        <v>0</v>
      </c>
    </row>
    <row r="482" spans="1:8" ht="15.6" x14ac:dyDescent="0.3">
      <c r="A482" s="2">
        <v>479</v>
      </c>
      <c r="B482" s="2" t="s">
        <v>969</v>
      </c>
      <c r="C482" s="2" t="s">
        <v>970</v>
      </c>
      <c r="D482" s="6"/>
      <c r="E482" s="6"/>
      <c r="F482" s="2" t="s">
        <v>21</v>
      </c>
      <c r="G482" s="2" t="s">
        <v>9</v>
      </c>
      <c r="H482" s="6">
        <f>VLOOKUP(B482,'[1]Tồn Acrilic  T10'!C$6:F$346,4,0)</f>
        <v>0</v>
      </c>
    </row>
    <row r="483" spans="1:8" ht="15.6" x14ac:dyDescent="0.3">
      <c r="A483" s="2">
        <v>480</v>
      </c>
      <c r="B483" s="2" t="s">
        <v>971</v>
      </c>
      <c r="C483" s="2" t="s">
        <v>972</v>
      </c>
      <c r="D483" s="6"/>
      <c r="E483" s="6"/>
      <c r="F483" s="2" t="s">
        <v>24</v>
      </c>
      <c r="G483" s="2" t="s">
        <v>9</v>
      </c>
      <c r="H483" s="6">
        <v>0</v>
      </c>
    </row>
    <row r="484" spans="1:8" ht="15.6" x14ac:dyDescent="0.3">
      <c r="A484" s="2">
        <v>481</v>
      </c>
      <c r="B484" s="2" t="s">
        <v>973</v>
      </c>
      <c r="C484" s="2" t="s">
        <v>974</v>
      </c>
      <c r="D484" s="6" t="str">
        <f>VLOOKUP(B484,'[1]Tồn Acrilic  T10 .nháp'!C$6:E$115,2,0)</f>
        <v>Acrylic UltraGloss, Burgundi SO10-402 color GV49</v>
      </c>
      <c r="E484" s="6" t="str">
        <f>VLOOKUP(B484,'[1]Tồn Acrilic  T10 .nháp'!C$6:E$115,3,0)</f>
        <v>Korea</v>
      </c>
      <c r="F484" s="2" t="s">
        <v>8</v>
      </c>
      <c r="G484" s="2" t="s">
        <v>9</v>
      </c>
      <c r="H484" s="6">
        <f>VLOOKUP(B484,'[1]Tồn Acrilic  T10'!C$6:F$346,4,0)</f>
        <v>345</v>
      </c>
    </row>
    <row r="485" spans="1:8" ht="15.6" x14ac:dyDescent="0.3">
      <c r="A485" s="2">
        <v>482</v>
      </c>
      <c r="B485" s="2" t="s">
        <v>975</v>
      </c>
      <c r="C485" s="2" t="s">
        <v>976</v>
      </c>
      <c r="D485" s="6"/>
      <c r="E485" s="6"/>
      <c r="F485" s="2" t="s">
        <v>12</v>
      </c>
      <c r="G485" s="2" t="s">
        <v>9</v>
      </c>
      <c r="H485" s="6">
        <f>VLOOKUP(B485,'[1]Tồn Acrilic  T10'!C$6:F$346,4,0)</f>
        <v>1</v>
      </c>
    </row>
    <row r="486" spans="1:8" ht="15.6" x14ac:dyDescent="0.3">
      <c r="A486" s="2">
        <v>483</v>
      </c>
      <c r="B486" s="2" t="s">
        <v>977</v>
      </c>
      <c r="C486" s="2" t="s">
        <v>978</v>
      </c>
      <c r="D486" s="6"/>
      <c r="E486" s="6"/>
      <c r="F486" s="2" t="s">
        <v>15</v>
      </c>
      <c r="G486" s="2" t="s">
        <v>9</v>
      </c>
      <c r="H486" s="6">
        <v>0</v>
      </c>
    </row>
    <row r="487" spans="1:8" ht="15.6" x14ac:dyDescent="0.3">
      <c r="A487" s="2">
        <v>484</v>
      </c>
      <c r="B487" s="2" t="s">
        <v>979</v>
      </c>
      <c r="C487" s="2" t="s">
        <v>980</v>
      </c>
      <c r="D487" s="6"/>
      <c r="E487" s="6"/>
      <c r="F487" s="2" t="s">
        <v>18</v>
      </c>
      <c r="G487" s="2" t="s">
        <v>9</v>
      </c>
      <c r="H487" s="6">
        <v>0</v>
      </c>
    </row>
    <row r="488" spans="1:8" ht="15.6" x14ac:dyDescent="0.3">
      <c r="A488" s="2">
        <v>485</v>
      </c>
      <c r="B488" s="2" t="s">
        <v>981</v>
      </c>
      <c r="C488" s="2" t="s">
        <v>982</v>
      </c>
      <c r="D488" s="6"/>
      <c r="E488" s="6"/>
      <c r="F488" s="2" t="s">
        <v>21</v>
      </c>
      <c r="G488" s="2" t="s">
        <v>9</v>
      </c>
      <c r="H488" s="6">
        <f>VLOOKUP(B488,'[1]Tồn Acrilic  T10'!C$6:F$346,4,0)</f>
        <v>2</v>
      </c>
    </row>
    <row r="489" spans="1:8" ht="15.6" x14ac:dyDescent="0.3">
      <c r="A489" s="2">
        <v>486</v>
      </c>
      <c r="B489" s="2" t="s">
        <v>983</v>
      </c>
      <c r="C489" s="2" t="s">
        <v>984</v>
      </c>
      <c r="D489" s="6"/>
      <c r="E489" s="6"/>
      <c r="F489" s="2" t="s">
        <v>24</v>
      </c>
      <c r="G489" s="2" t="s">
        <v>9</v>
      </c>
      <c r="H489" s="6">
        <v>0</v>
      </c>
    </row>
    <row r="490" spans="1:8" ht="15.6" x14ac:dyDescent="0.3">
      <c r="A490" s="2">
        <v>487</v>
      </c>
      <c r="B490" s="2" t="s">
        <v>985</v>
      </c>
      <c r="C490" s="2" t="s">
        <v>986</v>
      </c>
      <c r="D490" s="6" t="str">
        <f>VLOOKUP(B490,'[1]Tồn Acrilic  T10 .nháp'!C$6:E$115,2,0)</f>
        <v>High Gloss Acrylic sheet Orange, 05O</v>
      </c>
      <c r="E490" s="6" t="str">
        <f>VLOOKUP(B490,'[1]Tồn Acrilic  T10 .nháp'!C$6:E$115,3,0)</f>
        <v>Taiwan</v>
      </c>
      <c r="F490" s="2" t="s">
        <v>8</v>
      </c>
      <c r="G490" s="2" t="s">
        <v>9</v>
      </c>
      <c r="H490" s="6">
        <f>VLOOKUP(B490,'[1]Tồn Acrilic  T10'!C$6:F$346,4,0)</f>
        <v>297</v>
      </c>
    </row>
    <row r="491" spans="1:8" ht="15.6" x14ac:dyDescent="0.3">
      <c r="A491" s="2">
        <v>488</v>
      </c>
      <c r="B491" s="2" t="s">
        <v>987</v>
      </c>
      <c r="C491" s="2" t="s">
        <v>988</v>
      </c>
      <c r="D491" s="6"/>
      <c r="E491" s="6"/>
      <c r="F491" s="2" t="s">
        <v>12</v>
      </c>
      <c r="G491" s="2" t="s">
        <v>9</v>
      </c>
      <c r="H491" s="6">
        <f>VLOOKUP(B491,'[1]Tồn Acrilic  T10'!C$6:F$346,4,0)</f>
        <v>0</v>
      </c>
    </row>
    <row r="492" spans="1:8" ht="15.6" x14ac:dyDescent="0.3">
      <c r="A492" s="2">
        <v>489</v>
      </c>
      <c r="B492" s="2" t="s">
        <v>989</v>
      </c>
      <c r="C492" s="2" t="s">
        <v>990</v>
      </c>
      <c r="D492" s="6"/>
      <c r="E492" s="6"/>
      <c r="F492" s="2" t="s">
        <v>15</v>
      </c>
      <c r="G492" s="2" t="s">
        <v>9</v>
      </c>
      <c r="H492" s="6">
        <v>0</v>
      </c>
    </row>
    <row r="493" spans="1:8" ht="15.6" x14ac:dyDescent="0.3">
      <c r="A493" s="2">
        <v>490</v>
      </c>
      <c r="B493" s="2" t="s">
        <v>991</v>
      </c>
      <c r="C493" s="2" t="s">
        <v>992</v>
      </c>
      <c r="D493" s="6"/>
      <c r="E493" s="6"/>
      <c r="F493" s="2" t="s">
        <v>18</v>
      </c>
      <c r="G493" s="2" t="s">
        <v>9</v>
      </c>
      <c r="H493" s="6">
        <v>0</v>
      </c>
    </row>
    <row r="494" spans="1:8" ht="15.6" x14ac:dyDescent="0.3">
      <c r="A494" s="2">
        <v>491</v>
      </c>
      <c r="B494" s="2" t="s">
        <v>993</v>
      </c>
      <c r="C494" s="2" t="s">
        <v>994</v>
      </c>
      <c r="D494" s="6"/>
      <c r="E494" s="6"/>
      <c r="F494" s="2" t="s">
        <v>21</v>
      </c>
      <c r="G494" s="2" t="s">
        <v>9</v>
      </c>
      <c r="H494" s="6">
        <f>VLOOKUP(B494,'[1]Tồn Acrilic  T10'!C$6:F$346,4,0)</f>
        <v>0</v>
      </c>
    </row>
    <row r="495" spans="1:8" ht="15.6" x14ac:dyDescent="0.3">
      <c r="A495" s="2">
        <v>492</v>
      </c>
      <c r="B495" s="2" t="s">
        <v>995</v>
      </c>
      <c r="C495" s="2" t="s">
        <v>996</v>
      </c>
      <c r="D495" s="6"/>
      <c r="E495" s="6"/>
      <c r="F495" s="2" t="s">
        <v>24</v>
      </c>
      <c r="G495" s="2" t="s">
        <v>9</v>
      </c>
      <c r="H495" s="6">
        <v>0</v>
      </c>
    </row>
    <row r="496" spans="1:8" ht="15.6" x14ac:dyDescent="0.3">
      <c r="A496" s="2">
        <v>493</v>
      </c>
      <c r="B496" s="2" t="s">
        <v>997</v>
      </c>
      <c r="C496" s="2" t="s">
        <v>998</v>
      </c>
      <c r="D496" s="6" t="str">
        <f>VLOOKUP(B496,'[1]Tồn Acrilic  T10 .nháp'!C$6:E$115,2,0)</f>
        <v>UltraGloss_Verde color GV51</v>
      </c>
      <c r="E496" s="6" t="str">
        <f>VLOOKUP(B496,'[1]Tồn Acrilic  T10 .nháp'!C$6:E$115,3,0)</f>
        <v>Korea</v>
      </c>
      <c r="F496" s="2" t="s">
        <v>8</v>
      </c>
      <c r="G496" s="2" t="s">
        <v>9</v>
      </c>
      <c r="H496" s="6">
        <f>VLOOKUP(B496,'[1]Tồn Acrilic  T10'!C$6:F$346,4,0)</f>
        <v>84</v>
      </c>
    </row>
    <row r="497" spans="1:8" ht="15.6" x14ac:dyDescent="0.3">
      <c r="A497" s="2">
        <v>494</v>
      </c>
      <c r="B497" s="2" t="s">
        <v>999</v>
      </c>
      <c r="C497" s="2" t="s">
        <v>1000</v>
      </c>
      <c r="D497" s="6"/>
      <c r="E497" s="6"/>
      <c r="F497" s="2" t="s">
        <v>12</v>
      </c>
      <c r="G497" s="2" t="s">
        <v>9</v>
      </c>
      <c r="H497" s="6">
        <f>VLOOKUP(B497,'[1]Tồn Acrilic  T10'!C$6:F$346,4,0)</f>
        <v>0</v>
      </c>
    </row>
    <row r="498" spans="1:8" ht="15.6" x14ac:dyDescent="0.3">
      <c r="A498" s="2">
        <v>495</v>
      </c>
      <c r="B498" s="2" t="s">
        <v>1001</v>
      </c>
      <c r="C498" s="2" t="s">
        <v>1002</v>
      </c>
      <c r="D498" s="6"/>
      <c r="E498" s="6"/>
      <c r="F498" s="2" t="s">
        <v>15</v>
      </c>
      <c r="G498" s="2" t="s">
        <v>9</v>
      </c>
      <c r="H498" s="6">
        <v>0</v>
      </c>
    </row>
    <row r="499" spans="1:8" ht="15.6" x14ac:dyDescent="0.3">
      <c r="A499" s="2">
        <v>496</v>
      </c>
      <c r="B499" s="2" t="s">
        <v>1003</v>
      </c>
      <c r="C499" s="2" t="s">
        <v>1004</v>
      </c>
      <c r="D499" s="6"/>
      <c r="E499" s="6"/>
      <c r="F499" s="2" t="s">
        <v>18</v>
      </c>
      <c r="G499" s="2" t="s">
        <v>9</v>
      </c>
      <c r="H499" s="6">
        <v>0</v>
      </c>
    </row>
    <row r="500" spans="1:8" ht="15.6" x14ac:dyDescent="0.3">
      <c r="A500" s="2">
        <v>497</v>
      </c>
      <c r="B500" s="2" t="s">
        <v>1005</v>
      </c>
      <c r="C500" s="2" t="s">
        <v>1006</v>
      </c>
      <c r="D500" s="6"/>
      <c r="E500" s="6"/>
      <c r="F500" s="2" t="s">
        <v>21</v>
      </c>
      <c r="G500" s="2" t="s">
        <v>9</v>
      </c>
      <c r="H500" s="6">
        <f>VLOOKUP(B500,'[1]Tồn Acrilic  T10'!C$6:F$346,4,0)</f>
        <v>4</v>
      </c>
    </row>
    <row r="501" spans="1:8" ht="15.6" x14ac:dyDescent="0.3">
      <c r="A501" s="2">
        <v>498</v>
      </c>
      <c r="B501" s="2" t="s">
        <v>1007</v>
      </c>
      <c r="C501" s="2" t="s">
        <v>1008</v>
      </c>
      <c r="D501" s="6"/>
      <c r="E501" s="6"/>
      <c r="F501" s="2" t="s">
        <v>24</v>
      </c>
      <c r="G501" s="2" t="s">
        <v>9</v>
      </c>
      <c r="H501" s="6">
        <v>0</v>
      </c>
    </row>
    <row r="502" spans="1:8" ht="15.6" x14ac:dyDescent="0.3">
      <c r="A502" s="2">
        <v>499</v>
      </c>
      <c r="B502" s="2" t="s">
        <v>1009</v>
      </c>
      <c r="C502" s="2" t="s">
        <v>1010</v>
      </c>
      <c r="D502" s="6" t="str">
        <f>VLOOKUP(B502,'[1]Tồn Acrilic  T10 .nháp'!C$6:E$115,2,0)</f>
        <v>Acrylic, 54BL, light blue color GV52</v>
      </c>
      <c r="E502" s="6" t="str">
        <f>VLOOKUP(B502,'[1]Tồn Acrilic  T10 .nháp'!C$6:E$115,3,0)</f>
        <v>Taiwan</v>
      </c>
      <c r="F502" s="2" t="s">
        <v>8</v>
      </c>
      <c r="G502" s="2" t="s">
        <v>9</v>
      </c>
      <c r="H502" s="6">
        <f>VLOOKUP(B502,'[1]Tồn Acrilic  T10'!C$6:F$346,4,0)</f>
        <v>75</v>
      </c>
    </row>
    <row r="503" spans="1:8" ht="15.6" x14ac:dyDescent="0.3">
      <c r="A503" s="2">
        <v>500</v>
      </c>
      <c r="B503" s="2" t="s">
        <v>1011</v>
      </c>
      <c r="C503" s="2" t="s">
        <v>1012</v>
      </c>
      <c r="D503" s="6"/>
      <c r="E503" s="6"/>
      <c r="F503" s="2" t="s">
        <v>12</v>
      </c>
      <c r="G503" s="2" t="s">
        <v>9</v>
      </c>
      <c r="H503" s="6">
        <f>VLOOKUP(B503,'[1]Tồn Acrilic  T10'!C$6:F$346,4,0)</f>
        <v>0</v>
      </c>
    </row>
    <row r="504" spans="1:8" ht="15.6" x14ac:dyDescent="0.3">
      <c r="A504" s="2">
        <v>501</v>
      </c>
      <c r="B504" s="2" t="s">
        <v>1013</v>
      </c>
      <c r="C504" s="2" t="s">
        <v>1014</v>
      </c>
      <c r="D504" s="6"/>
      <c r="E504" s="6"/>
      <c r="F504" s="2" t="s">
        <v>15</v>
      </c>
      <c r="G504" s="2" t="s">
        <v>9</v>
      </c>
      <c r="H504" s="6">
        <v>0</v>
      </c>
    </row>
    <row r="505" spans="1:8" ht="15.6" x14ac:dyDescent="0.3">
      <c r="A505" s="2">
        <v>502</v>
      </c>
      <c r="B505" s="2" t="s">
        <v>1015</v>
      </c>
      <c r="C505" s="2" t="s">
        <v>1016</v>
      </c>
      <c r="D505" s="6"/>
      <c r="E505" s="6"/>
      <c r="F505" s="2" t="s">
        <v>18</v>
      </c>
      <c r="G505" s="2" t="s">
        <v>9</v>
      </c>
      <c r="H505" s="6">
        <v>0</v>
      </c>
    </row>
    <row r="506" spans="1:8" ht="15.6" x14ac:dyDescent="0.3">
      <c r="A506" s="2">
        <v>503</v>
      </c>
      <c r="B506" s="2" t="s">
        <v>1017</v>
      </c>
      <c r="C506" s="2" t="s">
        <v>1018</v>
      </c>
      <c r="D506" s="6"/>
      <c r="E506" s="6"/>
      <c r="F506" s="2" t="s">
        <v>21</v>
      </c>
      <c r="G506" s="2" t="s">
        <v>9</v>
      </c>
      <c r="H506" s="6">
        <f>VLOOKUP(B506,'[1]Tồn Acrilic  T10'!C$6:F$346,4,0)</f>
        <v>7</v>
      </c>
    </row>
    <row r="507" spans="1:8" ht="15.6" x14ac:dyDescent="0.3">
      <c r="A507" s="2">
        <v>504</v>
      </c>
      <c r="B507" s="2" t="s">
        <v>1019</v>
      </c>
      <c r="C507" s="2" t="s">
        <v>1020</v>
      </c>
      <c r="D507" s="6"/>
      <c r="E507" s="6"/>
      <c r="F507" s="2" t="s">
        <v>24</v>
      </c>
      <c r="G507" s="2" t="s">
        <v>9</v>
      </c>
      <c r="H507" s="6">
        <v>0</v>
      </c>
    </row>
    <row r="508" spans="1:8" ht="15.6" x14ac:dyDescent="0.3">
      <c r="A508" s="2">
        <v>505</v>
      </c>
      <c r="B508" s="2" t="s">
        <v>1021</v>
      </c>
      <c r="C508" s="2" t="s">
        <v>1022</v>
      </c>
      <c r="D508" s="6" t="str">
        <f>VLOOKUP(B508,'[1]Tồn Acrilic  T10 .nháp'!C$6:E$115,2,0)</f>
        <v>Acrylic, 49G, dark blue color GV53</v>
      </c>
      <c r="E508" s="6" t="str">
        <f>VLOOKUP(B508,'[1]Tồn Acrilic  T10 .nháp'!C$6:E$115,3,0)</f>
        <v>Taiwan</v>
      </c>
      <c r="F508" s="2" t="s">
        <v>8</v>
      </c>
      <c r="G508" s="2" t="s">
        <v>9</v>
      </c>
      <c r="H508" s="6">
        <f>VLOOKUP(B508,'[1]Tồn Acrilic  T10'!C$6:F$346,4,0)</f>
        <v>136</v>
      </c>
    </row>
    <row r="509" spans="1:8" ht="15.6" x14ac:dyDescent="0.3">
      <c r="A509" s="2">
        <v>506</v>
      </c>
      <c r="B509" s="2" t="s">
        <v>1023</v>
      </c>
      <c r="C509" s="2" t="s">
        <v>1024</v>
      </c>
      <c r="D509" s="6"/>
      <c r="E509" s="6"/>
      <c r="F509" s="2" t="s">
        <v>12</v>
      </c>
      <c r="G509" s="2" t="s">
        <v>9</v>
      </c>
      <c r="H509" s="6">
        <f>VLOOKUP(B509,'[1]Tồn Acrilic  T10'!C$6:F$346,4,0)</f>
        <v>0</v>
      </c>
    </row>
    <row r="510" spans="1:8" ht="15.6" x14ac:dyDescent="0.3">
      <c r="A510" s="2">
        <v>507</v>
      </c>
      <c r="B510" s="2" t="s">
        <v>1025</v>
      </c>
      <c r="C510" s="2" t="s">
        <v>1026</v>
      </c>
      <c r="D510" s="6"/>
      <c r="E510" s="6"/>
      <c r="F510" s="2" t="s">
        <v>15</v>
      </c>
      <c r="G510" s="2" t="s">
        <v>9</v>
      </c>
      <c r="H510" s="6">
        <v>0</v>
      </c>
    </row>
    <row r="511" spans="1:8" ht="15.6" x14ac:dyDescent="0.3">
      <c r="A511" s="2">
        <v>508</v>
      </c>
      <c r="B511" s="2" t="s">
        <v>1027</v>
      </c>
      <c r="C511" s="2" t="s">
        <v>1028</v>
      </c>
      <c r="D511" s="6"/>
      <c r="E511" s="6"/>
      <c r="F511" s="2" t="s">
        <v>18</v>
      </c>
      <c r="G511" s="2" t="s">
        <v>9</v>
      </c>
      <c r="H511" s="6">
        <v>0</v>
      </c>
    </row>
    <row r="512" spans="1:8" ht="15.6" x14ac:dyDescent="0.3">
      <c r="A512" s="2">
        <v>509</v>
      </c>
      <c r="B512" s="2" t="s">
        <v>1029</v>
      </c>
      <c r="C512" s="2" t="s">
        <v>1030</v>
      </c>
      <c r="D512" s="6"/>
      <c r="E512" s="6"/>
      <c r="F512" s="2" t="s">
        <v>21</v>
      </c>
      <c r="G512" s="2" t="s">
        <v>9</v>
      </c>
      <c r="H512" s="6">
        <f>VLOOKUP(B512,'[1]Tồn Acrilic  T10'!C$6:F$346,4,0)</f>
        <v>7</v>
      </c>
    </row>
    <row r="513" spans="1:8" ht="15.6" x14ac:dyDescent="0.3">
      <c r="A513" s="2">
        <v>510</v>
      </c>
      <c r="B513" s="2" t="s">
        <v>1031</v>
      </c>
      <c r="C513" s="2" t="s">
        <v>1032</v>
      </c>
      <c r="D513" s="6"/>
      <c r="E513" s="6"/>
      <c r="F513" s="2" t="s">
        <v>24</v>
      </c>
      <c r="G513" s="2" t="s">
        <v>9</v>
      </c>
      <c r="H513" s="6">
        <v>0</v>
      </c>
    </row>
    <row r="514" spans="1:8" ht="15.6" x14ac:dyDescent="0.3">
      <c r="A514" s="2">
        <v>511</v>
      </c>
      <c r="B514" s="2" t="s">
        <v>1033</v>
      </c>
      <c r="C514" s="2" t="s">
        <v>1034</v>
      </c>
      <c r="D514" s="6" t="str">
        <f>VLOOKUP(B514,'[1]Tồn Acrilic  T10 .nháp'!C$6:E$115,2,0)</f>
        <v>Acrylic, Tiara Prime F1 White_9086P, 2440x1220x0.8mm</v>
      </c>
      <c r="E514" s="6" t="str">
        <f>VLOOKUP(B514,'[1]Tồn Acrilic  T10 .nháp'!C$6:E$115,3,0)</f>
        <v>Indonesia</v>
      </c>
      <c r="F514" s="2" t="s">
        <v>8</v>
      </c>
      <c r="G514" s="2" t="s">
        <v>9</v>
      </c>
      <c r="H514" s="6">
        <f>VLOOKUP(B514,'[1]Tồn Acrilic  T10'!C$6:F$346,4,0)</f>
        <v>174</v>
      </c>
    </row>
    <row r="515" spans="1:8" ht="15.6" x14ac:dyDescent="0.3">
      <c r="A515" s="2">
        <v>512</v>
      </c>
      <c r="B515" s="2" t="s">
        <v>1035</v>
      </c>
      <c r="C515" s="2" t="s">
        <v>1036</v>
      </c>
      <c r="D515" s="6"/>
      <c r="E515" s="6"/>
      <c r="F515" s="2" t="s">
        <v>12</v>
      </c>
      <c r="G515" s="2" t="s">
        <v>9</v>
      </c>
      <c r="H515" s="6">
        <f>VLOOKUP(B515,'[1]Tồn Acrilic  T10'!C$6:F$346,4,0)</f>
        <v>0</v>
      </c>
    </row>
    <row r="516" spans="1:8" ht="15.6" x14ac:dyDescent="0.3">
      <c r="A516" s="2">
        <v>513</v>
      </c>
      <c r="B516" s="2" t="s">
        <v>1037</v>
      </c>
      <c r="C516" s="2" t="s">
        <v>1038</v>
      </c>
      <c r="D516" s="6"/>
      <c r="E516" s="6"/>
      <c r="F516" s="2" t="s">
        <v>15</v>
      </c>
      <c r="G516" s="2" t="s">
        <v>9</v>
      </c>
      <c r="H516" s="6">
        <v>0</v>
      </c>
    </row>
    <row r="517" spans="1:8" ht="15.6" x14ac:dyDescent="0.3">
      <c r="A517" s="2">
        <v>514</v>
      </c>
      <c r="B517" s="2" t="s">
        <v>1039</v>
      </c>
      <c r="C517" s="2" t="s">
        <v>1040</v>
      </c>
      <c r="D517" s="6"/>
      <c r="E517" s="6"/>
      <c r="F517" s="2" t="s">
        <v>18</v>
      </c>
      <c r="G517" s="2" t="s">
        <v>9</v>
      </c>
      <c r="H517" s="6">
        <v>0</v>
      </c>
    </row>
    <row r="518" spans="1:8" ht="15.6" x14ac:dyDescent="0.3">
      <c r="A518" s="2">
        <v>515</v>
      </c>
      <c r="B518" s="2" t="s">
        <v>1041</v>
      </c>
      <c r="C518" s="2" t="s">
        <v>1042</v>
      </c>
      <c r="D518" s="6"/>
      <c r="E518" s="6"/>
      <c r="F518" s="2" t="s">
        <v>21</v>
      </c>
      <c r="G518" s="2" t="s">
        <v>9</v>
      </c>
      <c r="H518" s="6">
        <f>VLOOKUP(B518,'[1]Tồn Acrilic  T10'!C$6:F$346,4,0)</f>
        <v>6</v>
      </c>
    </row>
    <row r="519" spans="1:8" ht="15.6" x14ac:dyDescent="0.3">
      <c r="A519" s="2">
        <v>516</v>
      </c>
      <c r="B519" s="2" t="s">
        <v>1043</v>
      </c>
      <c r="C519" s="2" t="s">
        <v>1044</v>
      </c>
      <c r="D519" s="6"/>
      <c r="E519" s="6"/>
      <c r="F519" s="2" t="s">
        <v>24</v>
      </c>
      <c r="G519" s="2" t="s">
        <v>9</v>
      </c>
      <c r="H519" s="6">
        <v>0</v>
      </c>
    </row>
    <row r="520" spans="1:8" ht="15.6" x14ac:dyDescent="0.3">
      <c r="A520" s="2">
        <v>517</v>
      </c>
      <c r="B520" s="2" t="s">
        <v>1045</v>
      </c>
      <c r="C520" s="2" t="s">
        <v>1046</v>
      </c>
      <c r="D520" s="6" t="str">
        <f>VLOOKUP(B520,'[1]Tồn Acrilic  T10 .nháp'!C$6:E$115,2,0)</f>
        <v>Acrylic, Tiara Prime F1 Beige_1402P, 2440x1220x0.8mm</v>
      </c>
      <c r="E520" s="6" t="str">
        <f>VLOOKUP(B520,'[1]Tồn Acrilic  T10 .nháp'!C$6:E$115,3,0)</f>
        <v>Indonesia</v>
      </c>
      <c r="F520" s="2" t="s">
        <v>8</v>
      </c>
      <c r="G520" s="2" t="s">
        <v>9</v>
      </c>
      <c r="H520" s="6">
        <f>VLOOKUP(B520,'[1]Tồn Acrilic  T10'!C$6:F$346,4,0)</f>
        <v>198</v>
      </c>
    </row>
    <row r="521" spans="1:8" ht="15.6" x14ac:dyDescent="0.3">
      <c r="A521" s="2">
        <v>518</v>
      </c>
      <c r="B521" s="2" t="s">
        <v>1047</v>
      </c>
      <c r="C521" s="2" t="s">
        <v>1048</v>
      </c>
      <c r="D521" s="6"/>
      <c r="E521" s="6"/>
      <c r="F521" s="2" t="s">
        <v>12</v>
      </c>
      <c r="G521" s="2" t="s">
        <v>9</v>
      </c>
      <c r="H521" s="6">
        <f>VLOOKUP(B521,'[1]Tồn Acrilic  T10'!C$6:F$346,4,0)</f>
        <v>0</v>
      </c>
    </row>
    <row r="522" spans="1:8" ht="15.6" x14ac:dyDescent="0.3">
      <c r="A522" s="2">
        <v>519</v>
      </c>
      <c r="B522" s="2" t="s">
        <v>1049</v>
      </c>
      <c r="C522" s="2" t="s">
        <v>1050</v>
      </c>
      <c r="D522" s="6"/>
      <c r="E522" s="6"/>
      <c r="F522" s="2" t="s">
        <v>15</v>
      </c>
      <c r="G522" s="2" t="s">
        <v>9</v>
      </c>
      <c r="H522" s="6">
        <v>0</v>
      </c>
    </row>
    <row r="523" spans="1:8" ht="15.6" x14ac:dyDescent="0.3">
      <c r="A523" s="2">
        <v>520</v>
      </c>
      <c r="B523" s="2" t="s">
        <v>1051</v>
      </c>
      <c r="C523" s="2" t="s">
        <v>1052</v>
      </c>
      <c r="D523" s="6"/>
      <c r="E523" s="6"/>
      <c r="F523" s="2" t="s">
        <v>18</v>
      </c>
      <c r="G523" s="2" t="s">
        <v>9</v>
      </c>
      <c r="H523" s="6">
        <v>0</v>
      </c>
    </row>
    <row r="524" spans="1:8" ht="15.6" x14ac:dyDescent="0.3">
      <c r="A524" s="2">
        <v>521</v>
      </c>
      <c r="B524" s="2" t="s">
        <v>1053</v>
      </c>
      <c r="C524" s="2" t="s">
        <v>1054</v>
      </c>
      <c r="D524" s="6"/>
      <c r="E524" s="6"/>
      <c r="F524" s="2" t="s">
        <v>21</v>
      </c>
      <c r="G524" s="2" t="s">
        <v>9</v>
      </c>
      <c r="H524" s="6">
        <f>VLOOKUP(B524,'[1]Tồn Acrilic  T10'!C$6:F$346,4,0)</f>
        <v>4</v>
      </c>
    </row>
    <row r="525" spans="1:8" ht="15.6" x14ac:dyDescent="0.3">
      <c r="A525" s="2">
        <v>522</v>
      </c>
      <c r="B525" s="2" t="s">
        <v>1055</v>
      </c>
      <c r="C525" s="2" t="s">
        <v>1056</v>
      </c>
      <c r="D525" s="6"/>
      <c r="E525" s="6"/>
      <c r="F525" s="2" t="s">
        <v>24</v>
      </c>
      <c r="G525" s="2" t="s">
        <v>9</v>
      </c>
      <c r="H525" s="6">
        <v>0</v>
      </c>
    </row>
    <row r="526" spans="1:8" ht="15.6" x14ac:dyDescent="0.3">
      <c r="A526" s="2">
        <v>523</v>
      </c>
      <c r="B526" s="2" t="s">
        <v>1057</v>
      </c>
      <c r="C526" s="2" t="s">
        <v>1058</v>
      </c>
      <c r="D526" s="6" t="str">
        <f>VLOOKUP(B526,'[1]Tồn Acrilic  T10 .nháp'!C$6:E$115,2,0)</f>
        <v>Màu PARC 68 An Cường</v>
      </c>
      <c r="E526" s="6" t="str">
        <f>VLOOKUP(B526,'[1]Tồn Acrilic  T10 .nháp'!C$6:E$115,3,0)</f>
        <v>Taiwan</v>
      </c>
      <c r="F526" s="2" t="s">
        <v>8</v>
      </c>
      <c r="G526" s="2" t="s">
        <v>9</v>
      </c>
      <c r="H526" s="6">
        <f>VLOOKUP(B526,'[1]Tồn Acrilic  T10'!C$6:F$346,4,0)</f>
        <v>821</v>
      </c>
    </row>
    <row r="527" spans="1:8" ht="15.6" x14ac:dyDescent="0.3">
      <c r="A527" s="2">
        <v>524</v>
      </c>
      <c r="B527" s="2" t="s">
        <v>1059</v>
      </c>
      <c r="C527" s="2" t="s">
        <v>1060</v>
      </c>
      <c r="D527" s="6"/>
      <c r="E527" s="6"/>
      <c r="F527" s="2" t="s">
        <v>12</v>
      </c>
      <c r="G527" s="2" t="s">
        <v>9</v>
      </c>
      <c r="H527" s="6">
        <f>VLOOKUP(B527,'[1]Tồn Acrilic  T10'!C$6:F$346,4,0)</f>
        <v>0</v>
      </c>
    </row>
    <row r="528" spans="1:8" ht="15.6" x14ac:dyDescent="0.3">
      <c r="A528" s="2">
        <v>525</v>
      </c>
      <c r="B528" s="2" t="s">
        <v>1061</v>
      </c>
      <c r="C528" s="2" t="s">
        <v>1062</v>
      </c>
      <c r="D528" s="6"/>
      <c r="E528" s="6"/>
      <c r="F528" s="2" t="s">
        <v>15</v>
      </c>
      <c r="G528" s="2" t="s">
        <v>9</v>
      </c>
      <c r="H528" s="6">
        <v>0</v>
      </c>
    </row>
    <row r="529" spans="1:8" ht="15.6" x14ac:dyDescent="0.3">
      <c r="A529" s="2">
        <v>526</v>
      </c>
      <c r="B529" s="2" t="s">
        <v>1063</v>
      </c>
      <c r="C529" s="2" t="s">
        <v>1064</v>
      </c>
      <c r="D529" s="6"/>
      <c r="E529" s="6"/>
      <c r="F529" s="2" t="s">
        <v>18</v>
      </c>
      <c r="G529" s="2" t="s">
        <v>9</v>
      </c>
      <c r="H529" s="6">
        <v>0</v>
      </c>
    </row>
    <row r="530" spans="1:8" ht="15.6" x14ac:dyDescent="0.3">
      <c r="A530" s="2">
        <v>527</v>
      </c>
      <c r="B530" s="2" t="s">
        <v>1065</v>
      </c>
      <c r="C530" s="2" t="s">
        <v>1066</v>
      </c>
      <c r="D530" s="6"/>
      <c r="E530" s="6"/>
      <c r="F530" s="2" t="s">
        <v>21</v>
      </c>
      <c r="G530" s="2" t="s">
        <v>9</v>
      </c>
      <c r="H530" s="6">
        <f>VLOOKUP(B530,'[1]Tồn Acrilic  T10'!C$6:F$346,4,0)</f>
        <v>10</v>
      </c>
    </row>
    <row r="531" spans="1:8" ht="15.6" x14ac:dyDescent="0.3">
      <c r="A531" s="2">
        <v>528</v>
      </c>
      <c r="B531" s="2" t="s">
        <v>1067</v>
      </c>
      <c r="C531" s="2" t="s">
        <v>1068</v>
      </c>
      <c r="D531" s="6"/>
      <c r="E531" s="6"/>
      <c r="F531" s="2" t="s">
        <v>24</v>
      </c>
      <c r="G531" s="2" t="s">
        <v>9</v>
      </c>
      <c r="H531" s="6">
        <v>0</v>
      </c>
    </row>
    <row r="532" spans="1:8" ht="15.6" x14ac:dyDescent="0.3">
      <c r="A532" s="2">
        <v>529</v>
      </c>
      <c r="B532" s="2" t="s">
        <v>1069</v>
      </c>
      <c r="C532" s="2" t="s">
        <v>1070</v>
      </c>
      <c r="D532" s="6" t="str">
        <f>VLOOKUP(B532,'[1]Tồn Acrilic  T10 .nháp'!C$6:E$115,2,0)</f>
        <v>Màu PARC 51 An Cường</v>
      </c>
      <c r="E532" s="6" t="str">
        <f>VLOOKUP(B532,'[1]Tồn Acrilic  T10 .nháp'!C$6:E$115,3,0)</f>
        <v>Taiwan</v>
      </c>
      <c r="F532" s="2" t="s">
        <v>8</v>
      </c>
      <c r="G532" s="2" t="s">
        <v>9</v>
      </c>
      <c r="H532" s="6">
        <f>VLOOKUP(B532,'[1]Tồn Acrilic  T10'!C$6:F$346,4,0)</f>
        <v>267</v>
      </c>
    </row>
    <row r="533" spans="1:8" ht="15.6" x14ac:dyDescent="0.3">
      <c r="A533" s="2">
        <v>530</v>
      </c>
      <c r="B533" s="2" t="s">
        <v>1071</v>
      </c>
      <c r="C533" s="2" t="s">
        <v>1072</v>
      </c>
      <c r="D533" s="6"/>
      <c r="E533" s="6"/>
      <c r="F533" s="2" t="s">
        <v>12</v>
      </c>
      <c r="G533" s="2" t="s">
        <v>9</v>
      </c>
      <c r="H533" s="6">
        <f>VLOOKUP(B533,'[1]Tồn Acrilic  T10'!C$6:F$346,4,0)</f>
        <v>0</v>
      </c>
    </row>
    <row r="534" spans="1:8" ht="15.6" x14ac:dyDescent="0.3">
      <c r="A534" s="2">
        <v>531</v>
      </c>
      <c r="B534" s="2" t="s">
        <v>1073</v>
      </c>
      <c r="C534" s="2" t="s">
        <v>1074</v>
      </c>
      <c r="D534" s="6"/>
      <c r="E534" s="6"/>
      <c r="F534" s="2" t="s">
        <v>15</v>
      </c>
      <c r="G534" s="2" t="s">
        <v>9</v>
      </c>
      <c r="H534" s="6">
        <v>0</v>
      </c>
    </row>
    <row r="535" spans="1:8" ht="15.6" x14ac:dyDescent="0.3">
      <c r="A535" s="2">
        <v>532</v>
      </c>
      <c r="B535" s="2" t="s">
        <v>1075</v>
      </c>
      <c r="C535" s="2" t="s">
        <v>1076</v>
      </c>
      <c r="D535" s="6"/>
      <c r="E535" s="6"/>
      <c r="F535" s="2" t="s">
        <v>18</v>
      </c>
      <c r="G535" s="2" t="s">
        <v>9</v>
      </c>
      <c r="H535" s="6">
        <v>0</v>
      </c>
    </row>
    <row r="536" spans="1:8" ht="15.6" x14ac:dyDescent="0.3">
      <c r="A536" s="2">
        <v>533</v>
      </c>
      <c r="B536" s="2" t="s">
        <v>1077</v>
      </c>
      <c r="C536" s="2" t="s">
        <v>1078</v>
      </c>
      <c r="D536" s="6"/>
      <c r="E536" s="6"/>
      <c r="F536" s="2" t="s">
        <v>21</v>
      </c>
      <c r="G536" s="2" t="s">
        <v>9</v>
      </c>
      <c r="H536" s="6">
        <f>VLOOKUP(B536,'[1]Tồn Acrilic  T10'!C$6:F$346,4,0)</f>
        <v>5</v>
      </c>
    </row>
    <row r="537" spans="1:8" ht="15.6" x14ac:dyDescent="0.3">
      <c r="A537" s="2">
        <v>534</v>
      </c>
      <c r="B537" s="2" t="s">
        <v>1079</v>
      </c>
      <c r="C537" s="2" t="s">
        <v>1080</v>
      </c>
      <c r="D537" s="6"/>
      <c r="E537" s="6"/>
      <c r="F537" s="2" t="s">
        <v>24</v>
      </c>
      <c r="G537" s="2" t="s">
        <v>9</v>
      </c>
      <c r="H537" s="6">
        <v>0</v>
      </c>
    </row>
    <row r="538" spans="1:8" ht="15.6" x14ac:dyDescent="0.3">
      <c r="A538" s="2">
        <v>535</v>
      </c>
      <c r="B538" s="2" t="s">
        <v>1081</v>
      </c>
      <c r="C538" s="2" t="s">
        <v>1082</v>
      </c>
      <c r="D538" s="6">
        <f>VLOOKUP(B538,'[1]Tồn Acrilic  T10 .nháp'!C$6:E$115,2,0)</f>
        <v>0</v>
      </c>
      <c r="E538" s="6" t="str">
        <f>VLOOKUP(B538,'[1]Tồn Acrilic  T10 .nháp'!C$6:E$115,3,0)</f>
        <v>Taiwan</v>
      </c>
      <c r="F538" s="2" t="s">
        <v>8</v>
      </c>
      <c r="G538" s="2" t="s">
        <v>9</v>
      </c>
      <c r="H538" s="6">
        <f>VLOOKUP(B538,'[1]Tồn Acrilic  T10'!C$6:F$346,4,0)</f>
        <v>151</v>
      </c>
    </row>
    <row r="539" spans="1:8" ht="15.6" x14ac:dyDescent="0.3">
      <c r="A539" s="2">
        <v>536</v>
      </c>
      <c r="B539" s="2" t="s">
        <v>1083</v>
      </c>
      <c r="C539" s="2" t="s">
        <v>1084</v>
      </c>
      <c r="D539" s="6"/>
      <c r="E539" s="6"/>
      <c r="F539" s="2" t="s">
        <v>12</v>
      </c>
      <c r="G539" s="2" t="s">
        <v>9</v>
      </c>
      <c r="H539" s="6">
        <f>VLOOKUP(B539,'[1]Tồn Acrilic  T10'!C$6:F$346,4,0)</f>
        <v>0</v>
      </c>
    </row>
    <row r="540" spans="1:8" ht="15.6" x14ac:dyDescent="0.3">
      <c r="A540" s="2">
        <v>537</v>
      </c>
      <c r="B540" s="2" t="s">
        <v>1085</v>
      </c>
      <c r="C540" s="2" t="s">
        <v>1086</v>
      </c>
      <c r="D540" s="6"/>
      <c r="E540" s="6"/>
      <c r="F540" s="2" t="s">
        <v>15</v>
      </c>
      <c r="G540" s="2" t="s">
        <v>9</v>
      </c>
      <c r="H540" s="6">
        <v>0</v>
      </c>
    </row>
    <row r="541" spans="1:8" ht="15.6" x14ac:dyDescent="0.3">
      <c r="A541" s="2">
        <v>538</v>
      </c>
      <c r="B541" s="2" t="s">
        <v>1087</v>
      </c>
      <c r="C541" s="2" t="s">
        <v>1088</v>
      </c>
      <c r="D541" s="6"/>
      <c r="E541" s="6"/>
      <c r="F541" s="2" t="s">
        <v>18</v>
      </c>
      <c r="G541" s="2" t="s">
        <v>9</v>
      </c>
      <c r="H541" s="6">
        <v>0</v>
      </c>
    </row>
    <row r="542" spans="1:8" ht="15.6" x14ac:dyDescent="0.3">
      <c r="A542" s="2">
        <v>539</v>
      </c>
      <c r="B542" s="2" t="s">
        <v>1089</v>
      </c>
      <c r="C542" s="2" t="s">
        <v>1090</v>
      </c>
      <c r="D542" s="6"/>
      <c r="E542" s="6"/>
      <c r="F542" s="2" t="s">
        <v>21</v>
      </c>
      <c r="G542" s="2" t="s">
        <v>9</v>
      </c>
      <c r="H542" s="6">
        <f>VLOOKUP(B542,'[1]Tồn Acrilic  T10'!C$6:F$346,4,0)</f>
        <v>11</v>
      </c>
    </row>
    <row r="543" spans="1:8" ht="15.6" x14ac:dyDescent="0.3">
      <c r="A543" s="2">
        <v>540</v>
      </c>
      <c r="B543" s="2" t="s">
        <v>1091</v>
      </c>
      <c r="C543" s="2" t="s">
        <v>1092</v>
      </c>
      <c r="D543" s="6"/>
      <c r="E543" s="6"/>
      <c r="F543" s="2" t="s">
        <v>24</v>
      </c>
      <c r="G543" s="2" t="s">
        <v>9</v>
      </c>
      <c r="H543" s="6">
        <v>0</v>
      </c>
    </row>
    <row r="544" spans="1:8" ht="15.6" x14ac:dyDescent="0.3">
      <c r="A544" s="2">
        <v>541</v>
      </c>
      <c r="B544" s="2" t="s">
        <v>1093</v>
      </c>
      <c r="C544" s="2" t="s">
        <v>1094</v>
      </c>
      <c r="D544" s="6" t="str">
        <f>VLOOKUP(B544,'[1]Tồn Acrilic  T10 .nháp'!C$6:E$115,2,0)</f>
        <v>Màu PARC 30 An Cường</v>
      </c>
      <c r="E544" s="6" t="str">
        <f>VLOOKUP(B544,'[1]Tồn Acrilic  T10 .nháp'!C$6:E$115,3,0)</f>
        <v>Taiwan</v>
      </c>
      <c r="F544" s="2" t="s">
        <v>8</v>
      </c>
      <c r="G544" s="2" t="s">
        <v>9</v>
      </c>
      <c r="H544" s="6">
        <f>VLOOKUP(B544,'[1]Tồn Acrilic  T10'!C$6:F$346,4,0)</f>
        <v>231</v>
      </c>
    </row>
    <row r="545" spans="1:8" ht="15.6" x14ac:dyDescent="0.3">
      <c r="A545" s="2">
        <v>542</v>
      </c>
      <c r="B545" s="2" t="s">
        <v>1095</v>
      </c>
      <c r="C545" s="2" t="s">
        <v>1096</v>
      </c>
      <c r="D545" s="6"/>
      <c r="E545" s="6"/>
      <c r="F545" s="2" t="s">
        <v>12</v>
      </c>
      <c r="G545" s="2" t="s">
        <v>9</v>
      </c>
      <c r="H545" s="6">
        <f>VLOOKUP(B545,'[1]Tồn Acrilic  T10'!C$6:F$346,4,0)</f>
        <v>0</v>
      </c>
    </row>
    <row r="546" spans="1:8" ht="15.6" x14ac:dyDescent="0.3">
      <c r="A546" s="2">
        <v>543</v>
      </c>
      <c r="B546" s="2" t="s">
        <v>1097</v>
      </c>
      <c r="C546" s="2" t="s">
        <v>1098</v>
      </c>
      <c r="D546" s="6"/>
      <c r="E546" s="6"/>
      <c r="F546" s="2" t="s">
        <v>15</v>
      </c>
      <c r="G546" s="2" t="s">
        <v>9</v>
      </c>
      <c r="H546" s="6">
        <v>0</v>
      </c>
    </row>
    <row r="547" spans="1:8" ht="15.6" x14ac:dyDescent="0.3">
      <c r="A547" s="2">
        <v>544</v>
      </c>
      <c r="B547" s="2" t="s">
        <v>1099</v>
      </c>
      <c r="C547" s="2" t="s">
        <v>1100</v>
      </c>
      <c r="D547" s="6"/>
      <c r="E547" s="6"/>
      <c r="F547" s="2" t="s">
        <v>18</v>
      </c>
      <c r="G547" s="2" t="s">
        <v>9</v>
      </c>
      <c r="H547" s="6">
        <v>0</v>
      </c>
    </row>
    <row r="548" spans="1:8" ht="15.6" x14ac:dyDescent="0.3">
      <c r="A548" s="2">
        <v>545</v>
      </c>
      <c r="B548" s="2" t="s">
        <v>1101</v>
      </c>
      <c r="C548" s="2" t="s">
        <v>1102</v>
      </c>
      <c r="D548" s="6"/>
      <c r="E548" s="6"/>
      <c r="F548" s="2" t="s">
        <v>21</v>
      </c>
      <c r="G548" s="2" t="s">
        <v>9</v>
      </c>
      <c r="H548" s="6">
        <f>VLOOKUP(B548,'[1]Tồn Acrilic  T10'!C$6:F$346,4,0)</f>
        <v>12</v>
      </c>
    </row>
    <row r="549" spans="1:8" ht="15.6" x14ac:dyDescent="0.3">
      <c r="A549" s="2">
        <v>546</v>
      </c>
      <c r="B549" s="2" t="s">
        <v>1103</v>
      </c>
      <c r="C549" s="2" t="s">
        <v>1104</v>
      </c>
      <c r="D549" s="6"/>
      <c r="E549" s="6"/>
      <c r="F549" s="2" t="s">
        <v>24</v>
      </c>
      <c r="G549" s="2" t="s">
        <v>9</v>
      </c>
      <c r="H549" s="6">
        <v>0</v>
      </c>
    </row>
    <row r="550" spans="1:8" ht="15.6" x14ac:dyDescent="0.3">
      <c r="A550" s="2">
        <v>547</v>
      </c>
      <c r="B550" s="2" t="s">
        <v>1105</v>
      </c>
      <c r="C550" s="2" t="s">
        <v>1106</v>
      </c>
      <c r="D550" s="6" t="str">
        <f>VLOOKUP(B550,'[1]Tồn Acrilic  T10 .nháp'!C$6:E$115,2,0)</f>
        <v>Acrylic, 88BR, Coffee color GV60</v>
      </c>
      <c r="E550" s="6" t="str">
        <f>VLOOKUP(B550,'[1]Tồn Acrilic  T10 .nháp'!C$6:E$115,3,0)</f>
        <v>Taiwan</v>
      </c>
      <c r="F550" s="2" t="s">
        <v>8</v>
      </c>
      <c r="G550" s="2" t="s">
        <v>9</v>
      </c>
      <c r="H550" s="6">
        <f>VLOOKUP(B550,'[1]Tồn Acrilic  T10'!C$6:F$346,4,0)</f>
        <v>163</v>
      </c>
    </row>
    <row r="551" spans="1:8" ht="15.6" x14ac:dyDescent="0.3">
      <c r="A551" s="2">
        <v>548</v>
      </c>
      <c r="B551" s="2" t="s">
        <v>1107</v>
      </c>
      <c r="C551" s="2" t="s">
        <v>1108</v>
      </c>
      <c r="D551" s="6"/>
      <c r="E551" s="6"/>
      <c r="F551" s="2" t="s">
        <v>12</v>
      </c>
      <c r="G551" s="2" t="s">
        <v>9</v>
      </c>
      <c r="H551" s="6">
        <f>VLOOKUP(B551,'[1]Tồn Acrilic  T10'!C$6:F$346,4,0)</f>
        <v>0</v>
      </c>
    </row>
    <row r="552" spans="1:8" ht="15.6" x14ac:dyDescent="0.3">
      <c r="A552" s="2">
        <v>549</v>
      </c>
      <c r="B552" s="2" t="s">
        <v>1109</v>
      </c>
      <c r="C552" s="2" t="s">
        <v>1110</v>
      </c>
      <c r="D552" s="6"/>
      <c r="E552" s="6"/>
      <c r="F552" s="2" t="s">
        <v>15</v>
      </c>
      <c r="G552" s="2" t="s">
        <v>9</v>
      </c>
      <c r="H552" s="6">
        <v>0</v>
      </c>
    </row>
    <row r="553" spans="1:8" ht="15.6" x14ac:dyDescent="0.3">
      <c r="A553" s="2">
        <v>550</v>
      </c>
      <c r="B553" s="2" t="s">
        <v>1111</v>
      </c>
      <c r="C553" s="2" t="s">
        <v>1112</v>
      </c>
      <c r="D553" s="6"/>
      <c r="E553" s="6"/>
      <c r="F553" s="2" t="s">
        <v>18</v>
      </c>
      <c r="G553" s="2" t="s">
        <v>9</v>
      </c>
      <c r="H553" s="6">
        <v>0</v>
      </c>
    </row>
    <row r="554" spans="1:8" ht="15.6" x14ac:dyDescent="0.3">
      <c r="A554" s="2">
        <v>551</v>
      </c>
      <c r="B554" s="2" t="s">
        <v>1113</v>
      </c>
      <c r="C554" s="2" t="s">
        <v>1114</v>
      </c>
      <c r="D554" s="6"/>
      <c r="E554" s="6"/>
      <c r="F554" s="2" t="s">
        <v>21</v>
      </c>
      <c r="G554" s="2" t="s">
        <v>9</v>
      </c>
      <c r="H554" s="6">
        <f>VLOOKUP(B554,'[1]Tồn Acrilic  T10'!C$6:F$346,4,0)</f>
        <v>5</v>
      </c>
    </row>
    <row r="555" spans="1:8" ht="15.6" x14ac:dyDescent="0.3">
      <c r="A555" s="2">
        <v>552</v>
      </c>
      <c r="B555" s="2" t="s">
        <v>1115</v>
      </c>
      <c r="C555" s="2" t="s">
        <v>1116</v>
      </c>
      <c r="D555" s="6"/>
      <c r="E555" s="6"/>
      <c r="F555" s="2" t="s">
        <v>24</v>
      </c>
      <c r="G555" s="2" t="s">
        <v>9</v>
      </c>
      <c r="H555" s="6">
        <v>0</v>
      </c>
    </row>
    <row r="556" spans="1:8" ht="15.6" x14ac:dyDescent="0.3">
      <c r="A556" s="2">
        <v>553</v>
      </c>
      <c r="B556" s="2" t="s">
        <v>1117</v>
      </c>
      <c r="C556" s="2" t="s">
        <v>1118</v>
      </c>
      <c r="D556" s="6" t="str">
        <f>VLOOKUP(B556,'[1]Tồn Acrilic  T10 .nháp'!C$6:E$115,2,0)</f>
        <v>High Gloss Acrylic sheet Brown, TBA 95BR</v>
      </c>
      <c r="E556" s="6" t="str">
        <f>VLOOKUP(B556,'[1]Tồn Acrilic  T10 .nháp'!C$6:E$115,3,0)</f>
        <v>Taiwan</v>
      </c>
      <c r="F556" s="2" t="s">
        <v>8</v>
      </c>
      <c r="G556" s="2" t="s">
        <v>9</v>
      </c>
      <c r="H556" s="6">
        <f>VLOOKUP(B556,'[1]Tồn Acrilic  T10'!C$6:F$346,4,0)</f>
        <v>263</v>
      </c>
    </row>
    <row r="557" spans="1:8" ht="15.6" x14ac:dyDescent="0.3">
      <c r="A557" s="2">
        <v>554</v>
      </c>
      <c r="B557" s="2" t="s">
        <v>1119</v>
      </c>
      <c r="C557" s="2" t="s">
        <v>1120</v>
      </c>
      <c r="D557" s="6"/>
      <c r="E557" s="6"/>
      <c r="F557" s="2" t="s">
        <v>12</v>
      </c>
      <c r="G557" s="2" t="s">
        <v>9</v>
      </c>
      <c r="H557" s="6">
        <f>VLOOKUP(B557,'[1]Tồn Acrilic  T10'!C$6:F$346,4,0)</f>
        <v>0</v>
      </c>
    </row>
    <row r="558" spans="1:8" ht="15.6" x14ac:dyDescent="0.3">
      <c r="A558" s="2">
        <v>555</v>
      </c>
      <c r="B558" s="2" t="s">
        <v>1121</v>
      </c>
      <c r="C558" s="2" t="s">
        <v>1122</v>
      </c>
      <c r="D558" s="6"/>
      <c r="E558" s="6"/>
      <c r="F558" s="2" t="s">
        <v>15</v>
      </c>
      <c r="G558" s="2" t="s">
        <v>9</v>
      </c>
      <c r="H558" s="6">
        <v>0</v>
      </c>
    </row>
    <row r="559" spans="1:8" ht="15.6" x14ac:dyDescent="0.3">
      <c r="A559" s="2">
        <v>556</v>
      </c>
      <c r="B559" s="2" t="s">
        <v>1123</v>
      </c>
      <c r="C559" s="2" t="s">
        <v>1124</v>
      </c>
      <c r="D559" s="6"/>
      <c r="E559" s="6"/>
      <c r="F559" s="2" t="s">
        <v>18</v>
      </c>
      <c r="G559" s="2" t="s">
        <v>9</v>
      </c>
      <c r="H559" s="6">
        <v>0</v>
      </c>
    </row>
    <row r="560" spans="1:8" ht="15.6" x14ac:dyDescent="0.3">
      <c r="A560" s="2">
        <v>557</v>
      </c>
      <c r="B560" s="2" t="s">
        <v>1125</v>
      </c>
      <c r="C560" s="2" t="s">
        <v>1126</v>
      </c>
      <c r="D560" s="6"/>
      <c r="E560" s="6"/>
      <c r="F560" s="2" t="s">
        <v>21</v>
      </c>
      <c r="G560" s="2" t="s">
        <v>9</v>
      </c>
      <c r="H560" s="6">
        <f>VLOOKUP(B560,'[1]Tồn Acrilic  T10'!C$6:F$346,4,0)</f>
        <v>0</v>
      </c>
    </row>
    <row r="561" spans="1:8" ht="15.6" x14ac:dyDescent="0.3">
      <c r="A561" s="2">
        <v>558</v>
      </c>
      <c r="B561" s="2" t="s">
        <v>1127</v>
      </c>
      <c r="C561" s="2" t="s">
        <v>1128</v>
      </c>
      <c r="D561" s="6"/>
      <c r="E561" s="6"/>
      <c r="F561" s="2" t="s">
        <v>24</v>
      </c>
      <c r="G561" s="2" t="s">
        <v>9</v>
      </c>
      <c r="H561" s="6">
        <v>0</v>
      </c>
    </row>
    <row r="562" spans="1:8" ht="15.6" x14ac:dyDescent="0.3">
      <c r="A562" s="2">
        <v>559</v>
      </c>
      <c r="B562" s="2" t="s">
        <v>1129</v>
      </c>
      <c r="C562" s="2" t="s">
        <v>1130</v>
      </c>
      <c r="D562" s="6" t="str">
        <f>VLOOKUP(B562,'[1]Tồn Acrilic  T10 .nháp'!C$6:E$115,2,0)</f>
        <v>Acrylic siêu chống xước Áo, AM1800TopX, black 8421 color GV62</v>
      </c>
      <c r="E562" s="6" t="str">
        <f>VLOOKUP(B562,'[1]Tồn Acrilic  T10 .nháp'!C$6:E$115,3,0)</f>
        <v>Austria</v>
      </c>
      <c r="F562" s="2" t="s">
        <v>8</v>
      </c>
      <c r="G562" s="2" t="s">
        <v>9</v>
      </c>
      <c r="H562" s="6">
        <f>VLOOKUP(B562,'[1]Tồn Acrilic  T10'!C$6:F$346,4,0)</f>
        <v>80</v>
      </c>
    </row>
    <row r="563" spans="1:8" ht="15.6" x14ac:dyDescent="0.3">
      <c r="A563" s="2">
        <v>560</v>
      </c>
      <c r="B563" s="2" t="s">
        <v>1131</v>
      </c>
      <c r="C563" s="2" t="s">
        <v>1132</v>
      </c>
      <c r="D563" s="6"/>
      <c r="E563" s="6"/>
      <c r="F563" s="2" t="s">
        <v>12</v>
      </c>
      <c r="G563" s="2" t="s">
        <v>9</v>
      </c>
      <c r="H563" s="6">
        <f>VLOOKUP(B563,'[1]Tồn Acrilic  T10'!C$6:F$346,4,0)</f>
        <v>0</v>
      </c>
    </row>
    <row r="564" spans="1:8" ht="15.6" x14ac:dyDescent="0.3">
      <c r="A564" s="2">
        <v>561</v>
      </c>
      <c r="B564" s="2" t="s">
        <v>1133</v>
      </c>
      <c r="C564" s="2" t="s">
        <v>1134</v>
      </c>
      <c r="D564" s="6"/>
      <c r="E564" s="6"/>
      <c r="F564" s="2" t="s">
        <v>15</v>
      </c>
      <c r="G564" s="2" t="s">
        <v>9</v>
      </c>
      <c r="H564" s="6">
        <v>0</v>
      </c>
    </row>
    <row r="565" spans="1:8" ht="15.6" x14ac:dyDescent="0.3">
      <c r="A565" s="2">
        <v>562</v>
      </c>
      <c r="B565" s="2" t="s">
        <v>1135</v>
      </c>
      <c r="C565" s="2" t="s">
        <v>1136</v>
      </c>
      <c r="D565" s="6"/>
      <c r="E565" s="6"/>
      <c r="F565" s="2" t="s">
        <v>18</v>
      </c>
      <c r="G565" s="2" t="s">
        <v>9</v>
      </c>
      <c r="H565" s="6">
        <v>0</v>
      </c>
    </row>
    <row r="566" spans="1:8" ht="15.6" x14ac:dyDescent="0.3">
      <c r="A566" s="2">
        <v>563</v>
      </c>
      <c r="B566" s="2" t="s">
        <v>1137</v>
      </c>
      <c r="C566" s="2" t="s">
        <v>1138</v>
      </c>
      <c r="D566" s="6"/>
      <c r="E566" s="6"/>
      <c r="F566" s="2" t="s">
        <v>21</v>
      </c>
      <c r="G566" s="2" t="s">
        <v>9</v>
      </c>
      <c r="H566" s="6">
        <f>VLOOKUP(B566,'[1]Tồn Acrilic  T10'!C$6:F$346,4,0)</f>
        <v>15</v>
      </c>
    </row>
    <row r="567" spans="1:8" ht="15.6" x14ac:dyDescent="0.3">
      <c r="A567" s="2">
        <v>564</v>
      </c>
      <c r="B567" s="2" t="s">
        <v>1139</v>
      </c>
      <c r="C567" s="2" t="s">
        <v>1140</v>
      </c>
      <c r="D567" s="6"/>
      <c r="E567" s="6"/>
      <c r="F567" s="2" t="s">
        <v>24</v>
      </c>
      <c r="G567" s="2" t="s">
        <v>9</v>
      </c>
      <c r="H567" s="6">
        <v>0</v>
      </c>
    </row>
    <row r="568" spans="1:8" ht="15.6" x14ac:dyDescent="0.3">
      <c r="A568" s="2">
        <v>565</v>
      </c>
      <c r="B568" s="2" t="s">
        <v>1141</v>
      </c>
      <c r="C568" s="2" t="s">
        <v>1142</v>
      </c>
      <c r="D568" s="6" t="str">
        <f>VLOOKUP(B568,'[1]Tồn Acrilic  T10 .nháp'!C$6:E$115,2,0)</f>
        <v>Acrylic UltraGloss, Black SO10-801 color GV63</v>
      </c>
      <c r="E568" s="6" t="str">
        <f>VLOOKUP(B568,'[1]Tồn Acrilic  T10 .nháp'!C$6:E$115,3,0)</f>
        <v>Korea</v>
      </c>
      <c r="F568" s="2" t="s">
        <v>8</v>
      </c>
      <c r="G568" s="2" t="s">
        <v>9</v>
      </c>
      <c r="H568" s="6">
        <f>VLOOKUP(B568,'[1]Tồn Acrilic  T10'!C$6:F$346,4,0)</f>
        <v>668</v>
      </c>
    </row>
    <row r="569" spans="1:8" ht="15.6" x14ac:dyDescent="0.3">
      <c r="A569" s="2">
        <v>566</v>
      </c>
      <c r="B569" s="2" t="s">
        <v>1143</v>
      </c>
      <c r="C569" s="2" t="s">
        <v>1144</v>
      </c>
      <c r="D569" s="6"/>
      <c r="E569" s="6"/>
      <c r="F569" s="2" t="s">
        <v>12</v>
      </c>
      <c r="G569" s="2" t="s">
        <v>9</v>
      </c>
      <c r="H569" s="6">
        <f>VLOOKUP(B569,'[1]Tồn Acrilic  T10'!C$6:F$346,4,0)</f>
        <v>0</v>
      </c>
    </row>
    <row r="570" spans="1:8" ht="15.6" x14ac:dyDescent="0.3">
      <c r="A570" s="2">
        <v>567</v>
      </c>
      <c r="B570" s="2" t="s">
        <v>1145</v>
      </c>
      <c r="C570" s="2" t="s">
        <v>1146</v>
      </c>
      <c r="D570" s="6"/>
      <c r="E570" s="6"/>
      <c r="F570" s="2" t="s">
        <v>15</v>
      </c>
      <c r="G570" s="2" t="s">
        <v>9</v>
      </c>
      <c r="H570" s="6">
        <v>0</v>
      </c>
    </row>
    <row r="571" spans="1:8" ht="15.6" x14ac:dyDescent="0.3">
      <c r="A571" s="2">
        <v>568</v>
      </c>
      <c r="B571" s="2" t="s">
        <v>1147</v>
      </c>
      <c r="C571" s="2" t="s">
        <v>1148</v>
      </c>
      <c r="D571" s="6"/>
      <c r="E571" s="6"/>
      <c r="F571" s="2" t="s">
        <v>18</v>
      </c>
      <c r="G571" s="2" t="s">
        <v>9</v>
      </c>
      <c r="H571" s="6">
        <v>0</v>
      </c>
    </row>
    <row r="572" spans="1:8" ht="15.6" x14ac:dyDescent="0.3">
      <c r="A572" s="2">
        <v>569</v>
      </c>
      <c r="B572" s="2" t="s">
        <v>1149</v>
      </c>
      <c r="C572" s="2" t="s">
        <v>1150</v>
      </c>
      <c r="D572" s="6"/>
      <c r="E572" s="6"/>
      <c r="F572" s="2" t="s">
        <v>21</v>
      </c>
      <c r="G572" s="2" t="s">
        <v>9</v>
      </c>
      <c r="H572" s="6">
        <f>VLOOKUP(B572,'[1]Tồn Acrilic  T10'!C$6:F$346,4,0)</f>
        <v>0</v>
      </c>
    </row>
    <row r="573" spans="1:8" ht="15.6" x14ac:dyDescent="0.3">
      <c r="A573" s="2">
        <v>570</v>
      </c>
      <c r="B573" s="2" t="s">
        <v>1151</v>
      </c>
      <c r="C573" s="2" t="s">
        <v>1152</v>
      </c>
      <c r="D573" s="6"/>
      <c r="E573" s="6"/>
      <c r="F573" s="2" t="s">
        <v>24</v>
      </c>
      <c r="G573" s="2" t="s">
        <v>9</v>
      </c>
      <c r="H573" s="6">
        <v>0</v>
      </c>
    </row>
    <row r="574" spans="1:8" ht="15.6" x14ac:dyDescent="0.3">
      <c r="A574" s="2">
        <v>571</v>
      </c>
      <c r="B574" s="2" t="s">
        <v>1153</v>
      </c>
      <c r="C574" s="2" t="s">
        <v>1154</v>
      </c>
      <c r="D574" s="6" t="str">
        <f>VLOOKUP(B574,'[1]Tồn Acrilic  T10 .nháp'!C$6:E$115,2,0)</f>
        <v>High Gloss Acrylic sheet, wood grain, M8908-4 color GV64</v>
      </c>
      <c r="E574" s="6" t="str">
        <f>VLOOKUP(B574,'[1]Tồn Acrilic  T10 .nháp'!C$6:E$115,3,0)</f>
        <v>Taiwan</v>
      </c>
      <c r="F574" s="2" t="s">
        <v>8</v>
      </c>
      <c r="G574" s="2" t="s">
        <v>9</v>
      </c>
      <c r="H574" s="6">
        <f>VLOOKUP(B574,'[1]Tồn Acrilic  T10'!C$6:F$346,4,0)</f>
        <v>111</v>
      </c>
    </row>
    <row r="575" spans="1:8" ht="15.6" x14ac:dyDescent="0.3">
      <c r="A575" s="2">
        <v>572</v>
      </c>
      <c r="B575" s="2" t="s">
        <v>1155</v>
      </c>
      <c r="C575" s="2" t="s">
        <v>1156</v>
      </c>
      <c r="D575" s="6"/>
      <c r="E575" s="6"/>
      <c r="F575" s="2" t="s">
        <v>12</v>
      </c>
      <c r="G575" s="2" t="s">
        <v>9</v>
      </c>
      <c r="H575" s="6">
        <f>VLOOKUP(B575,'[1]Tồn Acrilic  T10'!C$6:F$346,4,0)</f>
        <v>0</v>
      </c>
    </row>
    <row r="576" spans="1:8" ht="15.6" x14ac:dyDescent="0.3">
      <c r="A576" s="2">
        <v>573</v>
      </c>
      <c r="B576" s="2" t="s">
        <v>1157</v>
      </c>
      <c r="C576" s="2" t="s">
        <v>1158</v>
      </c>
      <c r="D576" s="6"/>
      <c r="E576" s="6"/>
      <c r="F576" s="2" t="s">
        <v>15</v>
      </c>
      <c r="G576" s="2" t="s">
        <v>9</v>
      </c>
      <c r="H576" s="6">
        <v>0</v>
      </c>
    </row>
    <row r="577" spans="1:8" ht="15.6" x14ac:dyDescent="0.3">
      <c r="A577" s="2">
        <v>574</v>
      </c>
      <c r="B577" s="2" t="s">
        <v>1159</v>
      </c>
      <c r="C577" s="2" t="s">
        <v>1160</v>
      </c>
      <c r="D577" s="6"/>
      <c r="E577" s="6"/>
      <c r="F577" s="2" t="s">
        <v>18</v>
      </c>
      <c r="G577" s="2" t="s">
        <v>9</v>
      </c>
      <c r="H577" s="6">
        <v>0</v>
      </c>
    </row>
    <row r="578" spans="1:8" ht="15.6" x14ac:dyDescent="0.3">
      <c r="A578" s="2">
        <v>575</v>
      </c>
      <c r="B578" s="2" t="s">
        <v>1161</v>
      </c>
      <c r="C578" s="2" t="s">
        <v>1162</v>
      </c>
      <c r="D578" s="6"/>
      <c r="E578" s="6"/>
      <c r="F578" s="2" t="s">
        <v>21</v>
      </c>
      <c r="G578" s="2" t="s">
        <v>9</v>
      </c>
      <c r="H578" s="6">
        <f>VLOOKUP(B578,'[1]Tồn Acrilic  T10'!C$6:F$346,4,0)</f>
        <v>1</v>
      </c>
    </row>
    <row r="579" spans="1:8" ht="15.6" x14ac:dyDescent="0.3">
      <c r="A579" s="2">
        <v>576</v>
      </c>
      <c r="B579" s="2" t="s">
        <v>1163</v>
      </c>
      <c r="C579" s="2" t="s">
        <v>1164</v>
      </c>
      <c r="D579" s="6"/>
      <c r="E579" s="6"/>
      <c r="F579" s="2" t="s">
        <v>24</v>
      </c>
      <c r="G579" s="2" t="s">
        <v>9</v>
      </c>
      <c r="H579" s="6">
        <v>0</v>
      </c>
    </row>
    <row r="580" spans="1:8" ht="15.6" x14ac:dyDescent="0.3">
      <c r="A580" s="2">
        <v>577</v>
      </c>
      <c r="B580" s="2" t="s">
        <v>1165</v>
      </c>
      <c r="C580" s="2" t="s">
        <v>1166</v>
      </c>
      <c r="D580" s="6" t="str">
        <f>VLOOKUP(B580,'[1]Tồn Acrilic  T10 .nháp'!C$6:E$115,2,0)</f>
        <v>High Gloss Acrylic sheet, wood grain, M9580-4 color GV65</v>
      </c>
      <c r="E580" s="6" t="str">
        <f>VLOOKUP(B580,'[1]Tồn Acrilic  T10 .nháp'!C$6:E$115,3,0)</f>
        <v>Taiwan</v>
      </c>
      <c r="F580" s="2" t="s">
        <v>8</v>
      </c>
      <c r="G580" s="2" t="s">
        <v>9</v>
      </c>
      <c r="H580" s="6">
        <f>VLOOKUP(B580,'[1]Tồn Acrilic  T10'!C$6:F$346,4,0)</f>
        <v>187</v>
      </c>
    </row>
    <row r="581" spans="1:8" ht="15.6" x14ac:dyDescent="0.3">
      <c r="A581" s="2">
        <v>578</v>
      </c>
      <c r="B581" s="2" t="s">
        <v>1167</v>
      </c>
      <c r="C581" s="2" t="s">
        <v>1168</v>
      </c>
      <c r="D581" s="6"/>
      <c r="E581" s="6"/>
      <c r="F581" s="2" t="s">
        <v>12</v>
      </c>
      <c r="G581" s="2" t="s">
        <v>9</v>
      </c>
      <c r="H581" s="6">
        <f>VLOOKUP(B581,'[1]Tồn Acrilic  T10'!C$6:F$346,4,0)</f>
        <v>0</v>
      </c>
    </row>
    <row r="582" spans="1:8" ht="15.6" x14ac:dyDescent="0.3">
      <c r="A582" s="2">
        <v>579</v>
      </c>
      <c r="B582" s="2" t="s">
        <v>1169</v>
      </c>
      <c r="C582" s="2" t="s">
        <v>1170</v>
      </c>
      <c r="D582" s="6"/>
      <c r="E582" s="6"/>
      <c r="F582" s="2" t="s">
        <v>15</v>
      </c>
      <c r="G582" s="2" t="s">
        <v>9</v>
      </c>
      <c r="H582" s="6">
        <v>0</v>
      </c>
    </row>
    <row r="583" spans="1:8" ht="15.6" x14ac:dyDescent="0.3">
      <c r="A583" s="2">
        <v>580</v>
      </c>
      <c r="B583" s="2" t="s">
        <v>1171</v>
      </c>
      <c r="C583" s="2" t="s">
        <v>1172</v>
      </c>
      <c r="D583" s="6"/>
      <c r="E583" s="6"/>
      <c r="F583" s="2" t="s">
        <v>18</v>
      </c>
      <c r="G583" s="2" t="s">
        <v>9</v>
      </c>
      <c r="H583" s="6">
        <v>0</v>
      </c>
    </row>
    <row r="584" spans="1:8" ht="15.6" x14ac:dyDescent="0.3">
      <c r="A584" s="2">
        <v>581</v>
      </c>
      <c r="B584" s="2" t="s">
        <v>1173</v>
      </c>
      <c r="C584" s="2" t="s">
        <v>1174</v>
      </c>
      <c r="D584" s="6"/>
      <c r="E584" s="6"/>
      <c r="F584" s="2" t="s">
        <v>21</v>
      </c>
      <c r="G584" s="2" t="s">
        <v>9</v>
      </c>
      <c r="H584" s="6">
        <f>VLOOKUP(B584,'[1]Tồn Acrilic  T10'!C$6:F$346,4,0)</f>
        <v>0</v>
      </c>
    </row>
    <row r="585" spans="1:8" ht="15.6" x14ac:dyDescent="0.3">
      <c r="A585" s="2">
        <v>582</v>
      </c>
      <c r="B585" s="2" t="s">
        <v>1175</v>
      </c>
      <c r="C585" s="2" t="s">
        <v>1176</v>
      </c>
      <c r="D585" s="6"/>
      <c r="E585" s="6"/>
      <c r="F585" s="2" t="s">
        <v>24</v>
      </c>
      <c r="G585" s="2" t="s">
        <v>9</v>
      </c>
      <c r="H585" s="6">
        <v>0</v>
      </c>
    </row>
    <row r="586" spans="1:8" ht="15.6" x14ac:dyDescent="0.3">
      <c r="A586" s="2">
        <v>583</v>
      </c>
      <c r="B586" s="2" t="s">
        <v>1177</v>
      </c>
      <c r="C586" s="2" t="s">
        <v>1178</v>
      </c>
      <c r="D586" s="6" t="str">
        <f>VLOOKUP(B586,'[1]Tồn Acrilic  T10 .nháp'!C$6:E$115,2,0)</f>
        <v>High Gloss Acrylic sheet, wood grain, M7284-4 color GV66</v>
      </c>
      <c r="E586" s="6" t="str">
        <f>VLOOKUP(B586,'[1]Tồn Acrilic  T10 .nháp'!C$6:E$115,3,0)</f>
        <v>Taiwan</v>
      </c>
      <c r="F586" s="2" t="s">
        <v>8</v>
      </c>
      <c r="G586" s="2" t="s">
        <v>9</v>
      </c>
      <c r="H586" s="6">
        <f>VLOOKUP(B586,'[1]Tồn Acrilic  T10'!C$6:F$346,4,0)</f>
        <v>106</v>
      </c>
    </row>
    <row r="587" spans="1:8" ht="15.6" x14ac:dyDescent="0.3">
      <c r="A587" s="2">
        <v>584</v>
      </c>
      <c r="B587" s="2" t="s">
        <v>1179</v>
      </c>
      <c r="C587" s="2" t="s">
        <v>1180</v>
      </c>
      <c r="D587" s="6"/>
      <c r="E587" s="6"/>
      <c r="F587" s="2" t="s">
        <v>12</v>
      </c>
      <c r="G587" s="2" t="s">
        <v>9</v>
      </c>
      <c r="H587" s="6">
        <f>VLOOKUP(B587,'[1]Tồn Acrilic  T10'!C$6:F$346,4,0)</f>
        <v>0</v>
      </c>
    </row>
    <row r="588" spans="1:8" ht="15.6" x14ac:dyDescent="0.3">
      <c r="A588" s="2">
        <v>585</v>
      </c>
      <c r="B588" s="2" t="s">
        <v>1181</v>
      </c>
      <c r="C588" s="2" t="s">
        <v>1182</v>
      </c>
      <c r="D588" s="6"/>
      <c r="E588" s="6"/>
      <c r="F588" s="2" t="s">
        <v>15</v>
      </c>
      <c r="G588" s="2" t="s">
        <v>9</v>
      </c>
      <c r="H588" s="6">
        <v>0</v>
      </c>
    </row>
    <row r="589" spans="1:8" ht="15.6" x14ac:dyDescent="0.3">
      <c r="A589" s="2">
        <v>586</v>
      </c>
      <c r="B589" s="2" t="s">
        <v>1183</v>
      </c>
      <c r="C589" s="2" t="s">
        <v>1184</v>
      </c>
      <c r="D589" s="6"/>
      <c r="E589" s="6"/>
      <c r="F589" s="2" t="s">
        <v>18</v>
      </c>
      <c r="G589" s="2" t="s">
        <v>9</v>
      </c>
      <c r="H589" s="6">
        <v>0</v>
      </c>
    </row>
    <row r="590" spans="1:8" ht="15.6" x14ac:dyDescent="0.3">
      <c r="A590" s="2">
        <v>587</v>
      </c>
      <c r="B590" s="2" t="s">
        <v>1185</v>
      </c>
      <c r="C590" s="2" t="s">
        <v>1186</v>
      </c>
      <c r="D590" s="6"/>
      <c r="E590" s="6"/>
      <c r="F590" s="2" t="s">
        <v>21</v>
      </c>
      <c r="G590" s="2" t="s">
        <v>9</v>
      </c>
      <c r="H590" s="6">
        <f>VLOOKUP(B590,'[1]Tồn Acrilic  T10'!C$6:F$346,4,0)</f>
        <v>0</v>
      </c>
    </row>
    <row r="591" spans="1:8" ht="15.6" x14ac:dyDescent="0.3">
      <c r="A591" s="2">
        <v>588</v>
      </c>
      <c r="B591" s="2" t="s">
        <v>1187</v>
      </c>
      <c r="C591" s="2" t="s">
        <v>1188</v>
      </c>
      <c r="D591" s="6"/>
      <c r="E591" s="6"/>
      <c r="F591" s="2" t="s">
        <v>24</v>
      </c>
      <c r="G591" s="2" t="s">
        <v>9</v>
      </c>
      <c r="H591" s="6">
        <v>0</v>
      </c>
    </row>
    <row r="592" spans="1:8" ht="15.6" x14ac:dyDescent="0.3">
      <c r="A592" s="2">
        <v>589</v>
      </c>
      <c r="B592" s="2" t="s">
        <v>1189</v>
      </c>
      <c r="C592" s="2" t="s">
        <v>1190</v>
      </c>
      <c r="D592" s="6" t="str">
        <f>VLOOKUP(B592,'[1]Tồn Acrilic  T10 .nháp'!C$6:E$115,2,0)</f>
        <v>High Gloss Acrylic sheet, wood grain, M9588 color GV67</v>
      </c>
      <c r="E592" s="6" t="str">
        <f>VLOOKUP(B592,'[1]Tồn Acrilic  T10 .nháp'!C$6:E$115,3,0)</f>
        <v>Taiwan</v>
      </c>
      <c r="F592" s="2" t="s">
        <v>8</v>
      </c>
      <c r="G592" s="2" t="s">
        <v>9</v>
      </c>
      <c r="H592" s="6">
        <f>VLOOKUP(B592,'[1]Tồn Acrilic  T10'!C$6:F$346,4,0)</f>
        <v>54</v>
      </c>
    </row>
    <row r="593" spans="1:8" ht="15.6" x14ac:dyDescent="0.3">
      <c r="A593" s="2">
        <v>590</v>
      </c>
      <c r="B593" s="2" t="s">
        <v>1191</v>
      </c>
      <c r="C593" s="2" t="s">
        <v>1192</v>
      </c>
      <c r="D593" s="6"/>
      <c r="E593" s="6"/>
      <c r="F593" s="2" t="s">
        <v>12</v>
      </c>
      <c r="G593" s="2" t="s">
        <v>9</v>
      </c>
      <c r="H593" s="6">
        <f>VLOOKUP(B593,'[1]Tồn Acrilic  T10'!C$6:F$346,4,0)</f>
        <v>0</v>
      </c>
    </row>
    <row r="594" spans="1:8" ht="15.6" x14ac:dyDescent="0.3">
      <c r="A594" s="2">
        <v>591</v>
      </c>
      <c r="B594" s="2" t="s">
        <v>1193</v>
      </c>
      <c r="C594" s="2" t="s">
        <v>1194</v>
      </c>
      <c r="D594" s="6"/>
      <c r="E594" s="6"/>
      <c r="F594" s="2" t="s">
        <v>15</v>
      </c>
      <c r="G594" s="2" t="s">
        <v>9</v>
      </c>
      <c r="H594" s="6">
        <v>0</v>
      </c>
    </row>
    <row r="595" spans="1:8" ht="15.6" x14ac:dyDescent="0.3">
      <c r="A595" s="2">
        <v>592</v>
      </c>
      <c r="B595" s="2" t="s">
        <v>1195</v>
      </c>
      <c r="C595" s="2" t="s">
        <v>1196</v>
      </c>
      <c r="D595" s="6"/>
      <c r="E595" s="6"/>
      <c r="F595" s="2" t="s">
        <v>18</v>
      </c>
      <c r="G595" s="2" t="s">
        <v>9</v>
      </c>
      <c r="H595" s="6">
        <v>0</v>
      </c>
    </row>
    <row r="596" spans="1:8" ht="15.6" x14ac:dyDescent="0.3">
      <c r="A596" s="2">
        <v>593</v>
      </c>
      <c r="B596" s="2" t="s">
        <v>1197</v>
      </c>
      <c r="C596" s="2" t="s">
        <v>1198</v>
      </c>
      <c r="D596" s="6"/>
      <c r="E596" s="6"/>
      <c r="F596" s="2" t="s">
        <v>21</v>
      </c>
      <c r="G596" s="2" t="s">
        <v>9</v>
      </c>
      <c r="H596" s="6">
        <f>VLOOKUP(B596,'[1]Tồn Acrilic  T10'!C$6:F$346,4,0)</f>
        <v>0</v>
      </c>
    </row>
    <row r="597" spans="1:8" ht="15.6" x14ac:dyDescent="0.3">
      <c r="A597" s="2">
        <v>594</v>
      </c>
      <c r="B597" s="2" t="s">
        <v>1199</v>
      </c>
      <c r="C597" s="2" t="s">
        <v>1200</v>
      </c>
      <c r="D597" s="6"/>
      <c r="E597" s="6"/>
      <c r="F597" s="2" t="s">
        <v>24</v>
      </c>
      <c r="G597" s="2" t="s">
        <v>9</v>
      </c>
      <c r="H597" s="6">
        <v>0</v>
      </c>
    </row>
    <row r="598" spans="1:8" ht="15.6" x14ac:dyDescent="0.3">
      <c r="A598" s="2">
        <v>595</v>
      </c>
      <c r="B598" s="2" t="s">
        <v>1201</v>
      </c>
      <c r="C598" s="2" t="s">
        <v>1202</v>
      </c>
      <c r="D598" s="6" t="str">
        <f>VLOOKUP(B598,'[1]Tồn Acrilic  T10 .nháp'!C$6:E$115,2,0)</f>
        <v>High Gloss Acrylic sheet, wood grain, T-RF5552 color GV68</v>
      </c>
      <c r="E598" s="6" t="str">
        <f>VLOOKUP(B598,'[1]Tồn Acrilic  T10 .nháp'!C$6:E$115,3,0)</f>
        <v>Taiwan</v>
      </c>
      <c r="F598" s="2" t="s">
        <v>8</v>
      </c>
      <c r="G598" s="2" t="s">
        <v>9</v>
      </c>
      <c r="H598" s="6">
        <f>VLOOKUP(B598,'[1]Tồn Acrilic  T10'!C$6:F$346,4,0)</f>
        <v>177</v>
      </c>
    </row>
    <row r="599" spans="1:8" ht="15.6" x14ac:dyDescent="0.3">
      <c r="A599" s="2">
        <v>596</v>
      </c>
      <c r="B599" s="2" t="s">
        <v>1203</v>
      </c>
      <c r="C599" s="2" t="s">
        <v>1204</v>
      </c>
      <c r="D599" s="6"/>
      <c r="E599" s="6"/>
      <c r="F599" s="2" t="s">
        <v>12</v>
      </c>
      <c r="G599" s="2" t="s">
        <v>9</v>
      </c>
      <c r="H599" s="6">
        <f>VLOOKUP(B599,'[1]Tồn Acrilic  T10'!C$6:F$346,4,0)</f>
        <v>0</v>
      </c>
    </row>
    <row r="600" spans="1:8" ht="15.6" x14ac:dyDescent="0.3">
      <c r="A600" s="2">
        <v>597</v>
      </c>
      <c r="B600" s="2" t="s">
        <v>1205</v>
      </c>
      <c r="C600" s="2" t="s">
        <v>1206</v>
      </c>
      <c r="D600" s="6"/>
      <c r="E600" s="6"/>
      <c r="F600" s="2" t="s">
        <v>15</v>
      </c>
      <c r="G600" s="2" t="s">
        <v>9</v>
      </c>
      <c r="H600" s="6">
        <v>0</v>
      </c>
    </row>
    <row r="601" spans="1:8" ht="15.6" x14ac:dyDescent="0.3">
      <c r="A601" s="2">
        <v>598</v>
      </c>
      <c r="B601" s="2" t="s">
        <v>1207</v>
      </c>
      <c r="C601" s="2" t="s">
        <v>1208</v>
      </c>
      <c r="D601" s="6"/>
      <c r="E601" s="6"/>
      <c r="F601" s="2" t="s">
        <v>18</v>
      </c>
      <c r="G601" s="2" t="s">
        <v>9</v>
      </c>
      <c r="H601" s="6">
        <v>0</v>
      </c>
    </row>
    <row r="602" spans="1:8" ht="15.6" x14ac:dyDescent="0.3">
      <c r="A602" s="2">
        <v>599</v>
      </c>
      <c r="B602" s="2" t="s">
        <v>1209</v>
      </c>
      <c r="C602" s="2" t="s">
        <v>1210</v>
      </c>
      <c r="D602" s="6"/>
      <c r="E602" s="6"/>
      <c r="F602" s="2" t="s">
        <v>21</v>
      </c>
      <c r="G602" s="2" t="s">
        <v>9</v>
      </c>
      <c r="H602" s="6">
        <f>VLOOKUP(B602,'[1]Tồn Acrilic  T10'!C$6:F$346,4,0)</f>
        <v>0</v>
      </c>
    </row>
    <row r="603" spans="1:8" ht="15.6" x14ac:dyDescent="0.3">
      <c r="A603" s="2">
        <v>600</v>
      </c>
      <c r="B603" s="2" t="s">
        <v>1211</v>
      </c>
      <c r="C603" s="2" t="s">
        <v>1212</v>
      </c>
      <c r="D603" s="6"/>
      <c r="E603" s="6"/>
      <c r="F603" s="2" t="s">
        <v>24</v>
      </c>
      <c r="G603" s="2" t="s">
        <v>9</v>
      </c>
      <c r="H603" s="6">
        <v>0</v>
      </c>
    </row>
    <row r="604" spans="1:8" ht="15.6" x14ac:dyDescent="0.3">
      <c r="A604" s="2">
        <v>601</v>
      </c>
      <c r="B604" s="2" t="s">
        <v>1213</v>
      </c>
      <c r="C604" s="2" t="s">
        <v>1214</v>
      </c>
      <c r="D604" s="6" t="str">
        <f>VLOOKUP(B604,'[1]Tồn Acrilic  T10 .nháp'!C$6:E$115,2,0)</f>
        <v>Acrylic UltraGloss, Dusky ASH color GV69</v>
      </c>
      <c r="E604" s="6" t="str">
        <f>VLOOKUP(B604,'[1]Tồn Acrilic  T10 .nháp'!C$6:E$115,3,0)</f>
        <v>Korea</v>
      </c>
      <c r="F604" s="2" t="s">
        <v>8</v>
      </c>
      <c r="G604" s="2" t="s">
        <v>9</v>
      </c>
      <c r="H604" s="6">
        <f>VLOOKUP(B604,'[1]Tồn Acrilic  T10'!C$6:F$346,4,0)</f>
        <v>95</v>
      </c>
    </row>
    <row r="605" spans="1:8" ht="15.6" x14ac:dyDescent="0.3">
      <c r="A605" s="2">
        <v>602</v>
      </c>
      <c r="B605" s="2" t="s">
        <v>1215</v>
      </c>
      <c r="C605" s="2" t="s">
        <v>1216</v>
      </c>
      <c r="D605" s="6"/>
      <c r="E605" s="6"/>
      <c r="F605" s="2" t="s">
        <v>12</v>
      </c>
      <c r="G605" s="2" t="s">
        <v>9</v>
      </c>
      <c r="H605" s="6">
        <f>VLOOKUP(B605,'[1]Tồn Acrilic  T10'!C$6:F$346,4,0)</f>
        <v>0</v>
      </c>
    </row>
    <row r="606" spans="1:8" ht="15.6" x14ac:dyDescent="0.3">
      <c r="A606" s="2">
        <v>603</v>
      </c>
      <c r="B606" s="2" t="s">
        <v>1217</v>
      </c>
      <c r="C606" s="2" t="s">
        <v>1218</v>
      </c>
      <c r="D606" s="6"/>
      <c r="E606" s="6"/>
      <c r="F606" s="2" t="s">
        <v>15</v>
      </c>
      <c r="G606" s="2" t="s">
        <v>9</v>
      </c>
      <c r="H606" s="6">
        <v>0</v>
      </c>
    </row>
    <row r="607" spans="1:8" ht="15.6" x14ac:dyDescent="0.3">
      <c r="A607" s="2">
        <v>604</v>
      </c>
      <c r="B607" s="2" t="s">
        <v>1219</v>
      </c>
      <c r="C607" s="2" t="s">
        <v>1220</v>
      </c>
      <c r="D607" s="6"/>
      <c r="E607" s="6"/>
      <c r="F607" s="2" t="s">
        <v>18</v>
      </c>
      <c r="G607" s="2" t="s">
        <v>9</v>
      </c>
      <c r="H607" s="6">
        <v>0</v>
      </c>
    </row>
    <row r="608" spans="1:8" ht="15.6" x14ac:dyDescent="0.3">
      <c r="A608" s="2">
        <v>605</v>
      </c>
      <c r="B608" s="2" t="s">
        <v>1221</v>
      </c>
      <c r="C608" s="2" t="s">
        <v>1222</v>
      </c>
      <c r="D608" s="6"/>
      <c r="E608" s="6"/>
      <c r="F608" s="2" t="s">
        <v>21</v>
      </c>
      <c r="G608" s="2" t="s">
        <v>9</v>
      </c>
      <c r="H608" s="6">
        <f>VLOOKUP(B608,'[1]Tồn Acrilic  T10'!C$6:F$346,4,0)</f>
        <v>0</v>
      </c>
    </row>
    <row r="609" spans="1:8" ht="15.6" x14ac:dyDescent="0.3">
      <c r="A609" s="2">
        <v>606</v>
      </c>
      <c r="B609" s="2" t="s">
        <v>1223</v>
      </c>
      <c r="C609" s="2" t="s">
        <v>1224</v>
      </c>
      <c r="D609" s="6"/>
      <c r="E609" s="6"/>
      <c r="F609" s="2" t="s">
        <v>24</v>
      </c>
      <c r="G609" s="2" t="s">
        <v>9</v>
      </c>
      <c r="H609" s="6">
        <v>0</v>
      </c>
    </row>
    <row r="610" spans="1:8" ht="15.6" x14ac:dyDescent="0.3">
      <c r="A610" s="2">
        <v>607</v>
      </c>
      <c r="B610" s="2" t="s">
        <v>1225</v>
      </c>
      <c r="C610" s="2" t="s">
        <v>1226</v>
      </c>
      <c r="D610" s="6" t="str">
        <f>VLOOKUP(B610,'[1]Tồn Acrilic  T10 .nháp'!C$6:E$115,2,0)</f>
        <v>High Gloss Acrylic sheet, wood grain, M9750-4 color GV70</v>
      </c>
      <c r="E610" s="6" t="str">
        <f>VLOOKUP(B610,'[1]Tồn Acrilic  T10 .nháp'!C$6:E$115,3,0)</f>
        <v>Taiwan</v>
      </c>
      <c r="F610" s="2" t="s">
        <v>8</v>
      </c>
      <c r="G610" s="2" t="s">
        <v>9</v>
      </c>
      <c r="H610" s="6">
        <f>VLOOKUP(B610,'[1]Tồn Acrilic  T10'!C$6:F$346,4,0)</f>
        <v>222</v>
      </c>
    </row>
    <row r="611" spans="1:8" ht="15.6" x14ac:dyDescent="0.3">
      <c r="A611" s="2">
        <v>608</v>
      </c>
      <c r="B611" s="2" t="s">
        <v>1227</v>
      </c>
      <c r="C611" s="2" t="s">
        <v>1228</v>
      </c>
      <c r="D611" s="6"/>
      <c r="E611" s="6"/>
      <c r="F611" s="2" t="s">
        <v>12</v>
      </c>
      <c r="G611" s="2" t="s">
        <v>9</v>
      </c>
      <c r="H611" s="6">
        <f>VLOOKUP(B611,'[1]Tồn Acrilic  T10'!C$6:F$346,4,0)</f>
        <v>0</v>
      </c>
    </row>
    <row r="612" spans="1:8" ht="15.6" x14ac:dyDescent="0.3">
      <c r="A612" s="2">
        <v>609</v>
      </c>
      <c r="B612" s="2" t="s">
        <v>1229</v>
      </c>
      <c r="C612" s="2" t="s">
        <v>1230</v>
      </c>
      <c r="D612" s="6"/>
      <c r="E612" s="6"/>
      <c r="F612" s="2" t="s">
        <v>15</v>
      </c>
      <c r="G612" s="2" t="s">
        <v>9</v>
      </c>
      <c r="H612" s="6">
        <v>0</v>
      </c>
    </row>
    <row r="613" spans="1:8" ht="15.6" x14ac:dyDescent="0.3">
      <c r="A613" s="2">
        <v>610</v>
      </c>
      <c r="B613" s="2" t="s">
        <v>1231</v>
      </c>
      <c r="C613" s="2" t="s">
        <v>1232</v>
      </c>
      <c r="D613" s="6"/>
      <c r="E613" s="6"/>
      <c r="F613" s="2" t="s">
        <v>18</v>
      </c>
      <c r="G613" s="2" t="s">
        <v>9</v>
      </c>
      <c r="H613" s="6">
        <v>0</v>
      </c>
    </row>
    <row r="614" spans="1:8" ht="15.6" x14ac:dyDescent="0.3">
      <c r="A614" s="2">
        <v>611</v>
      </c>
      <c r="B614" s="2" t="s">
        <v>1233</v>
      </c>
      <c r="C614" s="2" t="s">
        <v>1234</v>
      </c>
      <c r="D614" s="6"/>
      <c r="E614" s="6"/>
      <c r="F614" s="2" t="s">
        <v>21</v>
      </c>
      <c r="G614" s="2" t="s">
        <v>9</v>
      </c>
      <c r="H614" s="6">
        <f>VLOOKUP(B614,'[1]Tồn Acrilic  T10'!C$6:F$346,4,0)</f>
        <v>0</v>
      </c>
    </row>
    <row r="615" spans="1:8" ht="15.6" x14ac:dyDescent="0.3">
      <c r="A615" s="2">
        <v>612</v>
      </c>
      <c r="B615" s="2" t="s">
        <v>1235</v>
      </c>
      <c r="C615" s="2" t="s">
        <v>1236</v>
      </c>
      <c r="D615" s="6"/>
      <c r="E615" s="6"/>
      <c r="F615" s="2" t="s">
        <v>24</v>
      </c>
      <c r="G615" s="2" t="s">
        <v>9</v>
      </c>
      <c r="H615" s="6">
        <v>0</v>
      </c>
    </row>
    <row r="616" spans="1:8" ht="15.6" x14ac:dyDescent="0.3">
      <c r="A616" s="2">
        <v>613</v>
      </c>
      <c r="B616" s="2" t="s">
        <v>1237</v>
      </c>
      <c r="C616" s="2" t="s">
        <v>1238</v>
      </c>
      <c r="D616" s="6" t="str">
        <f>VLOOKUP(B616,'[1]Tồn Acrilic  T10 .nháp'!C$6:E$115,2,0)</f>
        <v>High Gloss Acrylic sheet, wood grain, M3573-10-4 color GV71</v>
      </c>
      <c r="E616" s="6" t="str">
        <f>VLOOKUP(B616,'[1]Tồn Acrilic  T10 .nháp'!C$6:E$115,3,0)</f>
        <v>Taiwan</v>
      </c>
      <c r="F616" s="2" t="s">
        <v>8</v>
      </c>
      <c r="G616" s="2" t="s">
        <v>9</v>
      </c>
      <c r="H616" s="6">
        <f>VLOOKUP(B616,'[1]Tồn Acrilic  T10'!C$6:F$346,4,0)</f>
        <v>101</v>
      </c>
    </row>
    <row r="617" spans="1:8" ht="15.6" x14ac:dyDescent="0.3">
      <c r="A617" s="2">
        <v>614</v>
      </c>
      <c r="B617" s="2" t="s">
        <v>1239</v>
      </c>
      <c r="C617" s="2" t="s">
        <v>1240</v>
      </c>
      <c r="D617" s="6"/>
      <c r="E617" s="6"/>
      <c r="F617" s="2" t="s">
        <v>12</v>
      </c>
      <c r="G617" s="2" t="s">
        <v>9</v>
      </c>
      <c r="H617" s="6">
        <f>VLOOKUP(B617,'[1]Tồn Acrilic  T10'!C$6:F$346,4,0)</f>
        <v>0</v>
      </c>
    </row>
    <row r="618" spans="1:8" ht="15.6" x14ac:dyDescent="0.3">
      <c r="A618" s="2">
        <v>615</v>
      </c>
      <c r="B618" s="2" t="s">
        <v>1241</v>
      </c>
      <c r="C618" s="2" t="s">
        <v>1242</v>
      </c>
      <c r="D618" s="6"/>
      <c r="E618" s="6"/>
      <c r="F618" s="2" t="s">
        <v>15</v>
      </c>
      <c r="G618" s="2" t="s">
        <v>9</v>
      </c>
      <c r="H618" s="6">
        <v>0</v>
      </c>
    </row>
    <row r="619" spans="1:8" ht="15.6" x14ac:dyDescent="0.3">
      <c r="A619" s="2">
        <v>616</v>
      </c>
      <c r="B619" s="2" t="s">
        <v>1243</v>
      </c>
      <c r="C619" s="2" t="s">
        <v>1244</v>
      </c>
      <c r="D619" s="6"/>
      <c r="E619" s="6"/>
      <c r="F619" s="2" t="s">
        <v>18</v>
      </c>
      <c r="G619" s="2" t="s">
        <v>9</v>
      </c>
      <c r="H619" s="6">
        <v>0</v>
      </c>
    </row>
    <row r="620" spans="1:8" ht="15.6" x14ac:dyDescent="0.3">
      <c r="A620" s="2">
        <v>617</v>
      </c>
      <c r="B620" s="2" t="s">
        <v>1245</v>
      </c>
      <c r="C620" s="2" t="s">
        <v>1246</v>
      </c>
      <c r="D620" s="6"/>
      <c r="E620" s="6"/>
      <c r="F620" s="2" t="s">
        <v>21</v>
      </c>
      <c r="G620" s="2" t="s">
        <v>9</v>
      </c>
      <c r="H620" s="6">
        <f>VLOOKUP(B620,'[1]Tồn Acrilic  T10'!C$6:F$346,4,0)</f>
        <v>0</v>
      </c>
    </row>
    <row r="621" spans="1:8" ht="15.6" x14ac:dyDescent="0.3">
      <c r="A621" s="2">
        <v>618</v>
      </c>
      <c r="B621" s="2" t="s">
        <v>1247</v>
      </c>
      <c r="C621" s="2" t="s">
        <v>1248</v>
      </c>
      <c r="D621" s="6"/>
      <c r="E621" s="6"/>
      <c r="F621" s="2" t="s">
        <v>24</v>
      </c>
      <c r="G621" s="2" t="s">
        <v>9</v>
      </c>
      <c r="H621" s="6">
        <v>0</v>
      </c>
    </row>
    <row r="622" spans="1:8" ht="15.6" x14ac:dyDescent="0.3">
      <c r="A622" s="2">
        <v>619</v>
      </c>
      <c r="B622" s="2" t="s">
        <v>1249</v>
      </c>
      <c r="C622" s="2" t="s">
        <v>1250</v>
      </c>
      <c r="D622" s="6" t="str">
        <f>VLOOKUP(B622,'[1]Tồn Acrilic  T10 .nháp'!C$6:E$115,2,0)</f>
        <v>High Gloss Acrylic sheet, wood grain, M9289-4 color GV72</v>
      </c>
      <c r="E622" s="6" t="str">
        <f>VLOOKUP(B622,'[1]Tồn Acrilic  T10 .nháp'!C$6:E$115,3,0)</f>
        <v>Taiwan</v>
      </c>
      <c r="F622" s="2" t="s">
        <v>8</v>
      </c>
      <c r="G622" s="2" t="s">
        <v>9</v>
      </c>
      <c r="H622" s="6">
        <f>VLOOKUP(B622,'[1]Tồn Acrilic  T10'!C$6:F$346,4,0)</f>
        <v>221</v>
      </c>
    </row>
    <row r="623" spans="1:8" ht="15.6" x14ac:dyDescent="0.3">
      <c r="A623" s="2">
        <v>620</v>
      </c>
      <c r="B623" s="2" t="s">
        <v>1251</v>
      </c>
      <c r="C623" s="2" t="s">
        <v>1252</v>
      </c>
      <c r="D623" s="6"/>
      <c r="E623" s="6"/>
      <c r="F623" s="2" t="s">
        <v>12</v>
      </c>
      <c r="G623" s="2" t="s">
        <v>9</v>
      </c>
      <c r="H623" s="6">
        <f>VLOOKUP(B623,'[1]Tồn Acrilic  T10'!C$6:F$346,4,0)</f>
        <v>13</v>
      </c>
    </row>
    <row r="624" spans="1:8" ht="15.6" x14ac:dyDescent="0.3">
      <c r="A624" s="2">
        <v>621</v>
      </c>
      <c r="B624" s="2" t="s">
        <v>1253</v>
      </c>
      <c r="C624" s="2" t="s">
        <v>1254</v>
      </c>
      <c r="D624" s="6"/>
      <c r="E624" s="6"/>
      <c r="F624" s="2" t="s">
        <v>15</v>
      </c>
      <c r="G624" s="2" t="s">
        <v>9</v>
      </c>
      <c r="H624" s="6">
        <v>0</v>
      </c>
    </row>
    <row r="625" spans="1:8" ht="15.6" x14ac:dyDescent="0.3">
      <c r="A625" s="2">
        <v>622</v>
      </c>
      <c r="B625" s="2" t="s">
        <v>1255</v>
      </c>
      <c r="C625" s="2" t="s">
        <v>1256</v>
      </c>
      <c r="D625" s="6"/>
      <c r="E625" s="6"/>
      <c r="F625" s="2" t="s">
        <v>18</v>
      </c>
      <c r="G625" s="2" t="s">
        <v>9</v>
      </c>
      <c r="H625" s="6">
        <v>0</v>
      </c>
    </row>
    <row r="626" spans="1:8" ht="15.6" x14ac:dyDescent="0.3">
      <c r="A626" s="2">
        <v>623</v>
      </c>
      <c r="B626" s="2" t="s">
        <v>1257</v>
      </c>
      <c r="C626" s="2" t="s">
        <v>1258</v>
      </c>
      <c r="D626" s="6"/>
      <c r="E626" s="6"/>
      <c r="F626" s="2" t="s">
        <v>21</v>
      </c>
      <c r="G626" s="2" t="s">
        <v>9</v>
      </c>
      <c r="H626" s="6">
        <f>VLOOKUP(B626,'[1]Tồn Acrilic  T10'!C$6:F$346,4,0)</f>
        <v>6</v>
      </c>
    </row>
    <row r="627" spans="1:8" ht="15.6" x14ac:dyDescent="0.3">
      <c r="A627" s="2">
        <v>624</v>
      </c>
      <c r="B627" s="2" t="s">
        <v>1259</v>
      </c>
      <c r="C627" s="2" t="s">
        <v>1260</v>
      </c>
      <c r="D627" s="6"/>
      <c r="E627" s="6"/>
      <c r="F627" s="2" t="s">
        <v>24</v>
      </c>
      <c r="G627" s="2" t="s">
        <v>9</v>
      </c>
      <c r="H627" s="6">
        <v>0</v>
      </c>
    </row>
    <row r="628" spans="1:8" ht="15.6" x14ac:dyDescent="0.3">
      <c r="A628" s="2">
        <v>625</v>
      </c>
      <c r="B628" s="2" t="s">
        <v>1261</v>
      </c>
      <c r="C628" s="2" t="s">
        <v>1262</v>
      </c>
      <c r="D628" s="6" t="str">
        <f>VLOOKUP(B628,'[1]Tồn Acrilic  T10 .nháp'!C$6:E$115,2,0)</f>
        <v>High Gloss Acrylic sheet, wood grain, MS7402 color GV73</v>
      </c>
      <c r="E628" s="6" t="str">
        <f>VLOOKUP(B628,'[1]Tồn Acrilic  T10 .nháp'!C$6:E$115,3,0)</f>
        <v>Taiwan</v>
      </c>
      <c r="F628" s="2" t="s">
        <v>8</v>
      </c>
      <c r="G628" s="2" t="s">
        <v>9</v>
      </c>
      <c r="H628" s="6">
        <f>VLOOKUP(B628,'[1]Tồn Acrilic  T10'!C$6:F$346,4,0)</f>
        <v>140</v>
      </c>
    </row>
    <row r="629" spans="1:8" ht="15.6" x14ac:dyDescent="0.3">
      <c r="A629" s="2">
        <v>626</v>
      </c>
      <c r="B629" s="2" t="s">
        <v>1263</v>
      </c>
      <c r="C629" s="2" t="s">
        <v>1264</v>
      </c>
      <c r="D629" s="6"/>
      <c r="E629" s="6"/>
      <c r="F629" s="2" t="s">
        <v>12</v>
      </c>
      <c r="G629" s="2" t="s">
        <v>9</v>
      </c>
      <c r="H629" s="6">
        <f>VLOOKUP(B629,'[1]Tồn Acrilic  T10'!C$6:F$346,4,0)</f>
        <v>0</v>
      </c>
    </row>
    <row r="630" spans="1:8" ht="15.6" x14ac:dyDescent="0.3">
      <c r="A630" s="2">
        <v>627</v>
      </c>
      <c r="B630" s="2" t="s">
        <v>1265</v>
      </c>
      <c r="C630" s="2" t="s">
        <v>1266</v>
      </c>
      <c r="D630" s="6"/>
      <c r="E630" s="6"/>
      <c r="F630" s="2" t="s">
        <v>15</v>
      </c>
      <c r="G630" s="2" t="s">
        <v>9</v>
      </c>
      <c r="H630" s="6">
        <v>0</v>
      </c>
    </row>
    <row r="631" spans="1:8" ht="15.6" x14ac:dyDescent="0.3">
      <c r="A631" s="2">
        <v>628</v>
      </c>
      <c r="B631" s="2" t="s">
        <v>1267</v>
      </c>
      <c r="C631" s="2" t="s">
        <v>1268</v>
      </c>
      <c r="D631" s="6"/>
      <c r="E631" s="6"/>
      <c r="F631" s="2" t="s">
        <v>18</v>
      </c>
      <c r="G631" s="2" t="s">
        <v>9</v>
      </c>
      <c r="H631" s="6">
        <v>0</v>
      </c>
    </row>
    <row r="632" spans="1:8" ht="15.6" x14ac:dyDescent="0.3">
      <c r="A632" s="2">
        <v>629</v>
      </c>
      <c r="B632" s="2" t="s">
        <v>1269</v>
      </c>
      <c r="C632" s="2" t="s">
        <v>1270</v>
      </c>
      <c r="D632" s="6"/>
      <c r="E632" s="6"/>
      <c r="F632" s="2" t="s">
        <v>21</v>
      </c>
      <c r="G632" s="2" t="s">
        <v>9</v>
      </c>
      <c r="H632" s="6">
        <f>VLOOKUP(B632,'[1]Tồn Acrilic  T10'!C$6:F$346,4,0)</f>
        <v>1</v>
      </c>
    </row>
    <row r="633" spans="1:8" ht="15.6" x14ac:dyDescent="0.3">
      <c r="A633" s="2">
        <v>630</v>
      </c>
      <c r="B633" s="2" t="s">
        <v>1271</v>
      </c>
      <c r="C633" s="2" t="s">
        <v>1272</v>
      </c>
      <c r="D633" s="6"/>
      <c r="E633" s="6"/>
      <c r="F633" s="2" t="s">
        <v>24</v>
      </c>
      <c r="G633" s="2" t="s">
        <v>9</v>
      </c>
      <c r="H633" s="6">
        <v>0</v>
      </c>
    </row>
    <row r="634" spans="1:8" ht="15.6" x14ac:dyDescent="0.3">
      <c r="A634" s="2">
        <v>631</v>
      </c>
      <c r="B634" s="2" t="s">
        <v>1273</v>
      </c>
      <c r="C634" s="2" t="s">
        <v>1274</v>
      </c>
      <c r="D634" s="6" t="str">
        <f>VLOOKUP(B634,'[1]Tồn Acrilic  T10 .nháp'!C$6:E$115,2,0)</f>
        <v>High Gloss Acrylic sheet, wood grain, MS5374 color GV74</v>
      </c>
      <c r="E634" s="6" t="str">
        <f>VLOOKUP(B634,'[1]Tồn Acrilic  T10 .nháp'!C$6:E$115,3,0)</f>
        <v>Taiwan</v>
      </c>
      <c r="F634" s="2" t="s">
        <v>8</v>
      </c>
      <c r="G634" s="2" t="s">
        <v>9</v>
      </c>
      <c r="H634" s="6">
        <f>VLOOKUP(B634,'[1]Tồn Acrilic  T10'!C$6:F$346,4,0)</f>
        <v>453</v>
      </c>
    </row>
    <row r="635" spans="1:8" ht="15.6" x14ac:dyDescent="0.3">
      <c r="A635" s="2">
        <v>632</v>
      </c>
      <c r="B635" s="2" t="s">
        <v>1275</v>
      </c>
      <c r="C635" s="2" t="s">
        <v>1276</v>
      </c>
      <c r="D635" s="6"/>
      <c r="E635" s="6"/>
      <c r="F635" s="2" t="s">
        <v>12</v>
      </c>
      <c r="G635" s="2" t="s">
        <v>9</v>
      </c>
      <c r="H635" s="6">
        <f>VLOOKUP(B635,'[1]Tồn Acrilic  T10'!C$6:F$346,4,0)</f>
        <v>19</v>
      </c>
    </row>
    <row r="636" spans="1:8" ht="15.6" x14ac:dyDescent="0.3">
      <c r="A636" s="2">
        <v>633</v>
      </c>
      <c r="B636" s="2" t="s">
        <v>1277</v>
      </c>
      <c r="C636" s="2" t="s">
        <v>1278</v>
      </c>
      <c r="D636" s="6"/>
      <c r="E636" s="6"/>
      <c r="F636" s="2" t="s">
        <v>15</v>
      </c>
      <c r="G636" s="2" t="s">
        <v>9</v>
      </c>
      <c r="H636" s="6">
        <v>0</v>
      </c>
    </row>
    <row r="637" spans="1:8" ht="15.6" x14ac:dyDescent="0.3">
      <c r="A637" s="2">
        <v>634</v>
      </c>
      <c r="B637" s="2" t="s">
        <v>1279</v>
      </c>
      <c r="C637" s="2" t="s">
        <v>1280</v>
      </c>
      <c r="D637" s="6"/>
      <c r="E637" s="6"/>
      <c r="F637" s="2" t="s">
        <v>18</v>
      </c>
      <c r="G637" s="2" t="s">
        <v>9</v>
      </c>
      <c r="H637" s="6">
        <v>0</v>
      </c>
    </row>
    <row r="638" spans="1:8" ht="15.6" x14ac:dyDescent="0.3">
      <c r="A638" s="2">
        <v>635</v>
      </c>
      <c r="B638" s="2" t="s">
        <v>1281</v>
      </c>
      <c r="C638" s="2" t="s">
        <v>1282</v>
      </c>
      <c r="D638" s="6"/>
      <c r="E638" s="6"/>
      <c r="F638" s="2" t="s">
        <v>21</v>
      </c>
      <c r="G638" s="2" t="s">
        <v>9</v>
      </c>
      <c r="H638" s="6">
        <f>VLOOKUP(B638,'[1]Tồn Acrilic  T10'!C$6:F$346,4,0)</f>
        <v>6</v>
      </c>
    </row>
    <row r="639" spans="1:8" ht="15.6" x14ac:dyDescent="0.3">
      <c r="A639" s="2">
        <v>636</v>
      </c>
      <c r="B639" s="2" t="s">
        <v>1283</v>
      </c>
      <c r="C639" s="2" t="s">
        <v>1284</v>
      </c>
      <c r="D639" s="6"/>
      <c r="E639" s="6"/>
      <c r="F639" s="2" t="s">
        <v>24</v>
      </c>
      <c r="G639" s="2" t="s">
        <v>9</v>
      </c>
      <c r="H639" s="6">
        <v>0</v>
      </c>
    </row>
    <row r="640" spans="1:8" ht="15.6" x14ac:dyDescent="0.3">
      <c r="A640" s="2">
        <v>637</v>
      </c>
      <c r="B640" s="2" t="s">
        <v>1285</v>
      </c>
      <c r="C640" s="2" t="s">
        <v>1286</v>
      </c>
      <c r="D640" s="6" t="str">
        <f>VLOOKUP(B640,'[1]Tồn Acrilic  T10 .nháp'!C$6:E$115,2,0)</f>
        <v>Màu PARC 50 An Cường</v>
      </c>
      <c r="E640" s="6" t="str">
        <f>VLOOKUP(B640,'[1]Tồn Acrilic  T10 .nháp'!C$6:E$115,3,0)</f>
        <v>Taiwan</v>
      </c>
      <c r="F640" s="2" t="s">
        <v>8</v>
      </c>
      <c r="G640" s="2" t="s">
        <v>9</v>
      </c>
      <c r="H640" s="6">
        <f>VLOOKUP(B640,'[1]Tồn Acrilic  T10'!C$6:F$346,4,0)</f>
        <v>80</v>
      </c>
    </row>
    <row r="641" spans="1:9" ht="15.6" x14ac:dyDescent="0.3">
      <c r="A641" s="2">
        <v>638</v>
      </c>
      <c r="B641" s="2" t="s">
        <v>1287</v>
      </c>
      <c r="C641" s="2" t="s">
        <v>1288</v>
      </c>
      <c r="D641" s="6"/>
      <c r="E641" s="6"/>
      <c r="F641" s="2" t="s">
        <v>12</v>
      </c>
      <c r="G641" s="2" t="s">
        <v>9</v>
      </c>
      <c r="H641" s="6">
        <f>VLOOKUP(B641,'[1]Tồn Acrilic  T10'!C$6:F$346,4,0)</f>
        <v>0</v>
      </c>
    </row>
    <row r="642" spans="1:9" ht="15.6" x14ac:dyDescent="0.3">
      <c r="A642" s="2">
        <v>639</v>
      </c>
      <c r="B642" s="2" t="s">
        <v>1289</v>
      </c>
      <c r="C642" s="2" t="s">
        <v>1290</v>
      </c>
      <c r="D642" s="6"/>
      <c r="E642" s="6"/>
      <c r="F642" s="2" t="s">
        <v>15</v>
      </c>
      <c r="G642" s="2" t="s">
        <v>9</v>
      </c>
      <c r="H642" s="6">
        <v>0</v>
      </c>
    </row>
    <row r="643" spans="1:9" ht="15.6" x14ac:dyDescent="0.3">
      <c r="A643" s="2">
        <v>640</v>
      </c>
      <c r="B643" s="2" t="s">
        <v>1291</v>
      </c>
      <c r="C643" s="2" t="s">
        <v>1292</v>
      </c>
      <c r="D643" s="6"/>
      <c r="E643" s="6"/>
      <c r="F643" s="2" t="s">
        <v>18</v>
      </c>
      <c r="G643" s="2" t="s">
        <v>9</v>
      </c>
      <c r="H643" s="6">
        <v>0</v>
      </c>
    </row>
    <row r="644" spans="1:9" ht="15.6" x14ac:dyDescent="0.3">
      <c r="A644" s="2">
        <v>641</v>
      </c>
      <c r="B644" s="2" t="s">
        <v>1293</v>
      </c>
      <c r="C644" s="2" t="s">
        <v>1294</v>
      </c>
      <c r="D644" s="6"/>
      <c r="E644" s="6"/>
      <c r="F644" s="2" t="s">
        <v>21</v>
      </c>
      <c r="G644" s="2" t="s">
        <v>9</v>
      </c>
      <c r="H644" s="6">
        <f>VLOOKUP(B644,'[1]Tồn Acrilic  T10'!C$6:F$346,4,0)</f>
        <v>0</v>
      </c>
    </row>
    <row r="645" spans="1:9" ht="15.6" x14ac:dyDescent="0.3">
      <c r="A645" s="2">
        <v>642</v>
      </c>
      <c r="B645" s="2" t="s">
        <v>1295</v>
      </c>
      <c r="C645" s="2" t="s">
        <v>1296</v>
      </c>
      <c r="D645" s="6"/>
      <c r="E645" s="6"/>
      <c r="F645" s="2" t="s">
        <v>24</v>
      </c>
      <c r="G645" s="2" t="s">
        <v>9</v>
      </c>
      <c r="H645" s="6">
        <v>0</v>
      </c>
    </row>
    <row r="646" spans="1:9" ht="15.6" x14ac:dyDescent="0.3">
      <c r="A646" s="3">
        <v>643</v>
      </c>
      <c r="B646" s="3" t="s">
        <v>1298</v>
      </c>
      <c r="C646" s="3" t="s">
        <v>1299</v>
      </c>
      <c r="D646" s="6" t="str">
        <f>VLOOKUP(B646,'[1]Tồn Acrilic  T10 .nháp'!C$6:E$115,2,0)</f>
        <v>High Gloss Acrylic sheet, White, 17W</v>
      </c>
      <c r="E646" s="6" t="str">
        <f>VLOOKUP(B646,'[1]Tồn Acrilic  T10 .nháp'!C$6:E$115,3,0)</f>
        <v>Taiwan</v>
      </c>
      <c r="F646" s="3" t="s">
        <v>8</v>
      </c>
      <c r="G646" s="3" t="s">
        <v>9</v>
      </c>
      <c r="H646" s="6">
        <f>VLOOKUP(B646,'[1]Tồn Acrilic  T10'!C$6:F$346,4,0)</f>
        <v>1302</v>
      </c>
      <c r="I646" s="7" t="s">
        <v>1303</v>
      </c>
    </row>
    <row r="647" spans="1:9" ht="44.4" customHeight="1" x14ac:dyDescent="0.3">
      <c r="A647" s="3">
        <v>644</v>
      </c>
      <c r="B647" s="3" t="s">
        <v>1300</v>
      </c>
      <c r="C647" s="3" t="s">
        <v>1301</v>
      </c>
      <c r="D647" s="6">
        <f>VLOOKUP(B647,'[1]Tồn Acrilic  T10 .nháp'!C$6:E$115,2,0)</f>
        <v>0</v>
      </c>
      <c r="E647" s="6" t="str">
        <f>VLOOKUP(B647,'[1]Tồn Acrilic  T10 .nháp'!C$6:E$115,3,0)</f>
        <v>Taiwan</v>
      </c>
      <c r="F647" s="3" t="s">
        <v>8</v>
      </c>
      <c r="G647" s="3" t="s">
        <v>9</v>
      </c>
      <c r="H647" s="6">
        <f>VLOOKUP(B647,'[1]Tồn Acrilic  T10'!C$6:F$346,4,0)</f>
        <v>1</v>
      </c>
      <c r="I647" s="7"/>
    </row>
    <row r="648" spans="1:9" x14ac:dyDescent="0.3">
      <c r="A648" s="8" t="s">
        <v>1297</v>
      </c>
      <c r="B648" s="9"/>
      <c r="C648" s="9"/>
      <c r="D648" s="11"/>
      <c r="E648" s="11"/>
      <c r="F648" s="9"/>
      <c r="G648" s="9"/>
      <c r="H648" s="10">
        <f>SUM(H4:H647)</f>
        <v>37242</v>
      </c>
      <c r="I648">
        <f t="shared" ref="I648" si="0">SUM(I4:I647)</f>
        <v>0</v>
      </c>
    </row>
  </sheetData>
  <autoFilter ref="A3:O648" xr:uid="{00000000-0001-0000-0000-000000000000}"/>
  <mergeCells count="1">
    <mergeCell ref="I646:I6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Danh_Sach_Ton_Kho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Administrator</cp:lastModifiedBy>
  <dcterms:created xsi:type="dcterms:W3CDTF">2026-10-23T09:25:50Z</dcterms:created>
  <dcterms:modified xsi:type="dcterms:W3CDTF">2026-10-24T01:45:50Z</dcterms:modified>
  <cp:category/>
</cp:coreProperties>
</file>