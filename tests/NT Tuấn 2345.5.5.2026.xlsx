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D:\VŨ LINH\ĐƠN HÀNG CHỜ CHỐT\"/>
    </mc:Choice>
  </mc:AlternateContent>
  <bookViews>
    <workbookView xWindow="-120" yWindow="-120" windowWidth="29040" windowHeight="15840" tabRatio="895"/>
  </bookViews>
  <sheets>
    <sheet name="GIA CONG ACRYLIC" sheetId="18" r:id="rId1"/>
    <sheet name="LENH GIA CONG TAM" sheetId="13" r:id="rId2"/>
    <sheet name="DH LEN PHAN MEM" sheetId="19" r:id="rId3"/>
    <sheet name="BAZIS" sheetId="20" r:id="rId4"/>
    <sheet name="BAZIS-PM" sheetId="21" r:id="rId5"/>
  </sheets>
  <definedNames>
    <definedName name="_xlnm._FilterDatabase" localSheetId="0" hidden="1">'GIA CONG ACRYLIC'!$D$13:$E$56</definedName>
    <definedName name="_xlnm.Print_Area" localSheetId="0">'GIA CONG ACRYLIC'!$A$1:$M$62</definedName>
    <definedName name="_xlnm.Print_Area" localSheetId="1">'LENH GIA CONG TAM'!$A$1:$K$28</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49" i="18" l="1"/>
  <c r="J13" i="13" l="1"/>
  <c r="I13" i="13"/>
  <c r="H13" i="13"/>
  <c r="E13" i="13"/>
  <c r="A33" i="13"/>
  <c r="B33" i="13"/>
  <c r="C33" i="13"/>
  <c r="D33" i="13"/>
  <c r="E33" i="13"/>
  <c r="H33" i="13" s="1"/>
  <c r="F33" i="13"/>
  <c r="G33" i="13"/>
  <c r="I33" i="13"/>
  <c r="J33" i="13"/>
  <c r="K33" i="13"/>
  <c r="A34" i="13"/>
  <c r="B34" i="13"/>
  <c r="C34" i="13"/>
  <c r="H34" i="13" s="1"/>
  <c r="D34" i="13"/>
  <c r="E34" i="13"/>
  <c r="F34" i="13"/>
  <c r="G34" i="13"/>
  <c r="I34" i="13"/>
  <c r="K34" i="13"/>
  <c r="L46" i="18"/>
  <c r="J34" i="13" l="1"/>
  <c r="J20" i="18"/>
  <c r="G39" i="18"/>
  <c r="L45" i="18"/>
  <c r="I45" i="18"/>
  <c r="N37" i="18"/>
  <c r="I37" i="18"/>
  <c r="L37" i="18" s="1"/>
  <c r="N34" i="18"/>
  <c r="I34" i="18"/>
  <c r="L34" i="18" s="1"/>
  <c r="N36" i="18"/>
  <c r="N43" i="18"/>
  <c r="N42" i="18"/>
  <c r="N41" i="18"/>
  <c r="N39" i="18"/>
  <c r="N35" i="18"/>
  <c r="N33" i="18"/>
  <c r="N32" i="18"/>
  <c r="N31" i="18"/>
  <c r="N30" i="18"/>
  <c r="N29" i="18"/>
  <c r="N28" i="18"/>
  <c r="N27" i="18"/>
  <c r="N26" i="18"/>
  <c r="N25" i="18"/>
  <c r="N24" i="18"/>
  <c r="N23" i="18"/>
  <c r="N22" i="18"/>
  <c r="N21" i="18"/>
  <c r="G21" i="18" s="1"/>
  <c r="N20" i="18"/>
  <c r="N19" i="18"/>
  <c r="N18" i="18"/>
  <c r="G18" i="18" s="1"/>
  <c r="N17" i="18"/>
  <c r="G17" i="18" s="1"/>
  <c r="N15" i="18"/>
  <c r="A15" i="13" l="1"/>
  <c r="B15" i="13"/>
  <c r="C15" i="13"/>
  <c r="D15" i="13"/>
  <c r="E15" i="13"/>
  <c r="G15" i="13"/>
  <c r="K15" i="13"/>
  <c r="A16" i="13"/>
  <c r="B16" i="13"/>
  <c r="C16" i="13"/>
  <c r="D16" i="13"/>
  <c r="E16" i="13"/>
  <c r="G16" i="13"/>
  <c r="K16" i="13"/>
  <c r="A17" i="13"/>
  <c r="B17" i="13"/>
  <c r="C17" i="13"/>
  <c r="D17" i="13"/>
  <c r="E17" i="13"/>
  <c r="I17" i="13" s="1"/>
  <c r="F17" i="13"/>
  <c r="G17" i="13"/>
  <c r="K17" i="13"/>
  <c r="A18" i="13"/>
  <c r="B18" i="13"/>
  <c r="C18" i="13"/>
  <c r="D18" i="13"/>
  <c r="E18" i="13"/>
  <c r="G18" i="13"/>
  <c r="K18" i="13"/>
  <c r="A19" i="13"/>
  <c r="B19" i="13"/>
  <c r="C19" i="13"/>
  <c r="D19" i="13"/>
  <c r="E19" i="13"/>
  <c r="I19" i="13" s="1"/>
  <c r="F19" i="13"/>
  <c r="G19" i="13"/>
  <c r="K19" i="13"/>
  <c r="A20" i="13"/>
  <c r="B20" i="13"/>
  <c r="C20" i="13"/>
  <c r="D20" i="13"/>
  <c r="E20" i="13"/>
  <c r="G20" i="13"/>
  <c r="K20" i="13"/>
  <c r="A21" i="13"/>
  <c r="B21" i="13"/>
  <c r="C21" i="13"/>
  <c r="D21" i="13"/>
  <c r="E21" i="13"/>
  <c r="I21" i="13" s="1"/>
  <c r="F21" i="13"/>
  <c r="G21" i="13"/>
  <c r="K21" i="13"/>
  <c r="A22" i="13"/>
  <c r="B22" i="13"/>
  <c r="C22" i="13"/>
  <c r="D22" i="13"/>
  <c r="E22" i="13"/>
  <c r="F22" i="13"/>
  <c r="G22" i="13"/>
  <c r="K22" i="13"/>
  <c r="A23" i="13"/>
  <c r="B23" i="13"/>
  <c r="C23" i="13"/>
  <c r="D23" i="13"/>
  <c r="E23" i="13"/>
  <c r="I23" i="13" s="1"/>
  <c r="F23" i="13"/>
  <c r="G23" i="13"/>
  <c r="K23" i="13"/>
  <c r="A24" i="13"/>
  <c r="B24" i="13"/>
  <c r="C24" i="13"/>
  <c r="D24" i="13"/>
  <c r="E24" i="13"/>
  <c r="I24" i="13" s="1"/>
  <c r="F24" i="13"/>
  <c r="G24" i="13"/>
  <c r="K24" i="13"/>
  <c r="A25" i="13"/>
  <c r="B25" i="13"/>
  <c r="C25" i="13"/>
  <c r="D25" i="13"/>
  <c r="E25" i="13"/>
  <c r="I25" i="13" s="1"/>
  <c r="F25" i="13"/>
  <c r="G25" i="13"/>
  <c r="K25" i="13"/>
  <c r="A26" i="13"/>
  <c r="B26" i="13"/>
  <c r="C26" i="13"/>
  <c r="D26" i="13"/>
  <c r="E26" i="13"/>
  <c r="F26" i="13"/>
  <c r="G26" i="13"/>
  <c r="K26" i="13"/>
  <c r="A27" i="13"/>
  <c r="B27" i="13"/>
  <c r="C27" i="13"/>
  <c r="D27" i="13"/>
  <c r="E27" i="13"/>
  <c r="F27" i="13"/>
  <c r="G27" i="13"/>
  <c r="K27" i="13"/>
  <c r="A28" i="13"/>
  <c r="B28" i="13"/>
  <c r="C28" i="13"/>
  <c r="D28" i="13"/>
  <c r="E28" i="13"/>
  <c r="F28" i="13"/>
  <c r="G28" i="13"/>
  <c r="I28" i="13"/>
  <c r="K28" i="13"/>
  <c r="A29" i="13"/>
  <c r="B29" i="13"/>
  <c r="C29" i="13"/>
  <c r="J29" i="13" s="1"/>
  <c r="D29" i="13"/>
  <c r="E29" i="13"/>
  <c r="I29" i="13" s="1"/>
  <c r="F29" i="13"/>
  <c r="G29" i="13"/>
  <c r="K29" i="13"/>
  <c r="A30" i="13"/>
  <c r="B30" i="13"/>
  <c r="C30" i="13"/>
  <c r="D30" i="13"/>
  <c r="E30" i="13"/>
  <c r="I30" i="13" s="1"/>
  <c r="F30" i="13"/>
  <c r="G30" i="13"/>
  <c r="K30" i="13"/>
  <c r="A31" i="13"/>
  <c r="B31" i="13"/>
  <c r="C31" i="13"/>
  <c r="D31" i="13"/>
  <c r="E31" i="13"/>
  <c r="I31" i="13" s="1"/>
  <c r="F31" i="13"/>
  <c r="G31" i="13"/>
  <c r="K31" i="13"/>
  <c r="A32" i="13"/>
  <c r="B32" i="13"/>
  <c r="C32" i="13"/>
  <c r="D32" i="13"/>
  <c r="E32" i="13"/>
  <c r="I32" i="13" s="1"/>
  <c r="F32" i="13"/>
  <c r="G32" i="13"/>
  <c r="K32" i="13"/>
  <c r="A35" i="13"/>
  <c r="B35" i="13"/>
  <c r="K35" i="13"/>
  <c r="A36" i="13"/>
  <c r="B36" i="13"/>
  <c r="C36" i="13"/>
  <c r="D36" i="13"/>
  <c r="E36" i="13"/>
  <c r="I36" i="13" s="1"/>
  <c r="F36" i="13"/>
  <c r="G36" i="13"/>
  <c r="K36" i="13"/>
  <c r="A37" i="13"/>
  <c r="B37" i="13"/>
  <c r="C37" i="13"/>
  <c r="D37" i="13"/>
  <c r="E37" i="13"/>
  <c r="G37" i="13"/>
  <c r="K37" i="13"/>
  <c r="A38" i="13"/>
  <c r="B38" i="13"/>
  <c r="C38" i="13"/>
  <c r="D38" i="13"/>
  <c r="E38" i="13"/>
  <c r="G38" i="13"/>
  <c r="K38" i="13"/>
  <c r="A39" i="13"/>
  <c r="B39" i="13"/>
  <c r="C39" i="13"/>
  <c r="D39" i="13"/>
  <c r="E39" i="13"/>
  <c r="I39" i="13" s="1"/>
  <c r="F39" i="13"/>
  <c r="G39" i="13"/>
  <c r="K39" i="13"/>
  <c r="A40" i="13"/>
  <c r="B40" i="13"/>
  <c r="C40" i="13"/>
  <c r="D40" i="13"/>
  <c r="E40" i="13"/>
  <c r="I40" i="13" s="1"/>
  <c r="F40" i="13"/>
  <c r="G40" i="13"/>
  <c r="K40" i="13"/>
  <c r="A41" i="13"/>
  <c r="B41" i="13"/>
  <c r="C41" i="13"/>
  <c r="D41" i="13"/>
  <c r="E41" i="13"/>
  <c r="I41" i="13" s="1"/>
  <c r="F41" i="13"/>
  <c r="G41" i="13"/>
  <c r="K41" i="13"/>
  <c r="F14" i="13"/>
  <c r="F38" i="18"/>
  <c r="E35" i="13" s="1"/>
  <c r="F14" i="18"/>
  <c r="J23" i="13" l="1"/>
  <c r="J36" i="13"/>
  <c r="J21" i="13"/>
  <c r="J27" i="13"/>
  <c r="J16" i="13"/>
  <c r="J15" i="13"/>
  <c r="J40" i="13"/>
  <c r="J26" i="13"/>
  <c r="H25" i="13"/>
  <c r="J38" i="13"/>
  <c r="J31" i="13"/>
  <c r="J19" i="13"/>
  <c r="H17" i="13"/>
  <c r="J37" i="13"/>
  <c r="J28" i="13"/>
  <c r="I22" i="13"/>
  <c r="H22" i="13" s="1"/>
  <c r="J20" i="13"/>
  <c r="J39" i="13"/>
  <c r="J30" i="13"/>
  <c r="I27" i="13"/>
  <c r="H27" i="13" s="1"/>
  <c r="J25" i="13"/>
  <c r="J22" i="13"/>
  <c r="J17" i="13"/>
  <c r="J41" i="13"/>
  <c r="H40" i="13"/>
  <c r="J32" i="13"/>
  <c r="H31" i="13"/>
  <c r="H29" i="13"/>
  <c r="I26" i="13"/>
  <c r="H26" i="13" s="1"/>
  <c r="J24" i="13"/>
  <c r="H23" i="13"/>
  <c r="H21" i="13"/>
  <c r="H19" i="13"/>
  <c r="H39" i="13"/>
  <c r="H30" i="13"/>
  <c r="H36" i="13"/>
  <c r="H41" i="13"/>
  <c r="H32" i="13"/>
  <c r="H28" i="13"/>
  <c r="H24" i="13"/>
  <c r="J18" i="13"/>
  <c r="J14" i="18"/>
  <c r="I28" i="18"/>
  <c r="L28" i="18" s="1"/>
  <c r="I27" i="18"/>
  <c r="L27" i="18" s="1"/>
  <c r="I26" i="18"/>
  <c r="L26" i="18" s="1"/>
  <c r="I25" i="18"/>
  <c r="L25" i="18" s="1"/>
  <c r="I32" i="18"/>
  <c r="L32" i="18" s="1"/>
  <c r="I31" i="18"/>
  <c r="L31" i="18" s="1"/>
  <c r="I30" i="18"/>
  <c r="L30" i="18" s="1"/>
  <c r="I29" i="18"/>
  <c r="L29" i="18" s="1"/>
  <c r="I35" i="18"/>
  <c r="L35" i="18" s="1"/>
  <c r="I33" i="18"/>
  <c r="L33" i="18" s="1"/>
  <c r="I23" i="18"/>
  <c r="L23" i="18" s="1"/>
  <c r="I42" i="18"/>
  <c r="L42" i="18" s="1"/>
  <c r="I22" i="18"/>
  <c r="L22" i="18" s="1"/>
  <c r="F20" i="13"/>
  <c r="I21" i="18"/>
  <c r="L21" i="18" s="1"/>
  <c r="N16" i="18"/>
  <c r="G16" i="18" s="1"/>
  <c r="F15" i="13" s="1"/>
  <c r="F16" i="13"/>
  <c r="F18" i="13"/>
  <c r="N40" i="18"/>
  <c r="F38" i="13"/>
  <c r="J35" i="13" l="1"/>
  <c r="I15" i="13"/>
  <c r="H15" i="13" s="1"/>
  <c r="F37" i="13"/>
  <c r="I37" i="13"/>
  <c r="I38" i="13"/>
  <c r="H38" i="13" s="1"/>
  <c r="I20" i="13"/>
  <c r="H20" i="13" s="1"/>
  <c r="I16" i="13"/>
  <c r="H16" i="13" s="1"/>
  <c r="I18" i="13"/>
  <c r="H18" i="13" s="1"/>
  <c r="L20" i="18"/>
  <c r="I35" i="13" l="1"/>
  <c r="H37" i="13"/>
  <c r="H35" i="13" s="1"/>
  <c r="I16" i="18"/>
  <c r="I17" i="18"/>
  <c r="I18" i="18"/>
  <c r="I19" i="18"/>
  <c r="I40" i="18"/>
  <c r="I41" i="18"/>
  <c r="I43" i="18"/>
  <c r="I24" i="18"/>
  <c r="I36" i="18"/>
  <c r="F44" i="18" l="1"/>
  <c r="I39" i="18"/>
  <c r="L39" i="18" l="1"/>
  <c r="I38" i="18"/>
  <c r="J38" i="18"/>
  <c r="J44" i="18" s="1"/>
  <c r="L40" i="18"/>
  <c r="L19" i="18"/>
  <c r="L18" i="18"/>
  <c r="L17" i="18"/>
  <c r="L36" i="18"/>
  <c r="L24" i="18"/>
  <c r="L43" i="18"/>
  <c r="L41" i="18"/>
  <c r="L16" i="18" l="1"/>
  <c r="Q25" i="19" l="1"/>
  <c r="Q16" i="19"/>
  <c r="A14" i="19"/>
  <c r="B14" i="19"/>
  <c r="C14" i="19"/>
  <c r="D14" i="19"/>
  <c r="E14" i="19"/>
  <c r="F14" i="19"/>
  <c r="H14" i="19"/>
  <c r="J14" i="19"/>
  <c r="K14" i="19"/>
  <c r="M14" i="19"/>
  <c r="N14" i="19"/>
  <c r="R14" i="19"/>
  <c r="S14" i="19"/>
  <c r="A15" i="19"/>
  <c r="B15" i="19"/>
  <c r="C15" i="19"/>
  <c r="D15" i="19"/>
  <c r="E15" i="19"/>
  <c r="F15" i="19"/>
  <c r="H15" i="19"/>
  <c r="J15" i="19"/>
  <c r="K15" i="19"/>
  <c r="M15" i="19"/>
  <c r="N15" i="19"/>
  <c r="R15" i="19"/>
  <c r="S15" i="19"/>
  <c r="A16" i="19"/>
  <c r="B16" i="19"/>
  <c r="C16" i="19"/>
  <c r="D16" i="19"/>
  <c r="E16" i="19"/>
  <c r="F16" i="19"/>
  <c r="G16" i="19"/>
  <c r="H16" i="19"/>
  <c r="J16" i="19"/>
  <c r="K16" i="19"/>
  <c r="M16" i="19"/>
  <c r="N16" i="19"/>
  <c r="R16" i="19"/>
  <c r="S16" i="19"/>
  <c r="A17" i="19"/>
  <c r="B17" i="19"/>
  <c r="C17" i="19"/>
  <c r="D17" i="19"/>
  <c r="E17" i="19"/>
  <c r="F17" i="19"/>
  <c r="H17" i="19"/>
  <c r="J17" i="19"/>
  <c r="K17" i="19"/>
  <c r="M17" i="19"/>
  <c r="N17" i="19"/>
  <c r="R17" i="19"/>
  <c r="S17" i="19"/>
  <c r="A18" i="19"/>
  <c r="B18" i="19"/>
  <c r="C18" i="19"/>
  <c r="D18" i="19"/>
  <c r="E18" i="19"/>
  <c r="F18" i="19"/>
  <c r="H18" i="19"/>
  <c r="J18" i="19"/>
  <c r="K18" i="19"/>
  <c r="M18" i="19"/>
  <c r="N18" i="19"/>
  <c r="R18" i="19"/>
  <c r="S18" i="19"/>
  <c r="A19" i="19"/>
  <c r="B19" i="19"/>
  <c r="C19" i="19"/>
  <c r="D19" i="19"/>
  <c r="E19" i="19"/>
  <c r="F19" i="19"/>
  <c r="H19" i="19"/>
  <c r="J19" i="19"/>
  <c r="K19" i="19"/>
  <c r="M19" i="19"/>
  <c r="N19" i="19"/>
  <c r="R19" i="19"/>
  <c r="S19" i="19"/>
  <c r="A20" i="19"/>
  <c r="B20" i="19"/>
  <c r="C20" i="19"/>
  <c r="D20" i="19"/>
  <c r="E20" i="19"/>
  <c r="F20" i="19"/>
  <c r="H20" i="19"/>
  <c r="J20" i="19"/>
  <c r="K20" i="19"/>
  <c r="M20" i="19"/>
  <c r="N20" i="19"/>
  <c r="R20" i="19"/>
  <c r="S20" i="19"/>
  <c r="A21" i="19"/>
  <c r="B21" i="19"/>
  <c r="C21" i="19"/>
  <c r="D21" i="19"/>
  <c r="E21" i="19"/>
  <c r="F21" i="19"/>
  <c r="H21" i="19"/>
  <c r="J21" i="19"/>
  <c r="K21" i="19"/>
  <c r="M21" i="19"/>
  <c r="N21" i="19"/>
  <c r="R21" i="19"/>
  <c r="S21" i="19"/>
  <c r="A22" i="19"/>
  <c r="B22" i="19"/>
  <c r="C22" i="19"/>
  <c r="D22" i="19"/>
  <c r="E22" i="19"/>
  <c r="F22" i="19"/>
  <c r="H22" i="19"/>
  <c r="J22" i="19"/>
  <c r="K22" i="19"/>
  <c r="M22" i="19"/>
  <c r="N22" i="19"/>
  <c r="R22" i="19"/>
  <c r="S22" i="19"/>
  <c r="A23" i="19"/>
  <c r="B23" i="19"/>
  <c r="C23" i="19"/>
  <c r="D23" i="19"/>
  <c r="E23" i="19"/>
  <c r="F23" i="19"/>
  <c r="H23" i="19"/>
  <c r="J23" i="19"/>
  <c r="K23" i="19"/>
  <c r="M23" i="19"/>
  <c r="N23" i="19"/>
  <c r="R23" i="19"/>
  <c r="S23" i="19"/>
  <c r="A24" i="19"/>
  <c r="B24" i="19"/>
  <c r="C24" i="19"/>
  <c r="D24" i="19"/>
  <c r="E24" i="19"/>
  <c r="F24" i="19"/>
  <c r="G24" i="19"/>
  <c r="H24" i="19"/>
  <c r="J24" i="19"/>
  <c r="K24" i="19"/>
  <c r="M24" i="19"/>
  <c r="N24" i="19"/>
  <c r="R24" i="19"/>
  <c r="S24" i="19"/>
  <c r="A25" i="19"/>
  <c r="B25" i="19"/>
  <c r="C25" i="19"/>
  <c r="D25" i="19"/>
  <c r="E25" i="19"/>
  <c r="F25" i="19"/>
  <c r="G25" i="19"/>
  <c r="H25" i="19"/>
  <c r="J25" i="19"/>
  <c r="K25" i="19"/>
  <c r="M25" i="19"/>
  <c r="N25" i="19"/>
  <c r="R25" i="19"/>
  <c r="S25" i="19"/>
  <c r="A26" i="19"/>
  <c r="B26" i="19"/>
  <c r="C26" i="19"/>
  <c r="D26" i="19"/>
  <c r="E26" i="19"/>
  <c r="F26" i="19"/>
  <c r="G26" i="19"/>
  <c r="H26" i="19"/>
  <c r="J26" i="19"/>
  <c r="K26" i="19"/>
  <c r="M26" i="19"/>
  <c r="N26" i="19"/>
  <c r="R26" i="19"/>
  <c r="S26" i="19"/>
  <c r="A27" i="19"/>
  <c r="B27" i="19"/>
  <c r="C27" i="19"/>
  <c r="D27" i="19"/>
  <c r="E27" i="19"/>
  <c r="F27" i="19"/>
  <c r="H27" i="19"/>
  <c r="J27" i="19"/>
  <c r="K27" i="19"/>
  <c r="M27" i="19"/>
  <c r="N27" i="19"/>
  <c r="R27" i="19"/>
  <c r="S27" i="19"/>
  <c r="A28" i="19"/>
  <c r="B28" i="19"/>
  <c r="C28" i="19"/>
  <c r="D28" i="19"/>
  <c r="E28" i="19"/>
  <c r="F28" i="19"/>
  <c r="G28" i="19"/>
  <c r="H28" i="19"/>
  <c r="J28" i="19"/>
  <c r="K28" i="19"/>
  <c r="M28" i="19"/>
  <c r="N28" i="19"/>
  <c r="R28" i="19"/>
  <c r="S28" i="19"/>
  <c r="A29" i="19"/>
  <c r="B29" i="19"/>
  <c r="C29" i="19"/>
  <c r="D29" i="19"/>
  <c r="E29" i="19"/>
  <c r="F29" i="19"/>
  <c r="H29" i="19"/>
  <c r="J29" i="19"/>
  <c r="K29" i="19"/>
  <c r="M29" i="19"/>
  <c r="N29" i="19"/>
  <c r="R29" i="19"/>
  <c r="S29" i="19"/>
  <c r="A30" i="19"/>
  <c r="B30" i="19"/>
  <c r="C30" i="19"/>
  <c r="D30" i="19"/>
  <c r="E30" i="19"/>
  <c r="F30" i="19"/>
  <c r="H30" i="19"/>
  <c r="J30" i="19"/>
  <c r="K30" i="19"/>
  <c r="M30" i="19"/>
  <c r="N30" i="19"/>
  <c r="O30" i="19"/>
  <c r="R30" i="19"/>
  <c r="S30" i="19"/>
  <c r="A31" i="19"/>
  <c r="B31" i="19"/>
  <c r="C31" i="19"/>
  <c r="D31" i="19"/>
  <c r="E31" i="19"/>
  <c r="F31" i="19"/>
  <c r="H31" i="19"/>
  <c r="J31" i="19"/>
  <c r="K31" i="19"/>
  <c r="M31" i="19"/>
  <c r="N31" i="19"/>
  <c r="R31" i="19"/>
  <c r="S31" i="19"/>
  <c r="A32" i="19"/>
  <c r="B32" i="19"/>
  <c r="C32" i="19"/>
  <c r="D32" i="19"/>
  <c r="E32" i="19"/>
  <c r="F32" i="19"/>
  <c r="H32" i="19"/>
  <c r="J32" i="19"/>
  <c r="K32" i="19"/>
  <c r="M32" i="19"/>
  <c r="N32" i="19"/>
  <c r="R32" i="19"/>
  <c r="S32" i="19"/>
  <c r="A33" i="19"/>
  <c r="B33" i="19"/>
  <c r="C33" i="19"/>
  <c r="D33" i="19"/>
  <c r="E33" i="19"/>
  <c r="F33" i="19"/>
  <c r="H33" i="19"/>
  <c r="J33" i="19"/>
  <c r="K33" i="19"/>
  <c r="M33" i="19"/>
  <c r="N33" i="19"/>
  <c r="R33" i="19"/>
  <c r="S33" i="19"/>
  <c r="A34" i="19"/>
  <c r="B34" i="19"/>
  <c r="C34" i="19"/>
  <c r="D34" i="19"/>
  <c r="E34" i="19"/>
  <c r="F34" i="19"/>
  <c r="H34" i="19"/>
  <c r="J34" i="19"/>
  <c r="K34" i="19"/>
  <c r="M34" i="19"/>
  <c r="N34" i="19"/>
  <c r="R34" i="19"/>
  <c r="S34" i="19"/>
  <c r="A35" i="19"/>
  <c r="B35" i="19"/>
  <c r="C35" i="19"/>
  <c r="D35" i="19"/>
  <c r="E35" i="19"/>
  <c r="F35" i="19"/>
  <c r="H35" i="19"/>
  <c r="J35" i="19"/>
  <c r="K35" i="19"/>
  <c r="M35" i="19"/>
  <c r="N35" i="19"/>
  <c r="R35" i="19"/>
  <c r="S35" i="19"/>
  <c r="A36" i="19"/>
  <c r="B36" i="19"/>
  <c r="C36" i="19"/>
  <c r="D36" i="19"/>
  <c r="E36" i="19"/>
  <c r="F36" i="19"/>
  <c r="H36" i="19"/>
  <c r="J36" i="19"/>
  <c r="K36" i="19"/>
  <c r="M36" i="19"/>
  <c r="N36" i="19"/>
  <c r="R36" i="19"/>
  <c r="S36" i="19"/>
  <c r="A37" i="19"/>
  <c r="B37" i="19"/>
  <c r="C37" i="19"/>
  <c r="D37" i="19"/>
  <c r="E37" i="19"/>
  <c r="F37" i="19"/>
  <c r="G37" i="19"/>
  <c r="H37" i="19"/>
  <c r="J37" i="19"/>
  <c r="K37" i="19"/>
  <c r="M37" i="19"/>
  <c r="N37" i="19"/>
  <c r="R37" i="19"/>
  <c r="S37" i="19"/>
  <c r="A38" i="19"/>
  <c r="B38" i="19"/>
  <c r="C38" i="19"/>
  <c r="D38" i="19"/>
  <c r="E38" i="19"/>
  <c r="F38" i="19"/>
  <c r="H38" i="19"/>
  <c r="J38" i="19"/>
  <c r="K38" i="19"/>
  <c r="M38" i="19"/>
  <c r="N38" i="19"/>
  <c r="R38" i="19"/>
  <c r="S38" i="19"/>
  <c r="A39" i="19"/>
  <c r="B39" i="19"/>
  <c r="C39" i="19"/>
  <c r="D39" i="19"/>
  <c r="E39" i="19"/>
  <c r="F39" i="19"/>
  <c r="G39" i="19"/>
  <c r="H39" i="19"/>
  <c r="J39" i="19"/>
  <c r="K39" i="19"/>
  <c r="M39" i="19"/>
  <c r="N39" i="19"/>
  <c r="R39" i="19"/>
  <c r="S39" i="19"/>
  <c r="A40" i="19"/>
  <c r="B40" i="19"/>
  <c r="C40" i="19"/>
  <c r="D40" i="19"/>
  <c r="E40" i="19"/>
  <c r="F40" i="19"/>
  <c r="G40" i="19"/>
  <c r="H40" i="19"/>
  <c r="J40" i="19"/>
  <c r="K40" i="19"/>
  <c r="M40" i="19"/>
  <c r="N40" i="19"/>
  <c r="R40" i="19"/>
  <c r="S40" i="19"/>
  <c r="A41" i="19"/>
  <c r="B41" i="19"/>
  <c r="C41" i="19"/>
  <c r="D41" i="19"/>
  <c r="E41" i="19"/>
  <c r="G41" i="19"/>
  <c r="H41" i="19"/>
  <c r="K41" i="19"/>
  <c r="L41" i="19"/>
  <c r="M41" i="19"/>
  <c r="N41" i="19"/>
  <c r="P41" i="19"/>
  <c r="Q41" i="19"/>
  <c r="R41" i="19"/>
  <c r="S41" i="19"/>
  <c r="A42" i="19"/>
  <c r="B42" i="19"/>
  <c r="C42" i="19"/>
  <c r="F42" i="19"/>
  <c r="G42" i="19"/>
  <c r="H42" i="19"/>
  <c r="I42" i="19"/>
  <c r="J42" i="19"/>
  <c r="K42" i="19"/>
  <c r="M42" i="19"/>
  <c r="N42" i="19"/>
  <c r="O42" i="19"/>
  <c r="P42" i="19"/>
  <c r="Q42" i="19"/>
  <c r="R42" i="19"/>
  <c r="S42" i="19"/>
  <c r="A43" i="19"/>
  <c r="B43" i="19"/>
  <c r="C43" i="19"/>
  <c r="D43" i="19"/>
  <c r="E43" i="19"/>
  <c r="F43" i="19"/>
  <c r="G43" i="19"/>
  <c r="H43" i="19"/>
  <c r="I43" i="19"/>
  <c r="J43" i="19"/>
  <c r="K43" i="19"/>
  <c r="M43" i="19"/>
  <c r="N43" i="19"/>
  <c r="O43" i="19"/>
  <c r="P43" i="19"/>
  <c r="Q43" i="19"/>
  <c r="R43" i="19"/>
  <c r="S43" i="19"/>
  <c r="A44" i="19"/>
  <c r="B44" i="19"/>
  <c r="C44" i="19"/>
  <c r="D44" i="19"/>
  <c r="E44" i="19"/>
  <c r="F44" i="19"/>
  <c r="G44" i="19"/>
  <c r="H44" i="19"/>
  <c r="I44" i="19"/>
  <c r="J44" i="19"/>
  <c r="K44" i="19"/>
  <c r="L44" i="19"/>
  <c r="M44" i="19"/>
  <c r="N44" i="19"/>
  <c r="O44" i="19"/>
  <c r="P44" i="19"/>
  <c r="Q44" i="19"/>
  <c r="R44" i="19"/>
  <c r="S44" i="19"/>
  <c r="A45" i="19"/>
  <c r="B45" i="19"/>
  <c r="C45" i="19"/>
  <c r="D45" i="19"/>
  <c r="E45" i="19"/>
  <c r="F45" i="19"/>
  <c r="G45" i="19"/>
  <c r="H45" i="19"/>
  <c r="I45" i="19"/>
  <c r="J45" i="19"/>
  <c r="K45" i="19"/>
  <c r="L45" i="19"/>
  <c r="M45" i="19"/>
  <c r="N45" i="19"/>
  <c r="O45" i="19"/>
  <c r="P45" i="19"/>
  <c r="Q45" i="19"/>
  <c r="R45" i="19"/>
  <c r="S45" i="19"/>
  <c r="A46" i="19"/>
  <c r="B46" i="19"/>
  <c r="C46" i="19"/>
  <c r="D46" i="19"/>
  <c r="E46" i="19"/>
  <c r="F46" i="19"/>
  <c r="G46" i="19"/>
  <c r="H46" i="19"/>
  <c r="I46" i="19"/>
  <c r="J46" i="19"/>
  <c r="K46" i="19"/>
  <c r="M46" i="19"/>
  <c r="N46" i="19"/>
  <c r="O46" i="19"/>
  <c r="P46" i="19"/>
  <c r="Q46" i="19"/>
  <c r="R46" i="19"/>
  <c r="S46" i="19"/>
  <c r="A47" i="19"/>
  <c r="B47" i="19"/>
  <c r="C47" i="19"/>
  <c r="D47" i="19"/>
  <c r="E47" i="19"/>
  <c r="F47" i="19"/>
  <c r="G47" i="19"/>
  <c r="H47" i="19"/>
  <c r="I47" i="19"/>
  <c r="J47" i="19"/>
  <c r="K47" i="19"/>
  <c r="L47" i="19"/>
  <c r="M47" i="19"/>
  <c r="N47" i="19"/>
  <c r="O47" i="19"/>
  <c r="P47" i="19"/>
  <c r="Q47" i="19"/>
  <c r="R47" i="19"/>
  <c r="S47" i="19"/>
  <c r="A48" i="19"/>
  <c r="B48" i="19"/>
  <c r="C48" i="19"/>
  <c r="D48" i="19"/>
  <c r="E48" i="19"/>
  <c r="F48" i="19"/>
  <c r="G48" i="19"/>
  <c r="H48" i="19"/>
  <c r="I48" i="19"/>
  <c r="J48" i="19"/>
  <c r="K48" i="19"/>
  <c r="L48" i="19"/>
  <c r="M48" i="19"/>
  <c r="N48" i="19"/>
  <c r="O48" i="19"/>
  <c r="P48" i="19"/>
  <c r="Q48" i="19"/>
  <c r="R48" i="19"/>
  <c r="S48" i="19"/>
  <c r="A49" i="19"/>
  <c r="B49" i="19"/>
  <c r="C49" i="19"/>
  <c r="D49" i="19"/>
  <c r="E49" i="19"/>
  <c r="F49" i="19"/>
  <c r="G49" i="19"/>
  <c r="H49" i="19"/>
  <c r="I49" i="19"/>
  <c r="J49" i="19"/>
  <c r="K49" i="19"/>
  <c r="L49" i="19"/>
  <c r="M49" i="19"/>
  <c r="N49" i="19"/>
  <c r="O49" i="19"/>
  <c r="P49" i="19"/>
  <c r="Q49" i="19"/>
  <c r="R49" i="19"/>
  <c r="S49" i="19"/>
  <c r="A50" i="19"/>
  <c r="B50" i="19"/>
  <c r="C50" i="19"/>
  <c r="D50" i="19"/>
  <c r="E50" i="19"/>
  <c r="F50" i="19"/>
  <c r="G50" i="19"/>
  <c r="H50" i="19"/>
  <c r="I50" i="19"/>
  <c r="J50" i="19"/>
  <c r="K50" i="19"/>
  <c r="L50" i="19"/>
  <c r="M50" i="19"/>
  <c r="N50" i="19"/>
  <c r="O50" i="19"/>
  <c r="P50" i="19"/>
  <c r="Q50" i="19"/>
  <c r="R50" i="19"/>
  <c r="S50" i="19"/>
  <c r="A51" i="19"/>
  <c r="B51" i="19"/>
  <c r="C51" i="19"/>
  <c r="D51" i="19"/>
  <c r="E51" i="19"/>
  <c r="F51" i="19"/>
  <c r="G51" i="19"/>
  <c r="H51" i="19"/>
  <c r="I51" i="19"/>
  <c r="J51" i="19"/>
  <c r="K51" i="19"/>
  <c r="L51" i="19"/>
  <c r="M51" i="19"/>
  <c r="N51" i="19"/>
  <c r="O51" i="19"/>
  <c r="P51" i="19"/>
  <c r="Q51" i="19"/>
  <c r="R51" i="19"/>
  <c r="S51" i="19"/>
  <c r="A52" i="19"/>
  <c r="B52" i="19"/>
  <c r="C52" i="19"/>
  <c r="D52" i="19"/>
  <c r="E52" i="19"/>
  <c r="F52" i="19"/>
  <c r="G52" i="19"/>
  <c r="H52" i="19"/>
  <c r="I52" i="19"/>
  <c r="J52" i="19"/>
  <c r="K52" i="19"/>
  <c r="L52" i="19"/>
  <c r="M52" i="19"/>
  <c r="N52" i="19"/>
  <c r="O52" i="19"/>
  <c r="P52" i="19"/>
  <c r="Q52" i="19"/>
  <c r="R52" i="19"/>
  <c r="S52" i="19"/>
  <c r="A53" i="19"/>
  <c r="B53" i="19"/>
  <c r="C53" i="19"/>
  <c r="D53" i="19"/>
  <c r="E53" i="19"/>
  <c r="F53" i="19"/>
  <c r="G53" i="19"/>
  <c r="H53" i="19"/>
  <c r="I53" i="19"/>
  <c r="J53" i="19"/>
  <c r="K53" i="19"/>
  <c r="L53" i="19"/>
  <c r="M53" i="19"/>
  <c r="N53" i="19"/>
  <c r="O53" i="19"/>
  <c r="P53" i="19"/>
  <c r="Q53" i="19"/>
  <c r="R53" i="19"/>
  <c r="S53" i="19"/>
  <c r="A54" i="19"/>
  <c r="B54" i="19"/>
  <c r="C54" i="19"/>
  <c r="D54" i="19"/>
  <c r="E54" i="19"/>
  <c r="F54" i="19"/>
  <c r="G54" i="19"/>
  <c r="H54" i="19"/>
  <c r="I54" i="19"/>
  <c r="J54" i="19"/>
  <c r="K54" i="19"/>
  <c r="L54" i="19"/>
  <c r="M54" i="19"/>
  <c r="N54" i="19"/>
  <c r="O54" i="19"/>
  <c r="P54" i="19"/>
  <c r="Q54" i="19"/>
  <c r="R54" i="19"/>
  <c r="S54" i="19"/>
  <c r="A55" i="19"/>
  <c r="B55" i="19"/>
  <c r="C55" i="19"/>
  <c r="D55" i="19"/>
  <c r="E55" i="19"/>
  <c r="F55" i="19"/>
  <c r="G55" i="19"/>
  <c r="H55" i="19"/>
  <c r="I55" i="19"/>
  <c r="J55" i="19"/>
  <c r="K55" i="19"/>
  <c r="L55" i="19"/>
  <c r="M55" i="19"/>
  <c r="N55" i="19"/>
  <c r="O55" i="19"/>
  <c r="P55" i="19"/>
  <c r="Q55" i="19"/>
  <c r="R55" i="19"/>
  <c r="S55" i="19"/>
  <c r="A56" i="19"/>
  <c r="B56" i="19"/>
  <c r="C56" i="19"/>
  <c r="D56" i="19"/>
  <c r="E56" i="19"/>
  <c r="F56" i="19"/>
  <c r="G56" i="19"/>
  <c r="H56" i="19"/>
  <c r="I56" i="19"/>
  <c r="J56" i="19"/>
  <c r="K56" i="19"/>
  <c r="L56" i="19"/>
  <c r="M56" i="19"/>
  <c r="N56" i="19"/>
  <c r="O56" i="19"/>
  <c r="P56" i="19"/>
  <c r="Q56" i="19"/>
  <c r="R56" i="19"/>
  <c r="S56" i="19"/>
  <c r="A57" i="19"/>
  <c r="B57" i="19"/>
  <c r="C57" i="19"/>
  <c r="D57" i="19"/>
  <c r="E57" i="19"/>
  <c r="F57" i="19"/>
  <c r="G57" i="19"/>
  <c r="H57" i="19"/>
  <c r="I57" i="19"/>
  <c r="J57" i="19"/>
  <c r="K57" i="19"/>
  <c r="L57" i="19"/>
  <c r="M57" i="19"/>
  <c r="N57" i="19"/>
  <c r="O57" i="19"/>
  <c r="P57" i="19"/>
  <c r="Q57" i="19"/>
  <c r="R57" i="19"/>
  <c r="S57" i="19"/>
  <c r="A58" i="19"/>
  <c r="B58" i="19"/>
  <c r="C58" i="19"/>
  <c r="D58" i="19"/>
  <c r="E58" i="19"/>
  <c r="F58" i="19"/>
  <c r="G58" i="19"/>
  <c r="H58" i="19"/>
  <c r="I58" i="19"/>
  <c r="J58" i="19"/>
  <c r="K58" i="19"/>
  <c r="L58" i="19"/>
  <c r="M58" i="19"/>
  <c r="N58" i="19"/>
  <c r="O58" i="19"/>
  <c r="P58" i="19"/>
  <c r="Q58" i="19"/>
  <c r="R58" i="19"/>
  <c r="S58" i="19"/>
  <c r="A59" i="19"/>
  <c r="B59" i="19"/>
  <c r="C59" i="19"/>
  <c r="D59" i="19"/>
  <c r="E59" i="19"/>
  <c r="F59" i="19"/>
  <c r="G59" i="19"/>
  <c r="H59" i="19"/>
  <c r="I59" i="19"/>
  <c r="J59" i="19"/>
  <c r="K59" i="19"/>
  <c r="L59" i="19"/>
  <c r="M59" i="19"/>
  <c r="N59" i="19"/>
  <c r="O59" i="19"/>
  <c r="P59" i="19"/>
  <c r="Q59" i="19"/>
  <c r="R59" i="19"/>
  <c r="S59" i="19"/>
  <c r="A60" i="19"/>
  <c r="B60" i="19"/>
  <c r="C60" i="19"/>
  <c r="D60" i="19"/>
  <c r="E60" i="19"/>
  <c r="F60" i="19"/>
  <c r="G60" i="19"/>
  <c r="H60" i="19"/>
  <c r="I60" i="19"/>
  <c r="J60" i="19"/>
  <c r="K60" i="19"/>
  <c r="L60" i="19"/>
  <c r="M60" i="19"/>
  <c r="N60" i="19"/>
  <c r="O60" i="19"/>
  <c r="P60" i="19"/>
  <c r="Q60" i="19"/>
  <c r="R60" i="19"/>
  <c r="S60" i="19"/>
  <c r="A61" i="19"/>
  <c r="B61" i="19"/>
  <c r="C61" i="19"/>
  <c r="D61" i="19"/>
  <c r="E61" i="19"/>
  <c r="F61" i="19"/>
  <c r="G61" i="19"/>
  <c r="H61" i="19"/>
  <c r="I61" i="19"/>
  <c r="J61" i="19"/>
  <c r="K61" i="19"/>
  <c r="L61" i="19"/>
  <c r="M61" i="19"/>
  <c r="N61" i="19"/>
  <c r="O61" i="19"/>
  <c r="P61" i="19"/>
  <c r="Q61" i="19"/>
  <c r="R61" i="19"/>
  <c r="S61" i="19"/>
  <c r="A62" i="19"/>
  <c r="B62" i="19"/>
  <c r="C62" i="19"/>
  <c r="D62" i="19"/>
  <c r="E62" i="19"/>
  <c r="F62" i="19"/>
  <c r="G62" i="19"/>
  <c r="H62" i="19"/>
  <c r="I62" i="19"/>
  <c r="J62" i="19"/>
  <c r="K62" i="19"/>
  <c r="L62" i="19"/>
  <c r="M62" i="19"/>
  <c r="N62" i="19"/>
  <c r="O62" i="19"/>
  <c r="P62" i="19"/>
  <c r="Q62" i="19"/>
  <c r="R62" i="19"/>
  <c r="S62" i="19"/>
  <c r="A63" i="19"/>
  <c r="B63" i="19"/>
  <c r="C63" i="19"/>
  <c r="D63" i="19"/>
  <c r="E63" i="19"/>
  <c r="F63" i="19"/>
  <c r="G63" i="19"/>
  <c r="H63" i="19"/>
  <c r="I63" i="19"/>
  <c r="J63" i="19"/>
  <c r="K63" i="19"/>
  <c r="L63" i="19"/>
  <c r="M63" i="19"/>
  <c r="N63" i="19"/>
  <c r="O63" i="19"/>
  <c r="P63" i="19"/>
  <c r="Q63" i="19"/>
  <c r="R63" i="19"/>
  <c r="S63" i="19"/>
  <c r="A64" i="19"/>
  <c r="B64" i="19"/>
  <c r="C64" i="19"/>
  <c r="D64" i="19"/>
  <c r="E64" i="19"/>
  <c r="F64" i="19"/>
  <c r="G64" i="19"/>
  <c r="H64" i="19"/>
  <c r="I64" i="19"/>
  <c r="J64" i="19"/>
  <c r="K64" i="19"/>
  <c r="L64" i="19"/>
  <c r="M64" i="19"/>
  <c r="N64" i="19"/>
  <c r="O64" i="19"/>
  <c r="P64" i="19"/>
  <c r="Q64" i="19"/>
  <c r="R64" i="19"/>
  <c r="S64" i="19"/>
  <c r="A65" i="19"/>
  <c r="B65" i="19"/>
  <c r="C65" i="19"/>
  <c r="D65" i="19"/>
  <c r="E65" i="19"/>
  <c r="F65" i="19"/>
  <c r="G65" i="19"/>
  <c r="H65" i="19"/>
  <c r="I65" i="19"/>
  <c r="J65" i="19"/>
  <c r="K65" i="19"/>
  <c r="L65" i="19"/>
  <c r="M65" i="19"/>
  <c r="N65" i="19"/>
  <c r="O65" i="19"/>
  <c r="P65" i="19"/>
  <c r="Q65" i="19"/>
  <c r="R65" i="19"/>
  <c r="S65" i="19"/>
  <c r="A66" i="19"/>
  <c r="B66" i="19"/>
  <c r="C66" i="19"/>
  <c r="D66" i="19"/>
  <c r="E66" i="19"/>
  <c r="F66" i="19"/>
  <c r="G66" i="19"/>
  <c r="H66" i="19"/>
  <c r="I66" i="19"/>
  <c r="J66" i="19"/>
  <c r="K66" i="19"/>
  <c r="L66" i="19"/>
  <c r="M66" i="19"/>
  <c r="N66" i="19"/>
  <c r="O66" i="19"/>
  <c r="P66" i="19"/>
  <c r="Q66" i="19"/>
  <c r="R66" i="19"/>
  <c r="S66" i="19"/>
  <c r="A67" i="19"/>
  <c r="B67" i="19"/>
  <c r="C67" i="19"/>
  <c r="D67" i="19"/>
  <c r="E67" i="19"/>
  <c r="F67" i="19"/>
  <c r="G67" i="19"/>
  <c r="H67" i="19"/>
  <c r="I67" i="19"/>
  <c r="J67" i="19"/>
  <c r="K67" i="19"/>
  <c r="L67" i="19"/>
  <c r="M67" i="19"/>
  <c r="N67" i="19"/>
  <c r="O67" i="19"/>
  <c r="P67" i="19"/>
  <c r="Q67" i="19"/>
  <c r="R67" i="19"/>
  <c r="S67" i="19"/>
  <c r="A68" i="19"/>
  <c r="B68" i="19"/>
  <c r="C68" i="19"/>
  <c r="D68" i="19"/>
  <c r="E68" i="19"/>
  <c r="F68" i="19"/>
  <c r="G68" i="19"/>
  <c r="H68" i="19"/>
  <c r="I68" i="19"/>
  <c r="J68" i="19"/>
  <c r="K68" i="19"/>
  <c r="L68" i="19"/>
  <c r="M68" i="19"/>
  <c r="N68" i="19"/>
  <c r="O68" i="19"/>
  <c r="P68" i="19"/>
  <c r="Q68" i="19"/>
  <c r="R68" i="19"/>
  <c r="S68" i="19"/>
  <c r="A69" i="19"/>
  <c r="B69" i="19"/>
  <c r="C69" i="19"/>
  <c r="D69" i="19"/>
  <c r="E69" i="19"/>
  <c r="F69" i="19"/>
  <c r="G69" i="19"/>
  <c r="H69" i="19"/>
  <c r="I69" i="19"/>
  <c r="J69" i="19"/>
  <c r="K69" i="19"/>
  <c r="L69" i="19"/>
  <c r="M69" i="19"/>
  <c r="N69" i="19"/>
  <c r="O69" i="19"/>
  <c r="P69" i="19"/>
  <c r="Q69" i="19"/>
  <c r="R69" i="19"/>
  <c r="S69" i="19"/>
  <c r="A70" i="19"/>
  <c r="B70" i="19"/>
  <c r="C70" i="19"/>
  <c r="D70" i="19"/>
  <c r="E70" i="19"/>
  <c r="F70" i="19"/>
  <c r="G70" i="19"/>
  <c r="H70" i="19"/>
  <c r="I70" i="19"/>
  <c r="J70" i="19"/>
  <c r="K70" i="19"/>
  <c r="L70" i="19"/>
  <c r="M70" i="19"/>
  <c r="N70" i="19"/>
  <c r="O70" i="19"/>
  <c r="P70" i="19"/>
  <c r="Q70" i="19"/>
  <c r="R70" i="19"/>
  <c r="S70" i="19"/>
  <c r="A71" i="19"/>
  <c r="B71" i="19"/>
  <c r="C71" i="19"/>
  <c r="D71" i="19"/>
  <c r="E71" i="19"/>
  <c r="F71" i="19"/>
  <c r="G71" i="19"/>
  <c r="H71" i="19"/>
  <c r="I71" i="19"/>
  <c r="J71" i="19"/>
  <c r="K71" i="19"/>
  <c r="L71" i="19"/>
  <c r="M71" i="19"/>
  <c r="N71" i="19"/>
  <c r="O71" i="19"/>
  <c r="P71" i="19"/>
  <c r="Q71" i="19"/>
  <c r="R71" i="19"/>
  <c r="S71" i="19"/>
  <c r="A72" i="19"/>
  <c r="B72" i="19"/>
  <c r="C72" i="19"/>
  <c r="D72" i="19"/>
  <c r="E72" i="19"/>
  <c r="F72" i="19"/>
  <c r="G72" i="19"/>
  <c r="H72" i="19"/>
  <c r="I72" i="19"/>
  <c r="J72" i="19"/>
  <c r="K72" i="19"/>
  <c r="L72" i="19"/>
  <c r="M72" i="19"/>
  <c r="N72" i="19"/>
  <c r="O72" i="19"/>
  <c r="P72" i="19"/>
  <c r="Q72" i="19"/>
  <c r="R72" i="19"/>
  <c r="S72" i="19"/>
  <c r="A73" i="19"/>
  <c r="B73" i="19"/>
  <c r="C73" i="19"/>
  <c r="D73" i="19"/>
  <c r="E73" i="19"/>
  <c r="F73" i="19"/>
  <c r="G73" i="19"/>
  <c r="H73" i="19"/>
  <c r="I73" i="19"/>
  <c r="J73" i="19"/>
  <c r="K73" i="19"/>
  <c r="L73" i="19"/>
  <c r="M73" i="19"/>
  <c r="N73" i="19"/>
  <c r="O73" i="19"/>
  <c r="P73" i="19"/>
  <c r="Q73" i="19"/>
  <c r="R73" i="19"/>
  <c r="S73" i="19"/>
  <c r="A74" i="19"/>
  <c r="B74" i="19"/>
  <c r="C74" i="19"/>
  <c r="D74" i="19"/>
  <c r="E74" i="19"/>
  <c r="F74" i="19"/>
  <c r="G74" i="19"/>
  <c r="H74" i="19"/>
  <c r="I74" i="19"/>
  <c r="J74" i="19"/>
  <c r="K74" i="19"/>
  <c r="L74" i="19"/>
  <c r="M74" i="19"/>
  <c r="N74" i="19"/>
  <c r="O74" i="19"/>
  <c r="P74" i="19"/>
  <c r="Q74" i="19"/>
  <c r="R74" i="19"/>
  <c r="S74" i="19"/>
  <c r="A75" i="19"/>
  <c r="B75" i="19"/>
  <c r="C75" i="19"/>
  <c r="D75" i="19"/>
  <c r="E75" i="19"/>
  <c r="F75" i="19"/>
  <c r="G75" i="19"/>
  <c r="H75" i="19"/>
  <c r="I75" i="19"/>
  <c r="J75" i="19"/>
  <c r="K75" i="19"/>
  <c r="L75" i="19"/>
  <c r="M75" i="19"/>
  <c r="N75" i="19"/>
  <c r="O75" i="19"/>
  <c r="P75" i="19"/>
  <c r="Q75" i="19"/>
  <c r="R75" i="19"/>
  <c r="S75" i="19"/>
  <c r="A76" i="19"/>
  <c r="B76" i="19"/>
  <c r="C76" i="19"/>
  <c r="D76" i="19"/>
  <c r="E76" i="19"/>
  <c r="F76" i="19"/>
  <c r="G76" i="19"/>
  <c r="H76" i="19"/>
  <c r="I76" i="19"/>
  <c r="J76" i="19"/>
  <c r="K76" i="19"/>
  <c r="L76" i="19"/>
  <c r="M76" i="19"/>
  <c r="N76" i="19"/>
  <c r="O76" i="19"/>
  <c r="P76" i="19"/>
  <c r="Q76" i="19"/>
  <c r="R76" i="19"/>
  <c r="S76" i="19"/>
  <c r="A77" i="19"/>
  <c r="B77" i="19"/>
  <c r="C77" i="19"/>
  <c r="D77" i="19"/>
  <c r="E77" i="19"/>
  <c r="F77" i="19"/>
  <c r="G77" i="19"/>
  <c r="H77" i="19"/>
  <c r="I77" i="19"/>
  <c r="J77" i="19"/>
  <c r="K77" i="19"/>
  <c r="L77" i="19"/>
  <c r="M77" i="19"/>
  <c r="N77" i="19"/>
  <c r="O77" i="19"/>
  <c r="P77" i="19"/>
  <c r="Q77" i="19"/>
  <c r="R77" i="19"/>
  <c r="S77" i="19"/>
  <c r="A78" i="19"/>
  <c r="B78" i="19"/>
  <c r="C78" i="19"/>
  <c r="D78" i="19"/>
  <c r="E78" i="19"/>
  <c r="F78" i="19"/>
  <c r="G78" i="19"/>
  <c r="H78" i="19"/>
  <c r="I78" i="19"/>
  <c r="J78" i="19"/>
  <c r="K78" i="19"/>
  <c r="L78" i="19"/>
  <c r="M78" i="19"/>
  <c r="N78" i="19"/>
  <c r="O78" i="19"/>
  <c r="P78" i="19"/>
  <c r="Q78" i="19"/>
  <c r="R78" i="19"/>
  <c r="S78" i="19"/>
  <c r="A79" i="19"/>
  <c r="B79" i="19"/>
  <c r="C79" i="19"/>
  <c r="D79" i="19"/>
  <c r="E79" i="19"/>
  <c r="F79" i="19"/>
  <c r="G79" i="19"/>
  <c r="H79" i="19"/>
  <c r="I79" i="19"/>
  <c r="J79" i="19"/>
  <c r="K79" i="19"/>
  <c r="L79" i="19"/>
  <c r="M79" i="19"/>
  <c r="N79" i="19"/>
  <c r="O79" i="19"/>
  <c r="P79" i="19"/>
  <c r="Q79" i="19"/>
  <c r="R79" i="19"/>
  <c r="S79" i="19"/>
  <c r="Q21" i="19"/>
  <c r="Q24" i="19"/>
  <c r="Q26" i="19"/>
  <c r="Q33" i="19"/>
  <c r="Q37" i="19"/>
  <c r="Q39" i="19"/>
  <c r="Q40" i="19"/>
  <c r="E42" i="19"/>
  <c r="D42" i="19"/>
  <c r="G17" i="19"/>
  <c r="G18" i="19"/>
  <c r="G20" i="19"/>
  <c r="G21" i="19"/>
  <c r="G27" i="19"/>
  <c r="G32" i="19"/>
  <c r="G33" i="19"/>
  <c r="G36" i="19"/>
  <c r="L15" i="19"/>
  <c r="L16" i="19"/>
  <c r="L17" i="19"/>
  <c r="L18" i="19"/>
  <c r="L19" i="19"/>
  <c r="L20" i="19"/>
  <c r="L21" i="19"/>
  <c r="L22" i="19"/>
  <c r="L23" i="19"/>
  <c r="L24" i="19"/>
  <c r="L25" i="19"/>
  <c r="L26" i="19"/>
  <c r="L27" i="19"/>
  <c r="L28" i="19"/>
  <c r="L29" i="19"/>
  <c r="L30" i="19"/>
  <c r="L31" i="19"/>
  <c r="L32" i="19"/>
  <c r="L33" i="19"/>
  <c r="L34" i="19"/>
  <c r="L35" i="19"/>
  <c r="L36" i="19"/>
  <c r="L37" i="19"/>
  <c r="L38" i="19"/>
  <c r="L39" i="19"/>
  <c r="L40" i="19"/>
  <c r="G15" i="19" l="1"/>
  <c r="P16" i="19"/>
  <c r="G30" i="19"/>
  <c r="L42" i="19"/>
  <c r="P26" i="19"/>
  <c r="O36" i="19"/>
  <c r="O18" i="19"/>
  <c r="O33" i="19"/>
  <c r="G34" i="19"/>
  <c r="I23" i="19"/>
  <c r="O21" i="19"/>
  <c r="I20" i="19"/>
  <c r="G31" i="19"/>
  <c r="G23" i="19"/>
  <c r="G19" i="19"/>
  <c r="G22" i="19"/>
  <c r="O39" i="19"/>
  <c r="O15" i="19"/>
  <c r="O27" i="19"/>
  <c r="O24" i="19"/>
  <c r="I38" i="19"/>
  <c r="I35" i="19"/>
  <c r="I32" i="19"/>
  <c r="I29" i="19"/>
  <c r="I26" i="19"/>
  <c r="I17" i="19"/>
  <c r="Q30" i="19"/>
  <c r="Q27" i="19"/>
  <c r="O40" i="19"/>
  <c r="G38" i="19"/>
  <c r="O37" i="19"/>
  <c r="G35" i="19"/>
  <c r="O34" i="19"/>
  <c r="O31" i="19"/>
  <c r="G29" i="19"/>
  <c r="O28" i="19"/>
  <c r="O25" i="19"/>
  <c r="O22" i="19"/>
  <c r="O19" i="19"/>
  <c r="O16" i="19"/>
  <c r="Q34" i="19"/>
  <c r="I39" i="19"/>
  <c r="I36" i="19"/>
  <c r="I33" i="19"/>
  <c r="I30" i="19"/>
  <c r="I27" i="19"/>
  <c r="I24" i="19"/>
  <c r="I21" i="19"/>
  <c r="I18" i="19"/>
  <c r="I15" i="19"/>
  <c r="Q28" i="19"/>
  <c r="Q18" i="19"/>
  <c r="Q15" i="19"/>
  <c r="Q38" i="19"/>
  <c r="O38" i="19"/>
  <c r="O35" i="19"/>
  <c r="O32" i="19"/>
  <c r="O29" i="19"/>
  <c r="O26" i="19"/>
  <c r="O23" i="19"/>
  <c r="O20" i="19"/>
  <c r="O17" i="19"/>
  <c r="Q22" i="19"/>
  <c r="I40" i="19"/>
  <c r="I37" i="19"/>
  <c r="I34" i="19"/>
  <c r="I31" i="19"/>
  <c r="I28" i="19"/>
  <c r="I25" i="19"/>
  <c r="I22" i="19"/>
  <c r="I19" i="19"/>
  <c r="I16" i="19"/>
  <c r="P18" i="19"/>
  <c r="P25" i="19"/>
  <c r="P21" i="19"/>
  <c r="P40" i="19"/>
  <c r="P37" i="19"/>
  <c r="P33" i="19"/>
  <c r="P15" i="19"/>
  <c r="P24" i="19"/>
  <c r="P39" i="19"/>
  <c r="P27" i="19" l="1"/>
  <c r="P34" i="19"/>
  <c r="P28" i="19"/>
  <c r="P36" i="19"/>
  <c r="Q36" i="19"/>
  <c r="P19" i="19"/>
  <c r="Q19" i="19"/>
  <c r="P31" i="19"/>
  <c r="Q31" i="19"/>
  <c r="P35" i="19"/>
  <c r="Q35" i="19"/>
  <c r="P32" i="19"/>
  <c r="Q32" i="19"/>
  <c r="P17" i="19"/>
  <c r="Q17" i="19"/>
  <c r="P30" i="19"/>
  <c r="P29" i="19"/>
  <c r="Q29" i="19"/>
  <c r="P22" i="19"/>
  <c r="P20" i="19"/>
  <c r="Q20" i="19"/>
  <c r="P38" i="19"/>
  <c r="P23" i="19"/>
  <c r="Q23" i="19"/>
  <c r="G14" i="19"/>
  <c r="I15" i="18"/>
  <c r="I14" i="18" l="1"/>
  <c r="I44" i="18" s="1"/>
  <c r="O14" i="19"/>
  <c r="I14" i="19"/>
  <c r="L15" i="18"/>
  <c r="L14" i="19" l="1"/>
  <c r="E4" i="21"/>
  <c r="E5" i="21"/>
  <c r="E6" i="21"/>
  <c r="E7" i="21"/>
  <c r="E8" i="21"/>
  <c r="E9" i="21"/>
  <c r="E10" i="21"/>
  <c r="E11" i="21"/>
  <c r="E12" i="21"/>
  <c r="E13" i="21"/>
  <c r="E14" i="21"/>
  <c r="E15" i="21"/>
  <c r="E16" i="21"/>
  <c r="E17" i="21"/>
  <c r="E18" i="21"/>
  <c r="E19" i="21"/>
  <c r="E20" i="21"/>
  <c r="E21" i="21"/>
  <c r="E22" i="21"/>
  <c r="E23" i="21"/>
  <c r="E24" i="21"/>
  <c r="E25" i="21"/>
  <c r="E26" i="21"/>
  <c r="E27" i="21"/>
  <c r="E28" i="21"/>
  <c r="E29" i="21"/>
  <c r="E30" i="21"/>
  <c r="E31" i="21"/>
  <c r="E32" i="21"/>
  <c r="E33" i="21"/>
  <c r="E34" i="21"/>
  <c r="E3" i="21"/>
  <c r="C4" i="21"/>
  <c r="C5" i="21"/>
  <c r="C6" i="21"/>
  <c r="C7" i="21"/>
  <c r="C8" i="21"/>
  <c r="C9" i="21"/>
  <c r="C10" i="21"/>
  <c r="C11" i="21"/>
  <c r="C12" i="21"/>
  <c r="C13" i="21"/>
  <c r="C14" i="21"/>
  <c r="C15" i="21"/>
  <c r="C16" i="21"/>
  <c r="C17" i="21"/>
  <c r="C18" i="21"/>
  <c r="C19" i="21"/>
  <c r="C20" i="21"/>
  <c r="C21" i="21"/>
  <c r="C22" i="21"/>
  <c r="C23" i="21"/>
  <c r="C24" i="21"/>
  <c r="C25" i="21"/>
  <c r="C26" i="21"/>
  <c r="C27" i="21"/>
  <c r="C28" i="21"/>
  <c r="C29" i="21"/>
  <c r="C30" i="21"/>
  <c r="C31" i="21"/>
  <c r="C32" i="21"/>
  <c r="C33" i="21"/>
  <c r="C34" i="21"/>
  <c r="C3" i="21"/>
  <c r="A4" i="21"/>
  <c r="B4" i="21"/>
  <c r="D4" i="21"/>
  <c r="F4" i="21"/>
  <c r="G4" i="21"/>
  <c r="H4" i="21"/>
  <c r="K4" i="21"/>
  <c r="L4" i="21"/>
  <c r="N4" i="21"/>
  <c r="A5" i="21"/>
  <c r="B5" i="21"/>
  <c r="D5" i="21"/>
  <c r="F5" i="21"/>
  <c r="G5" i="21"/>
  <c r="H5" i="21"/>
  <c r="K5" i="21"/>
  <c r="L5" i="21"/>
  <c r="N5" i="21"/>
  <c r="A6" i="21"/>
  <c r="B6" i="21"/>
  <c r="D6" i="21"/>
  <c r="F6" i="21"/>
  <c r="G6" i="21"/>
  <c r="H6" i="21"/>
  <c r="K6" i="21"/>
  <c r="L6" i="21"/>
  <c r="N6" i="21"/>
  <c r="A7" i="21"/>
  <c r="B7" i="21"/>
  <c r="D7" i="21"/>
  <c r="F7" i="21"/>
  <c r="G7" i="21"/>
  <c r="H7" i="21"/>
  <c r="K7" i="21"/>
  <c r="L7" i="21"/>
  <c r="N7" i="21"/>
  <c r="A8" i="21"/>
  <c r="B8" i="21"/>
  <c r="D8" i="21"/>
  <c r="F8" i="21"/>
  <c r="G8" i="21"/>
  <c r="H8" i="21"/>
  <c r="K8" i="21"/>
  <c r="L8" i="21"/>
  <c r="N8" i="21"/>
  <c r="A9" i="21"/>
  <c r="B9" i="21"/>
  <c r="D9" i="21"/>
  <c r="F9" i="21"/>
  <c r="G9" i="21"/>
  <c r="H9" i="21"/>
  <c r="K9" i="21"/>
  <c r="L9" i="21"/>
  <c r="N9" i="21"/>
  <c r="A10" i="21"/>
  <c r="B10" i="21"/>
  <c r="D10" i="21"/>
  <c r="F10" i="21"/>
  <c r="G10" i="21"/>
  <c r="H10" i="21"/>
  <c r="K10" i="21"/>
  <c r="L10" i="21"/>
  <c r="N10" i="21"/>
  <c r="A11" i="21"/>
  <c r="B11" i="21"/>
  <c r="D11" i="21"/>
  <c r="F11" i="21"/>
  <c r="G11" i="21"/>
  <c r="H11" i="21"/>
  <c r="K11" i="21"/>
  <c r="L11" i="21"/>
  <c r="M11" i="21"/>
  <c r="N11" i="21"/>
  <c r="A12" i="21"/>
  <c r="B12" i="21"/>
  <c r="D12" i="21"/>
  <c r="F12" i="21"/>
  <c r="G12" i="21"/>
  <c r="H12" i="21"/>
  <c r="K12" i="21"/>
  <c r="L12" i="21"/>
  <c r="N12" i="21"/>
  <c r="A13" i="21"/>
  <c r="B13" i="21"/>
  <c r="D13" i="21"/>
  <c r="F13" i="21"/>
  <c r="G13" i="21"/>
  <c r="H13" i="21"/>
  <c r="K13" i="21"/>
  <c r="L13" i="21"/>
  <c r="M13" i="21"/>
  <c r="N13" i="21"/>
  <c r="O13" i="21"/>
  <c r="T13" i="21"/>
  <c r="A14" i="21"/>
  <c r="B14" i="21"/>
  <c r="D14" i="21"/>
  <c r="F14" i="21"/>
  <c r="G14" i="21"/>
  <c r="H14" i="21"/>
  <c r="K14" i="21"/>
  <c r="L14" i="21"/>
  <c r="M14" i="21"/>
  <c r="N14" i="21"/>
  <c r="O14" i="21"/>
  <c r="T14" i="21"/>
  <c r="A15" i="21"/>
  <c r="B15" i="21"/>
  <c r="D15" i="21"/>
  <c r="F15" i="21"/>
  <c r="G15" i="21"/>
  <c r="H15" i="21"/>
  <c r="K15" i="21"/>
  <c r="L15" i="21"/>
  <c r="N15" i="21"/>
  <c r="A16" i="21"/>
  <c r="B16" i="21"/>
  <c r="D16" i="21"/>
  <c r="F16" i="21"/>
  <c r="G16" i="21"/>
  <c r="H16" i="21"/>
  <c r="K16" i="21"/>
  <c r="L16" i="21"/>
  <c r="M16" i="21"/>
  <c r="N16" i="21"/>
  <c r="A17" i="21"/>
  <c r="B17" i="21"/>
  <c r="D17" i="21"/>
  <c r="F17" i="21"/>
  <c r="G17" i="21"/>
  <c r="H17" i="21"/>
  <c r="K17" i="21"/>
  <c r="L17" i="21"/>
  <c r="M17" i="21"/>
  <c r="N17" i="21"/>
  <c r="A18" i="21"/>
  <c r="B18" i="21"/>
  <c r="D18" i="21"/>
  <c r="F18" i="21"/>
  <c r="G18" i="21"/>
  <c r="H18" i="21"/>
  <c r="K18" i="21"/>
  <c r="L18" i="21"/>
  <c r="N18" i="21"/>
  <c r="A19" i="21"/>
  <c r="B19" i="21"/>
  <c r="D19" i="21"/>
  <c r="F19" i="21"/>
  <c r="G19" i="21"/>
  <c r="H19" i="21"/>
  <c r="K19" i="21"/>
  <c r="L19" i="21"/>
  <c r="N19" i="21"/>
  <c r="A20" i="21"/>
  <c r="B20" i="21"/>
  <c r="D20" i="21"/>
  <c r="F20" i="21"/>
  <c r="G20" i="21"/>
  <c r="H20" i="21"/>
  <c r="K20" i="21"/>
  <c r="L20" i="21"/>
  <c r="N20" i="21"/>
  <c r="A21" i="21"/>
  <c r="B21" i="21"/>
  <c r="D21" i="21"/>
  <c r="F21" i="21"/>
  <c r="G21" i="21"/>
  <c r="H21" i="21"/>
  <c r="K21" i="21"/>
  <c r="L21" i="21"/>
  <c r="N21" i="21"/>
  <c r="A22" i="21"/>
  <c r="B22" i="21"/>
  <c r="D22" i="21"/>
  <c r="F22" i="21"/>
  <c r="G22" i="21"/>
  <c r="H22" i="21"/>
  <c r="K22" i="21"/>
  <c r="L22" i="21"/>
  <c r="N22" i="21"/>
  <c r="A23" i="21"/>
  <c r="B23" i="21"/>
  <c r="D23" i="21"/>
  <c r="F23" i="21"/>
  <c r="G23" i="21"/>
  <c r="H23" i="21"/>
  <c r="K23" i="21"/>
  <c r="L23" i="21"/>
  <c r="N23" i="21"/>
  <c r="A24" i="21"/>
  <c r="B24" i="21"/>
  <c r="D24" i="21"/>
  <c r="F24" i="21"/>
  <c r="G24" i="21"/>
  <c r="H24" i="21"/>
  <c r="K24" i="21"/>
  <c r="L24" i="21"/>
  <c r="N24" i="21"/>
  <c r="A25" i="21"/>
  <c r="B25" i="21"/>
  <c r="D25" i="21"/>
  <c r="F25" i="21"/>
  <c r="G25" i="21"/>
  <c r="H25" i="21"/>
  <c r="K25" i="21"/>
  <c r="L25" i="21"/>
  <c r="N25" i="21"/>
  <c r="A26" i="21"/>
  <c r="B26" i="21"/>
  <c r="D26" i="21"/>
  <c r="F26" i="21"/>
  <c r="G26" i="21"/>
  <c r="H26" i="21"/>
  <c r="K26" i="21"/>
  <c r="L26" i="21"/>
  <c r="N26" i="21"/>
  <c r="A27" i="21"/>
  <c r="B27" i="21"/>
  <c r="D27" i="21"/>
  <c r="F27" i="21"/>
  <c r="G27" i="21"/>
  <c r="H27" i="21"/>
  <c r="K27" i="21"/>
  <c r="L27" i="21"/>
  <c r="N27" i="21"/>
  <c r="A28" i="21"/>
  <c r="B28" i="21"/>
  <c r="D28" i="21"/>
  <c r="F28" i="21"/>
  <c r="G28" i="21"/>
  <c r="H28" i="21"/>
  <c r="K28" i="21"/>
  <c r="L28" i="21"/>
  <c r="M28" i="21"/>
  <c r="N28" i="21"/>
  <c r="O28" i="21"/>
  <c r="T28" i="21"/>
  <c r="A29" i="21"/>
  <c r="B29" i="21"/>
  <c r="D29" i="21"/>
  <c r="F29" i="21"/>
  <c r="G29" i="21"/>
  <c r="H29" i="21"/>
  <c r="K29" i="21"/>
  <c r="L29" i="21"/>
  <c r="N29" i="21"/>
  <c r="A30" i="21"/>
  <c r="B30" i="21"/>
  <c r="D30" i="21"/>
  <c r="F30" i="21"/>
  <c r="G30" i="21"/>
  <c r="H30" i="21"/>
  <c r="K30" i="21"/>
  <c r="L30" i="21"/>
  <c r="N30" i="21"/>
  <c r="A31" i="21"/>
  <c r="B31" i="21"/>
  <c r="D31" i="21"/>
  <c r="F31" i="21"/>
  <c r="G31" i="21"/>
  <c r="H31" i="21"/>
  <c r="K31" i="21"/>
  <c r="L31" i="21"/>
  <c r="N31" i="21"/>
  <c r="A32" i="21"/>
  <c r="B32" i="21"/>
  <c r="D32" i="21"/>
  <c r="F32" i="21"/>
  <c r="G32" i="21"/>
  <c r="H32" i="21"/>
  <c r="K32" i="21"/>
  <c r="L32" i="21"/>
  <c r="N32" i="21"/>
  <c r="A33" i="21"/>
  <c r="B33" i="21"/>
  <c r="D33" i="21"/>
  <c r="F33" i="21"/>
  <c r="G33" i="21"/>
  <c r="H33" i="21"/>
  <c r="K33" i="21"/>
  <c r="L33" i="21"/>
  <c r="M33" i="21"/>
  <c r="N33" i="21"/>
  <c r="A34" i="21"/>
  <c r="B34" i="21"/>
  <c r="D34" i="21"/>
  <c r="F34" i="21"/>
  <c r="G34" i="21"/>
  <c r="H34" i="21"/>
  <c r="K34" i="21"/>
  <c r="L34" i="21"/>
  <c r="N34" i="21"/>
  <c r="O3" i="21"/>
  <c r="M3" i="21"/>
  <c r="N3" i="21"/>
  <c r="L3" i="21"/>
  <c r="K3" i="21"/>
  <c r="H3" i="21"/>
  <c r="G3" i="21"/>
  <c r="F3" i="21"/>
  <c r="D3" i="21"/>
  <c r="B3" i="21"/>
  <c r="A3" i="21"/>
  <c r="O15" i="21"/>
  <c r="O8" i="21"/>
  <c r="L43" i="19" l="1"/>
  <c r="L46" i="19"/>
  <c r="T33" i="21"/>
  <c r="M23" i="21"/>
  <c r="M22" i="21"/>
  <c r="M34" i="21"/>
  <c r="M6" i="21"/>
  <c r="M12" i="21"/>
  <c r="M7" i="21"/>
  <c r="M20" i="21"/>
  <c r="M15" i="21"/>
  <c r="M8" i="21"/>
  <c r="M21" i="21"/>
  <c r="M9" i="21"/>
  <c r="M31" i="21"/>
  <c r="M10" i="21"/>
  <c r="M19" i="21"/>
  <c r="M18" i="21"/>
  <c r="M32" i="21"/>
  <c r="T34" i="21"/>
  <c r="T32" i="21"/>
  <c r="T31" i="21"/>
  <c r="T20" i="21"/>
  <c r="T19" i="21"/>
  <c r="T18" i="21"/>
  <c r="T17" i="21"/>
  <c r="T16" i="21"/>
  <c r="T15" i="21"/>
  <c r="T12" i="21"/>
  <c r="T11" i="21"/>
  <c r="T10" i="21"/>
  <c r="T9" i="21"/>
  <c r="T8" i="21"/>
  <c r="T7" i="21"/>
  <c r="T6" i="21"/>
  <c r="T5" i="21"/>
  <c r="T4" i="21"/>
  <c r="O34" i="21"/>
  <c r="O33" i="21"/>
  <c r="O32" i="21"/>
  <c r="O31" i="21"/>
  <c r="O23" i="21"/>
  <c r="O22" i="21"/>
  <c r="O21" i="21"/>
  <c r="O20" i="21"/>
  <c r="O19" i="21"/>
  <c r="O18" i="21"/>
  <c r="O17" i="21"/>
  <c r="O16" i="21"/>
  <c r="O12" i="21"/>
  <c r="O11" i="21"/>
  <c r="O10" i="21"/>
  <c r="O9" i="21"/>
  <c r="O7" i="21"/>
  <c r="O6" i="21"/>
  <c r="O5" i="21"/>
  <c r="O4" i="21"/>
  <c r="M5" i="21"/>
  <c r="M4" i="21"/>
  <c r="T22" i="21" l="1"/>
  <c r="T21" i="21"/>
  <c r="T23" i="21"/>
  <c r="M30" i="21" l="1"/>
  <c r="O30" i="21"/>
  <c r="O29" i="21"/>
  <c r="M29" i="21"/>
  <c r="O27" i="21"/>
  <c r="M27" i="21"/>
  <c r="O26" i="21"/>
  <c r="M26" i="21"/>
  <c r="M25" i="21"/>
  <c r="O25" i="21"/>
  <c r="O24" i="21"/>
  <c r="M24" i="21"/>
  <c r="T3" i="21"/>
  <c r="T25" i="21" l="1"/>
  <c r="T26" i="21"/>
  <c r="T27" i="21"/>
  <c r="T29" i="21"/>
  <c r="T30" i="21"/>
  <c r="T24" i="21"/>
  <c r="A13" i="19" l="1"/>
  <c r="R13" i="19" l="1"/>
  <c r="M8" i="18"/>
  <c r="T31" i="19" l="1"/>
  <c r="T43" i="19"/>
  <c r="T14" i="19"/>
  <c r="T19" i="19"/>
  <c r="T23" i="19"/>
  <c r="T27" i="19"/>
  <c r="T39" i="19"/>
  <c r="T73" i="19"/>
  <c r="T32" i="19"/>
  <c r="T36" i="19"/>
  <c r="T28" i="19"/>
  <c r="T22" i="19"/>
  <c r="T30" i="19"/>
  <c r="T18" i="19"/>
  <c r="T55" i="19"/>
  <c r="T67" i="19"/>
  <c r="T15" i="19"/>
  <c r="T48" i="19"/>
  <c r="T51" i="19"/>
  <c r="T54" i="19"/>
  <c r="T57" i="19"/>
  <c r="T60" i="19"/>
  <c r="T63" i="19"/>
  <c r="T66" i="19"/>
  <c r="T69" i="19"/>
  <c r="T72" i="19"/>
  <c r="T75" i="19"/>
  <c r="T78" i="19"/>
  <c r="T24" i="19"/>
  <c r="T45" i="19"/>
  <c r="T49" i="19"/>
  <c r="T35" i="19"/>
  <c r="T20" i="19"/>
  <c r="T33" i="19"/>
  <c r="T40" i="19"/>
  <c r="T42" i="19"/>
  <c r="T46" i="19"/>
  <c r="T58" i="19"/>
  <c r="T16" i="19"/>
  <c r="T37" i="19"/>
  <c r="T38" i="19"/>
  <c r="T41" i="19"/>
  <c r="T52" i="19"/>
  <c r="T61" i="19"/>
  <c r="T79" i="19"/>
  <c r="T29" i="19"/>
  <c r="T47" i="19"/>
  <c r="T50" i="19"/>
  <c r="T53" i="19"/>
  <c r="T56" i="19"/>
  <c r="T59" i="19"/>
  <c r="T62" i="19"/>
  <c r="T65" i="19"/>
  <c r="T68" i="19"/>
  <c r="T71" i="19"/>
  <c r="T74" i="19"/>
  <c r="T77" i="19"/>
  <c r="T70" i="19"/>
  <c r="T17" i="19"/>
  <c r="T21" i="19"/>
  <c r="T25" i="19"/>
  <c r="T34" i="19"/>
  <c r="T44" i="19"/>
  <c r="T26" i="19"/>
  <c r="T64" i="19"/>
  <c r="T76" i="19"/>
  <c r="S13" i="19"/>
  <c r="T13" i="19"/>
  <c r="B13" i="19" l="1"/>
  <c r="C13" i="19"/>
  <c r="D13" i="19"/>
  <c r="E13" i="19"/>
  <c r="G13" i="19"/>
  <c r="H13" i="19"/>
  <c r="K13" i="19"/>
  <c r="L13" i="19"/>
  <c r="M13" i="19"/>
  <c r="N13" i="19" l="1"/>
  <c r="A14" i="13" l="1"/>
  <c r="B14" i="13"/>
  <c r="C14" i="13"/>
  <c r="D14" i="13"/>
  <c r="E14" i="13"/>
  <c r="I14" i="13" l="1"/>
  <c r="G7" i="13"/>
  <c r="Q14" i="19" l="1"/>
  <c r="J14" i="13"/>
  <c r="K14" i="13" l="1"/>
  <c r="Q13" i="19" l="1"/>
  <c r="F7" i="13" l="1"/>
  <c r="H14" i="13" l="1"/>
  <c r="P14" i="19" l="1"/>
  <c r="P13" i="19"/>
  <c r="B9" i="13"/>
  <c r="B8" i="13"/>
  <c r="C12" i="13" l="1"/>
  <c r="G14" i="13" l="1"/>
  <c r="F6" i="13" l="1"/>
  <c r="AW57" i="18" l="1"/>
  <c r="AX57" i="18" l="1"/>
  <c r="BD58" i="18" l="1"/>
  <c r="BD62" i="18" s="1"/>
  <c r="BJ58" i="18"/>
  <c r="BB58" i="18"/>
  <c r="BB62" i="18" s="1"/>
  <c r="BH58" i="18"/>
  <c r="BH62" i="18" s="1"/>
  <c r="AZ58" i="18"/>
  <c r="AZ62" i="18" s="1"/>
  <c r="AY58" i="18"/>
  <c r="AY62" i="18" s="1"/>
  <c r="BF58" i="18"/>
  <c r="BF62" i="18" s="1"/>
  <c r="BE58" i="18"/>
  <c r="BE62" i="18" s="1"/>
  <c r="BC58" i="18"/>
  <c r="BC62" i="18" s="1"/>
  <c r="BI58" i="18"/>
  <c r="BI62" i="18" s="1"/>
  <c r="BA58" i="18"/>
  <c r="BA62" i="18" s="1"/>
  <c r="BG58" i="18"/>
  <c r="BG62" i="18" s="1"/>
  <c r="F13" i="19" l="1"/>
  <c r="J13" i="19"/>
  <c r="J41" i="19" l="1"/>
  <c r="I41" i="19"/>
  <c r="F41" i="19"/>
  <c r="I13" i="19"/>
  <c r="O13" i="19"/>
  <c r="O41" i="19" l="1"/>
</calcChain>
</file>

<file path=xl/sharedStrings.xml><?xml version="1.0" encoding="utf-8"?>
<sst xmlns="http://schemas.openxmlformats.org/spreadsheetml/2006/main" count="665" uniqueCount="235">
  <si>
    <t>STT</t>
  </si>
  <si>
    <t>GHI CHÚ</t>
  </si>
  <si>
    <t>TÊN HÀNG HÓA</t>
  </si>
  <si>
    <t>XÁC NHẬN BÊN MUA HÀNG</t>
  </si>
  <si>
    <t>(Ký, ghi rõ họ tên)</t>
  </si>
  <si>
    <t>®ång</t>
  </si>
  <si>
    <t>TỔNG TIỀN HÀNG:</t>
  </si>
  <si>
    <t>Quý khách có thể thanh toán bằng tiền mặt hoặc chuyển khoản vào một trong các tài khoản sau:</t>
  </si>
  <si>
    <t>BÁO GIÁ KIÊM ĐƠN ĐẶT HÀNG</t>
  </si>
  <si>
    <t>Công ty TNHH Gỗ GERVIN xin cảm ơn quý khách hàng đã tin dùng sản phẩm của chúng tôi và xin được báo giá như sau:</t>
  </si>
  <si>
    <t>I</t>
  </si>
  <si>
    <t>LỆNH GIA CÔNG TẤM</t>
  </si>
  <si>
    <t>Số mét vuông (m2)</t>
  </si>
  <si>
    <t>Số mét dán thẳng (m)</t>
  </si>
  <si>
    <t xml:space="preserve">          </t>
  </si>
  <si>
    <t>Đề nghị BP Kỹ thuật gia công các sản phẩm dưới đây:</t>
  </si>
  <si>
    <t>Số lượng</t>
  </si>
  <si>
    <t xml:space="preserve">Ứng trước 50% tiền đơn hàng gia công, thanh toán 50% còn lại trước khi lấy hàng tại kho, giao hàng tại nhà máy bên bán sau 2 đến 3 ngày. </t>
  </si>
  <si>
    <t>Số mét dán vát (m)</t>
  </si>
  <si>
    <t>NGƯỜI CHÀO GIÁ</t>
  </si>
  <si>
    <t>Stt</t>
  </si>
  <si>
    <t>Tên hàng hóa, dịch vụ</t>
  </si>
  <si>
    <t xml:space="preserve"> Kích thước (mm) </t>
  </si>
  <si>
    <t>Rộng</t>
  </si>
  <si>
    <t>Acrylic màu 1</t>
  </si>
  <si>
    <t>Khi mua tấm Quý khách vui lòng thanh toán 100% tiền hàng trước khi chuyển hàng ra khỏi kho bên bán.</t>
  </si>
  <si>
    <t>Bảo hành cong vênh, bong tróc 12 tháng, bảo trì vĩnh viễn. Không bảo hành mối và ngập nước.</t>
  </si>
  <si>
    <t>Thanh phào (m)</t>
  </si>
  <si>
    <t>Cánh (m2)</t>
  </si>
  <si>
    <t>Lưu ý:</t>
  </si>
  <si>
    <t>+ Khách hàng phải kiểm tra và xác nhận đã nhận đầy đủ số lượng, tình trạng bên ngoài của hàng như hàng không bị xước hoặc hư hỏng.</t>
  </si>
  <si>
    <t>+ Nếu khách hàng nhận hàng mà không kiểm tra hoặc bỏ qua bước kiểm tra và ký nhận thì bên cung cấp hàng không chịu trách nhiệm về việc hư hỏng hay thiếu sót hàng tính từ thời điểm giao xong hàng.</t>
  </si>
  <si>
    <t>Ngày………….đã nhận đủ số lượng và đã kiểm tra hàng không bị xước hoặc hư hỏng.</t>
  </si>
  <si>
    <t>Cạnh vát</t>
  </si>
  <si>
    <t>CẠNH VÁT</t>
  </si>
  <si>
    <t>Chiều vân</t>
  </si>
  <si>
    <t xml:space="preserve">Vân dọc </t>
  </si>
  <si>
    <t>Đơn giá</t>
  </si>
  <si>
    <t>Thành tiền</t>
  </si>
  <si>
    <t xml:space="preserve">Vát </t>
  </si>
  <si>
    <t xml:space="preserve">Cao (chiều vân gỗ) </t>
  </si>
  <si>
    <t xml:space="preserve">Số phiếu: </t>
  </si>
  <si>
    <t xml:space="preserve">Rộng
</t>
  </si>
  <si>
    <t xml:space="preserve"> Bên giao lệnh          </t>
  </si>
  <si>
    <t>Kế toán</t>
  </si>
  <si>
    <t>Kỹ thuật</t>
  </si>
  <si>
    <t>Quản đốc/P.QĐ</t>
  </si>
  <si>
    <t xml:space="preserve">(Ký, ghi rõ họ tên)   </t>
  </si>
  <si>
    <t>Kính đố 70 hèm s5r10</t>
  </si>
  <si>
    <t>CNC như hình vẽ</t>
  </si>
  <si>
    <t>SODONHANG</t>
  </si>
  <si>
    <t>MAHANGHOA</t>
  </si>
  <si>
    <t>TENHANGHOA</t>
  </si>
  <si>
    <t>CHIEUDAI</t>
  </si>
  <si>
    <t>CHIEURONG</t>
  </si>
  <si>
    <t>SOLUONG</t>
  </si>
  <si>
    <t>CANHVAT</t>
  </si>
  <si>
    <t>CHIEUVAN</t>
  </si>
  <si>
    <t>CANH</t>
  </si>
  <si>
    <t>THANHPHAO</t>
  </si>
  <si>
    <t>KHOILUONG</t>
  </si>
  <si>
    <t>DONGIA</t>
  </si>
  <si>
    <t>SOTIENVND</t>
  </si>
  <si>
    <t>GHICHUND</t>
  </si>
  <si>
    <t>DONGIAGIANTHANG</t>
  </si>
  <si>
    <t>DONGIAGIANVAT</t>
  </si>
  <si>
    <t>SOMETDANTHANG</t>
  </si>
  <si>
    <t>SOMETDANVAT</t>
  </si>
  <si>
    <t>SỐ ĐƠN HÀNG</t>
  </si>
  <si>
    <t>KHỐI LƯỢNG</t>
  </si>
  <si>
    <t>Ngày  17  tháng  4  năm 2022</t>
  </si>
  <si>
    <r>
      <t>Địa chỉ:</t>
    </r>
    <r>
      <rPr>
        <b/>
        <sz val="11"/>
        <color theme="1"/>
        <rFont val="Times New Roman"/>
        <family val="1"/>
      </rPr>
      <t xml:space="preserve"> </t>
    </r>
  </si>
  <si>
    <t xml:space="preserve">Khách hàng: </t>
  </si>
  <si>
    <t>SOMETDANMOI</t>
  </si>
  <si>
    <t>SOMETDANBR1759</t>
  </si>
  <si>
    <t>SOMETDANBR2535</t>
  </si>
  <si>
    <t>CONGDAN</t>
  </si>
  <si>
    <t>SOVATTAYNAMAM</t>
  </si>
  <si>
    <t>SOTAMCNC</t>
  </si>
  <si>
    <t>Đơn giá trên chưa bao gồm VAT. Đúng sai ±1 mm.</t>
  </si>
  <si>
    <t xml:space="preserve">
BỔ SUNG MÃ HÀNG</t>
  </si>
  <si>
    <t>DONGIACHI</t>
  </si>
  <si>
    <t xml:space="preserve">
Mã hàng</t>
  </si>
  <si>
    <t>KẾ TOÁN XÁC NHẬN</t>
  </si>
  <si>
    <t>Ngày giờ chốt đơn:</t>
  </si>
  <si>
    <t>Số ngày phải giao từ lúc chốt đơn:</t>
  </si>
  <si>
    <t>Ngày giờ phải giao hàng:</t>
  </si>
  <si>
    <t>SONGAY</t>
  </si>
  <si>
    <t>NGAYGIOCHOT</t>
  </si>
  <si>
    <t>NGAYGIAO</t>
  </si>
  <si>
    <t>Đã CK:</t>
  </si>
  <si>
    <t>Còn lại:</t>
  </si>
  <si>
    <t>Hồi</t>
  </si>
  <si>
    <t>Tủ trên</t>
  </si>
  <si>
    <t>Tủ lạnh</t>
  </si>
  <si>
    <t>Tủ dưới</t>
  </si>
  <si>
    <t>V</t>
  </si>
  <si>
    <t>Thế Khánh (Đơn 2) 3398</t>
  </si>
  <si>
    <t>3398.GV65.001</t>
  </si>
  <si>
    <t>MDF GV65-1MẶT (19MM)</t>
  </si>
  <si>
    <t>Vát 320</t>
  </si>
  <si>
    <t>3398.GV65.002</t>
  </si>
  <si>
    <t>3398.GV65.003</t>
  </si>
  <si>
    <t>Vát 341</t>
  </si>
  <si>
    <t>3398.GV65.004</t>
  </si>
  <si>
    <t>3398.GV65.005</t>
  </si>
  <si>
    <t>3398.GV65.006</t>
  </si>
  <si>
    <t>Vát 335</t>
  </si>
  <si>
    <t>3398.GV65.007</t>
  </si>
  <si>
    <t>Vát 251</t>
  </si>
  <si>
    <t>3398.GV65.008</t>
  </si>
  <si>
    <t>3398.GV65.009</t>
  </si>
  <si>
    <t>Vát 354</t>
  </si>
  <si>
    <t>3398.GV65.010</t>
  </si>
  <si>
    <t>3398.GV65.011</t>
  </si>
  <si>
    <t>3398.GV65.012</t>
  </si>
  <si>
    <t>3398.GV65.013</t>
  </si>
  <si>
    <t>Vát 980</t>
  </si>
  <si>
    <t>3398.GV65.014</t>
  </si>
  <si>
    <t>Vát 337</t>
  </si>
  <si>
    <t>3398.GV65.015</t>
  </si>
  <si>
    <t>Vát 390</t>
  </si>
  <si>
    <t>3398.GV65.016</t>
  </si>
  <si>
    <t>3398.GV65.017</t>
  </si>
  <si>
    <t>Vát 274</t>
  </si>
  <si>
    <t>3398.GV65.018</t>
  </si>
  <si>
    <t>3398.GV65.019</t>
  </si>
  <si>
    <t>3398.GV65.020</t>
  </si>
  <si>
    <t>Vát 328</t>
  </si>
  <si>
    <t>3398.GV65.021</t>
  </si>
  <si>
    <t>3398.GV65.022</t>
  </si>
  <si>
    <t>Vát 366</t>
  </si>
  <si>
    <t>3398.GV65.023</t>
  </si>
  <si>
    <t>.</t>
  </si>
  <si>
    <t>Vát 780</t>
  </si>
  <si>
    <t>3398.GV65.024</t>
  </si>
  <si>
    <t>3398.GV65.025</t>
  </si>
  <si>
    <t>KK70 S5R10</t>
  </si>
  <si>
    <t>3398.GV65.026</t>
  </si>
  <si>
    <t>3398.GV65.027</t>
  </si>
  <si>
    <t>Vát 555</t>
  </si>
  <si>
    <t>3398.GV65.028</t>
  </si>
  <si>
    <t>3398.GV65.029</t>
  </si>
  <si>
    <t>3398.GV65.030</t>
  </si>
  <si>
    <t>3398.GV65.031</t>
  </si>
  <si>
    <t>Vát 655</t>
  </si>
  <si>
    <t>3398.GV65.032</t>
  </si>
  <si>
    <t>Cắt</t>
  </si>
  <si>
    <t>Đơn hàng</t>
  </si>
  <si>
    <t>Sản phẩm</t>
  </si>
  <si>
    <t>Tên</t>
  </si>
  <si>
    <t>Vật liệu</t>
  </si>
  <si>
    <t>Dài</t>
  </si>
  <si>
    <t>Dày</t>
  </si>
  <si>
    <t>Kí hiệu nẹp L1</t>
  </si>
  <si>
    <t>Kí hiệu nẹp L2</t>
  </si>
  <si>
    <t>Kí hiệu nẹp W1</t>
  </si>
  <si>
    <t>Kí hiệu nẹp W2</t>
  </si>
  <si>
    <t>Dày nẹp L1</t>
  </si>
  <si>
    <t>Dày nẹp L2</t>
  </si>
  <si>
    <t>Dày nẹp W1</t>
  </si>
  <si>
    <t>Dày nẹp W2</t>
  </si>
  <si>
    <t>Ghi chú</t>
  </si>
  <si>
    <t>Bao trong-Dịch trái</t>
  </si>
  <si>
    <t>Bao trong-Dịch phải</t>
  </si>
  <si>
    <t>Bao trong-Dịch trên</t>
  </si>
  <si>
    <t>Bao trong-Dịch dưới</t>
  </si>
  <si>
    <t>Xoi-Dịch trái-1</t>
  </si>
  <si>
    <t>Xoi-Dịch phải-1</t>
  </si>
  <si>
    <t>Xoi-Dịch trên-1</t>
  </si>
  <si>
    <t>Xoi-Dịch dưới-1</t>
  </si>
  <si>
    <t>Xoi-Rộng-1</t>
  </si>
  <si>
    <t>Xoi-Sâu-1</t>
  </si>
  <si>
    <t>Xoi-Dịch trái-2</t>
  </si>
  <si>
    <t>Xoi-Dịch phải-2</t>
  </si>
  <si>
    <t>Xoi-Dịch trên-2</t>
  </si>
  <si>
    <t>Xoi-Dịch dưới-2</t>
  </si>
  <si>
    <t>Xoi-Rộng-2</t>
  </si>
  <si>
    <t>Xoi-Sâu-2</t>
  </si>
  <si>
    <t>Cutting</t>
  </si>
  <si>
    <t>Order</t>
  </si>
  <si>
    <t>Product Name</t>
  </si>
  <si>
    <t>Order Number</t>
  </si>
  <si>
    <t>Detail Name</t>
  </si>
  <si>
    <t>Material</t>
  </si>
  <si>
    <t>Height</t>
  </si>
  <si>
    <t>Width</t>
  </si>
  <si>
    <t>Thickness</t>
  </si>
  <si>
    <t>Texture Orientation</t>
  </si>
  <si>
    <t>Quantity</t>
  </si>
  <si>
    <t>Edge Banding L1</t>
  </si>
  <si>
    <t>Edge Banding L2</t>
  </si>
  <si>
    <t>Edge Banding W1</t>
  </si>
  <si>
    <t>Edge Banding W2</t>
  </si>
  <si>
    <t>L1 Thickness</t>
  </si>
  <si>
    <t>L2 Thickness</t>
  </si>
  <si>
    <t>W1 Thickness</t>
  </si>
  <si>
    <t>W2 Thickness</t>
  </si>
  <si>
    <t>Note</t>
  </si>
  <si>
    <t>Internal Cutting Left Offset</t>
  </si>
  <si>
    <t>Internal Cutting Right Offset</t>
  </si>
  <si>
    <t>Internal Cutting Top Offset</t>
  </si>
  <si>
    <t>Internal Cutting Bottom Offset</t>
  </si>
  <si>
    <t>Milling Left Offset 1</t>
  </si>
  <si>
    <t>Milling Right Offset 1</t>
  </si>
  <si>
    <t>Milling Top Offset 1</t>
  </si>
  <si>
    <t>Milling Bottom Offset 1</t>
  </si>
  <si>
    <t>Milling Width 1</t>
  </si>
  <si>
    <t>Milling Depth 1</t>
  </si>
  <si>
    <t>Milling Left Offset 2</t>
  </si>
  <si>
    <t>Milling Right Offset 2</t>
  </si>
  <si>
    <t>Milling Top Offset 2</t>
  </si>
  <si>
    <t>Milling Bottom Offset 2</t>
  </si>
  <si>
    <t>Milling Width 2</t>
  </si>
  <si>
    <t>Milling Depth 2</t>
  </si>
  <si>
    <t>ACRILYC</t>
  </si>
  <si>
    <t>T</t>
  </si>
  <si>
    <t>Mã đơn + mã hàng + 3 số TT</t>
  </si>
  <si>
    <t>ghi chú</t>
  </si>
  <si>
    <t>Công nợ:</t>
  </si>
  <si>
    <r>
      <rPr>
        <sz val="11"/>
        <color theme="1"/>
        <rFont val="Times New Roman"/>
        <family val="1"/>
      </rPr>
      <t xml:space="preserve">Địa chỉ: </t>
    </r>
    <r>
      <rPr>
        <b/>
        <sz val="11"/>
        <color theme="1"/>
        <rFont val="Times New Roman"/>
        <family val="1"/>
      </rPr>
      <t>02 Đồng Môn, Thanh Tiến, Đồng Môn, TP Hà Tĩnh (0973337761)</t>
    </r>
  </si>
  <si>
    <r>
      <t xml:space="preserve">Chính sách KH: </t>
    </r>
    <r>
      <rPr>
        <b/>
        <sz val="11"/>
        <color theme="1"/>
        <rFont val="Times New Roman"/>
        <family val="1"/>
      </rPr>
      <t>Miễn phí gia công ô kính và CNC; Tặng kèm kính giá bát</t>
    </r>
  </si>
  <si>
    <t>II</t>
  </si>
  <si>
    <t>Acrylic màu 2</t>
  </si>
  <si>
    <r>
      <rPr>
        <sz val="11"/>
        <color theme="1"/>
        <rFont val="Times New Roman"/>
        <family val="1"/>
      </rPr>
      <t xml:space="preserve">Khách hàng: </t>
    </r>
    <r>
      <rPr>
        <b/>
        <sz val="11"/>
        <color theme="1"/>
        <rFont val="Times New Roman"/>
        <family val="1"/>
      </rPr>
      <t>KH0663 - NT Tuấn (0973337761)</t>
    </r>
  </si>
  <si>
    <t>Ngày 5 tháng 5 năm 2026</t>
  </si>
  <si>
    <t>GV108.TP</t>
  </si>
  <si>
    <r>
      <rPr>
        <b/>
        <sz val="11"/>
        <rFont val="Times New Roman"/>
        <family val="1"/>
      </rPr>
      <t xml:space="preserve">Cốt MDF chống ẩm </t>
    </r>
    <r>
      <rPr>
        <sz val="11"/>
        <rFont val="Times New Roman"/>
        <family val="1"/>
      </rPr>
      <t xml:space="preserve">17mm, 1 mặt </t>
    </r>
    <r>
      <rPr>
        <b/>
        <sz val="11"/>
        <rFont val="Times New Roman"/>
        <family val="1"/>
      </rPr>
      <t>Acrylic GV108 nhũ chống xước cao</t>
    </r>
    <r>
      <rPr>
        <sz val="11"/>
        <rFont val="Times New Roman"/>
        <family val="1"/>
      </rPr>
      <t>, 1 mặt acrylic chống cong vênh trắng bóng</t>
    </r>
  </si>
  <si>
    <t>GV108.TP.PVC</t>
  </si>
  <si>
    <r>
      <rPr>
        <b/>
        <sz val="11"/>
        <rFont val="Times New Roman"/>
        <family val="1"/>
      </rPr>
      <t xml:space="preserve">Cốt nhựa </t>
    </r>
    <r>
      <rPr>
        <sz val="11"/>
        <rFont val="Times New Roman"/>
        <family val="1"/>
      </rPr>
      <t xml:space="preserve">17mm, 1 mặt </t>
    </r>
    <r>
      <rPr>
        <b/>
        <sz val="11"/>
        <rFont val="Times New Roman"/>
        <family val="1"/>
      </rPr>
      <t>Acrylic GV108 nhũ chống xước cao</t>
    </r>
    <r>
      <rPr>
        <sz val="11"/>
        <rFont val="Times New Roman"/>
        <family val="1"/>
      </rPr>
      <t>, 1 mặt acrylic chống cong vênh trắng bóng</t>
    </r>
  </si>
  <si>
    <t>Tấm giả dày</t>
  </si>
  <si>
    <t>Thanh tạo dày</t>
  </si>
  <si>
    <t>Công giả dày</t>
  </si>
  <si>
    <t>MD</t>
  </si>
  <si>
    <t>L2345</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</si>
</sst>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43" formatCode="_(* #,##0.00_);_(* \(#,##0.00\);_(* &quot;-&quot;??_);_(@_)"/>
    <numFmt numFmtId="164" formatCode="_(* #,##0_);_(* \(#,##0\);_(* &quot;-&quot;??_);_(@_)"/>
    <numFmt numFmtId="165" formatCode="_-* #,##0\ _₫_-;\-* #,##0\ _₫_-;_-* \-???\ _₫_-;_-@_-"/>
    <numFmt numFmtId="166" formatCode="0.00;[Red]0.00"/>
    <numFmt numFmtId="167" formatCode="0.0000"/>
    <numFmt numFmtId="168" formatCode="dd/mm/yyyy\ h:mm:ss"/>
  </numFmts>
  <fonts count="37" x14ac:knownFonts="1">
    <font>
      <sz val="12"/>
      <color theme="1"/>
      <name val="Times New Roman"/>
      <family val="2"/>
    </font>
    <font>
      <sz val="11"/>
      <color theme="1"/>
      <name val="Calibri"/>
      <family val="2"/>
      <scheme val="minor"/>
    </font>
    <font>
      <sz val="12"/>
      <color theme="1"/>
      <name val="Times New Roman"/>
      <family val="1"/>
    </font>
    <font>
      <sz val="11"/>
      <name val="Times New Roman"/>
      <family val="1"/>
    </font>
    <font>
      <sz val="11"/>
      <color theme="1"/>
      <name val="Times New Roman"/>
      <family val="1"/>
    </font>
    <font>
      <b/>
      <sz val="11"/>
      <color theme="1"/>
      <name val="Times New Roman"/>
      <family val="1"/>
    </font>
    <font>
      <sz val="12"/>
      <color theme="1"/>
      <name val="Times New Roman"/>
      <family val="2"/>
    </font>
    <font>
      <sz val="9"/>
      <name val="Times New Roman"/>
      <family val="1"/>
    </font>
    <font>
      <b/>
      <i/>
      <sz val="11"/>
      <name val="Times New Roman"/>
      <family val="1"/>
    </font>
    <font>
      <b/>
      <sz val="11"/>
      <name val="Times New Roman"/>
      <family val="1"/>
    </font>
    <font>
      <sz val="11"/>
      <name val="VNI-Times"/>
    </font>
    <font>
      <b/>
      <sz val="9"/>
      <color theme="1"/>
      <name val=".VnTime"/>
      <family val="2"/>
    </font>
    <font>
      <sz val="10"/>
      <name val="VNI-Times"/>
    </font>
    <font>
      <b/>
      <sz val="9"/>
      <name val=".VnTime"/>
      <family val="2"/>
    </font>
    <font>
      <sz val="9"/>
      <color theme="1"/>
      <name val=".VnTime"/>
      <family val="2"/>
    </font>
    <font>
      <sz val="9"/>
      <name val=".VnTime"/>
      <family val="2"/>
    </font>
    <font>
      <sz val="10"/>
      <name val=".VnArial"/>
      <family val="2"/>
    </font>
    <font>
      <sz val="11"/>
      <color theme="1"/>
      <name val="Times New Roman"/>
      <family val="2"/>
    </font>
    <font>
      <b/>
      <i/>
      <sz val="11"/>
      <name val=".VnTime"/>
      <family val="2"/>
    </font>
    <font>
      <b/>
      <sz val="18"/>
      <color theme="1"/>
      <name val="Times New Roman"/>
      <family val="1"/>
    </font>
    <font>
      <sz val="12"/>
      <name val="Times New Roman"/>
      <family val="1"/>
    </font>
    <font>
      <b/>
      <sz val="18"/>
      <name val="Times New Roman"/>
      <family val="1"/>
    </font>
    <font>
      <b/>
      <sz val="14"/>
      <name val="Times New Roman"/>
      <family val="1"/>
    </font>
    <font>
      <sz val="11"/>
      <color indexed="8"/>
      <name val="Calibri"/>
      <family val="2"/>
      <charset val="1"/>
    </font>
    <font>
      <sz val="12"/>
      <name val="Times New Roman"/>
      <family val="1"/>
      <charset val="163"/>
    </font>
    <font>
      <sz val="11"/>
      <color indexed="8"/>
      <name val="Times New Roman"/>
      <family val="1"/>
    </font>
    <font>
      <b/>
      <sz val="11"/>
      <color rgb="FFFF0000"/>
      <name val="Times New Roman"/>
      <family val="1"/>
    </font>
    <font>
      <sz val="11"/>
      <color theme="1"/>
      <name val="Times New Roman"/>
      <family val="1"/>
      <charset val="163"/>
    </font>
    <font>
      <sz val="10"/>
      <color rgb="FF000000"/>
      <name val="Calibri"/>
      <family val="2"/>
      <scheme val="minor"/>
    </font>
    <font>
      <sz val="12"/>
      <color rgb="FF000000"/>
      <name val="Times New Roman"/>
      <family val="1"/>
    </font>
    <font>
      <b/>
      <sz val="28"/>
      <color theme="1"/>
      <name val="Times New Roman"/>
      <family val="1"/>
    </font>
    <font>
      <sz val="12"/>
      <color rgb="FFFF0000"/>
      <name val="Times New Roman"/>
      <family val="2"/>
    </font>
    <font>
      <sz val="12"/>
      <name val="Times New Roman"/>
      <family val="2"/>
    </font>
    <font>
      <sz val="11"/>
      <name val="Times New Roman"/>
      <family val="2"/>
    </font>
    <font>
      <sz val="14"/>
      <name val="Times New Roman"/>
      <family val="1"/>
    </font>
    <font>
      <b/>
      <sz val="12"/>
      <name val="Times New Roman"/>
      <family val="1"/>
    </font>
    <font>
      <b/>
      <sz val="11"/>
      <color indexed="8"/>
      <name val="Times New Roman"/>
      <family val="1"/>
    </font>
  </fonts>
  <fills count="14">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5" tint="0.59999389629810485"/>
        <bgColor indexed="64"/>
      </patternFill>
    </fill>
    <fill>
      <patternFill patternType="solid">
        <fgColor theme="0"/>
        <bgColor indexed="26"/>
      </patternFill>
    </fill>
    <fill>
      <patternFill patternType="solid">
        <fgColor theme="8" tint="0.59999389629810485"/>
        <bgColor indexed="64"/>
      </patternFill>
    </fill>
    <fill>
      <patternFill patternType="solid">
        <fgColor theme="8" tint="0.59999389629810485"/>
        <bgColor indexed="26"/>
      </patternFill>
    </fill>
    <fill>
      <patternFill patternType="solid">
        <fgColor theme="9" tint="0.39997558519241921"/>
        <bgColor indexed="64"/>
      </patternFill>
    </fill>
    <fill>
      <patternFill patternType="solid">
        <fgColor rgb="FF00B050"/>
        <bgColor indexed="64"/>
      </patternFill>
    </fill>
    <fill>
      <patternFill patternType="solid">
        <fgColor theme="9" tint="-0.249977111117893"/>
        <bgColor indexed="64"/>
      </patternFill>
    </fill>
    <fill>
      <patternFill patternType="solid">
        <fgColor theme="2" tint="-0.249977111117893"/>
        <bgColor indexed="64"/>
      </patternFill>
    </fill>
    <fill>
      <patternFill patternType="solid">
        <fgColor theme="6" tint="0.59999389629810485"/>
        <bgColor indexed="64"/>
      </patternFill>
    </fill>
    <fill>
      <patternFill patternType="solid">
        <fgColor theme="5" tint="0.59999389629810485"/>
        <bgColor indexed="26"/>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9">
    <xf numFmtId="0" fontId="0" fillId="0" borderId="0"/>
    <xf numFmtId="0" fontId="1" fillId="0" borderId="0"/>
    <xf numFmtId="43" fontId="1" fillId="0" borderId="0" applyFont="0" applyFill="0" applyBorder="0" applyAlignment="0" applyProtection="0"/>
    <xf numFmtId="43" fontId="6" fillId="0" borderId="0" applyFont="0" applyFill="0" applyBorder="0" applyAlignment="0" applyProtection="0"/>
    <xf numFmtId="0" fontId="10" fillId="0" borderId="0"/>
    <xf numFmtId="0" fontId="12" fillId="0" borderId="0"/>
    <xf numFmtId="0" fontId="16" fillId="0" borderId="0"/>
    <xf numFmtId="0" fontId="23" fillId="0" borderId="0"/>
    <xf numFmtId="0" fontId="28" fillId="0" borderId="0"/>
  </cellStyleXfs>
  <cellXfs count="211">
    <xf numFmtId="0" fontId="0" fillId="0" borderId="0" xfId="0"/>
    <xf numFmtId="0" fontId="3" fillId="0" borderId="0" xfId="0" applyFont="1" applyAlignment="1" applyProtection="1">
      <alignment vertical="center"/>
      <protection locked="0"/>
    </xf>
    <xf numFmtId="0" fontId="17" fillId="0" borderId="0" xfId="0" applyFont="1" applyAlignment="1" applyProtection="1">
      <alignment horizontal="center" vertical="center"/>
      <protection locked="0"/>
    </xf>
    <xf numFmtId="0" fontId="17" fillId="0" borderId="0" xfId="0" applyFont="1" applyAlignment="1" applyProtection="1">
      <alignment vertical="center"/>
      <protection locked="0"/>
    </xf>
    <xf numFmtId="43" fontId="17" fillId="0" borderId="0" xfId="3" applyFont="1" applyAlignment="1" applyProtection="1">
      <alignment horizontal="center" vertical="center"/>
      <protection locked="0"/>
    </xf>
    <xf numFmtId="0" fontId="17" fillId="0" borderId="0" xfId="0" applyFont="1" applyAlignment="1" applyProtection="1">
      <alignment horizontal="left" vertical="center"/>
      <protection locked="0"/>
    </xf>
    <xf numFmtId="0" fontId="5" fillId="4" borderId="1" xfId="0" applyFont="1" applyFill="1" applyBorder="1" applyAlignment="1" applyProtection="1">
      <alignment horizontal="center" vertical="center"/>
      <protection locked="0"/>
    </xf>
    <xf numFmtId="0" fontId="5" fillId="4" borderId="1" xfId="0" applyFont="1" applyFill="1" applyBorder="1" applyAlignment="1" applyProtection="1">
      <alignment horizontal="left" vertical="center"/>
      <protection locked="0"/>
    </xf>
    <xf numFmtId="0" fontId="9" fillId="4" borderId="1" xfId="1" applyFont="1" applyFill="1" applyBorder="1" applyAlignment="1" applyProtection="1">
      <alignment horizontal="center" vertical="center" wrapText="1"/>
      <protection locked="0"/>
    </xf>
    <xf numFmtId="2" fontId="9" fillId="4" borderId="1" xfId="1" applyNumberFormat="1" applyFont="1" applyFill="1" applyBorder="1" applyAlignment="1" applyProtection="1">
      <alignment horizontal="center" vertical="center" wrapText="1"/>
      <protection locked="0"/>
    </xf>
    <xf numFmtId="0" fontId="4" fillId="0" borderId="1" xfId="0" applyFont="1" applyBorder="1" applyAlignment="1" applyProtection="1">
      <alignment horizontal="center" vertical="center"/>
      <protection locked="0"/>
    </xf>
    <xf numFmtId="0" fontId="5" fillId="2" borderId="1" xfId="0" applyFont="1" applyFill="1" applyBorder="1" applyAlignment="1" applyProtection="1">
      <alignment horizontal="center" vertical="center"/>
      <protection locked="0"/>
    </xf>
    <xf numFmtId="0" fontId="3" fillId="0" borderId="0" xfId="0" applyFont="1" applyAlignment="1" applyProtection="1">
      <alignment horizontal="center" vertical="center"/>
      <protection locked="0"/>
    </xf>
    <xf numFmtId="43" fontId="3" fillId="0" borderId="0" xfId="3" applyFont="1" applyAlignment="1" applyProtection="1">
      <alignment vertical="center"/>
      <protection locked="0"/>
    </xf>
    <xf numFmtId="0" fontId="4" fillId="0" borderId="1" xfId="0" applyFont="1" applyBorder="1" applyAlignment="1" applyProtection="1">
      <alignment vertical="center" wrapText="1"/>
      <protection locked="0"/>
    </xf>
    <xf numFmtId="164" fontId="17" fillId="0" borderId="0" xfId="3" applyNumberFormat="1" applyFont="1" applyAlignment="1" applyProtection="1">
      <alignment horizontal="center" vertical="center"/>
      <protection locked="0"/>
    </xf>
    <xf numFmtId="164" fontId="3" fillId="6" borderId="1" xfId="3" applyNumberFormat="1" applyFont="1" applyFill="1" applyBorder="1" applyAlignment="1" applyProtection="1">
      <alignment horizontal="center" vertical="center" wrapText="1"/>
      <protection locked="0"/>
    </xf>
    <xf numFmtId="1" fontId="3" fillId="5" borderId="1" xfId="7" applyNumberFormat="1" applyFont="1" applyFill="1" applyBorder="1" applyAlignment="1" applyProtection="1">
      <alignment horizontal="center" vertical="center"/>
      <protection locked="0"/>
    </xf>
    <xf numFmtId="165" fontId="25" fillId="3" borderId="1" xfId="7" applyNumberFormat="1" applyFont="1" applyFill="1" applyBorder="1" applyAlignment="1" applyProtection="1">
      <alignment horizontal="center" vertical="center" wrapText="1"/>
      <protection locked="0"/>
    </xf>
    <xf numFmtId="0" fontId="17" fillId="0" borderId="0" xfId="0" applyFont="1" applyAlignment="1">
      <alignment horizontal="center" vertical="center"/>
    </xf>
    <xf numFmtId="0" fontId="5" fillId="0" borderId="0" xfId="0" applyFont="1" applyAlignment="1">
      <alignment horizontal="left" vertical="center"/>
    </xf>
    <xf numFmtId="0" fontId="17" fillId="0" borderId="0" xfId="0" applyFont="1" applyAlignment="1">
      <alignment vertical="center"/>
    </xf>
    <xf numFmtId="43" fontId="17" fillId="0" borderId="0" xfId="3" applyFont="1" applyAlignment="1" applyProtection="1">
      <alignment horizontal="center" vertical="center"/>
    </xf>
    <xf numFmtId="164" fontId="17" fillId="0" borderId="0" xfId="3" applyNumberFormat="1" applyFont="1" applyAlignment="1" applyProtection="1">
      <alignment horizontal="center" vertical="center"/>
    </xf>
    <xf numFmtId="0" fontId="17" fillId="0" borderId="0" xfId="0" applyFont="1" applyAlignment="1">
      <alignment horizontal="left" vertical="center"/>
    </xf>
    <xf numFmtId="0" fontId="5" fillId="0" borderId="0" xfId="0" applyFont="1" applyAlignment="1">
      <alignment horizontal="center" vertical="center"/>
    </xf>
    <xf numFmtId="0" fontId="19" fillId="0" borderId="0" xfId="0" applyFont="1" applyAlignment="1">
      <alignment horizontal="center" vertical="center"/>
    </xf>
    <xf numFmtId="43" fontId="5" fillId="0" borderId="0" xfId="3" applyFont="1" applyAlignment="1" applyProtection="1">
      <alignment horizontal="center" vertical="center"/>
    </xf>
    <xf numFmtId="164" fontId="5" fillId="0" borderId="0" xfId="3" applyNumberFormat="1" applyFont="1" applyAlignment="1" applyProtection="1">
      <alignment horizontal="center" vertical="center"/>
    </xf>
    <xf numFmtId="0" fontId="26" fillId="2" borderId="1" xfId="0" applyFont="1" applyFill="1" applyBorder="1" applyAlignment="1">
      <alignment horizontal="center" vertical="center" wrapText="1"/>
    </xf>
    <xf numFmtId="0" fontId="4" fillId="0" borderId="0" xfId="0" applyFont="1" applyAlignment="1">
      <alignment horizontal="center" vertical="center"/>
    </xf>
    <xf numFmtId="0" fontId="4" fillId="0" borderId="0" xfId="0" applyFont="1" applyAlignment="1">
      <alignment vertical="center"/>
    </xf>
    <xf numFmtId="0" fontId="8" fillId="0" borderId="0" xfId="0" applyFont="1" applyAlignment="1">
      <alignment vertical="center" wrapText="1"/>
    </xf>
    <xf numFmtId="0" fontId="18" fillId="0" borderId="0" xfId="0" applyFont="1" applyAlignment="1">
      <alignment horizontal="center" vertical="center" wrapText="1"/>
    </xf>
    <xf numFmtId="164" fontId="18" fillId="0" borderId="0" xfId="0" applyNumberFormat="1" applyFont="1" applyAlignment="1">
      <alignment horizontal="center" vertical="center" wrapText="1"/>
    </xf>
    <xf numFmtId="164" fontId="18" fillId="0" borderId="0" xfId="3" applyNumberFormat="1" applyFont="1" applyBorder="1" applyAlignment="1" applyProtection="1">
      <alignment horizontal="center" vertical="center" wrapText="1"/>
    </xf>
    <xf numFmtId="0" fontId="8" fillId="0" borderId="0" xfId="0" applyFont="1" applyAlignment="1">
      <alignment horizontal="left" vertical="center"/>
    </xf>
    <xf numFmtId="0" fontId="9" fillId="0" borderId="0" xfId="0" applyFont="1" applyAlignment="1">
      <alignment horizontal="center" vertical="center"/>
    </xf>
    <xf numFmtId="0" fontId="3" fillId="0" borderId="0" xfId="0" applyFont="1" applyAlignment="1">
      <alignment horizontal="center" vertical="center" wrapText="1"/>
    </xf>
    <xf numFmtId="0" fontId="3" fillId="0" borderId="0" xfId="0" applyFont="1" applyAlignment="1">
      <alignment vertical="center" wrapText="1"/>
    </xf>
    <xf numFmtId="0" fontId="3" fillId="0" borderId="0" xfId="0" applyFont="1" applyAlignment="1">
      <alignment vertical="center"/>
    </xf>
    <xf numFmtId="0" fontId="3" fillId="0" borderId="0" xfId="0" applyFont="1" applyAlignment="1">
      <alignment horizontal="center" vertical="center"/>
    </xf>
    <xf numFmtId="43" fontId="3" fillId="0" borderId="0" xfId="3" applyFont="1" applyAlignment="1" applyProtection="1">
      <alignment horizontal="center" vertical="center"/>
    </xf>
    <xf numFmtId="43" fontId="3" fillId="0" borderId="0" xfId="3" applyFont="1" applyBorder="1" applyAlignment="1" applyProtection="1">
      <alignment horizontal="center" vertical="center" wrapText="1"/>
    </xf>
    <xf numFmtId="164" fontId="3" fillId="0" borderId="0" xfId="3" applyNumberFormat="1" applyFont="1" applyBorder="1" applyAlignment="1" applyProtection="1">
      <alignment horizontal="center" vertical="center" wrapText="1"/>
    </xf>
    <xf numFmtId="0" fontId="2" fillId="0" borderId="0" xfId="0" applyFont="1" applyAlignment="1">
      <alignment vertical="center"/>
    </xf>
    <xf numFmtId="0" fontId="4" fillId="0" borderId="0" xfId="0" applyFont="1" applyAlignment="1">
      <alignment horizontal="left" vertical="center"/>
    </xf>
    <xf numFmtId="164" fontId="3" fillId="0" borderId="0" xfId="3" applyNumberFormat="1" applyFont="1" applyAlignment="1" applyProtection="1">
      <alignment horizontal="center" vertical="center"/>
    </xf>
    <xf numFmtId="0" fontId="3" fillId="0" borderId="0" xfId="0" applyFont="1" applyAlignment="1">
      <alignment horizontal="left" vertical="center"/>
    </xf>
    <xf numFmtId="164" fontId="3" fillId="0" borderId="0" xfId="3" applyNumberFormat="1" applyFont="1" applyAlignment="1" applyProtection="1">
      <alignment vertical="center"/>
    </xf>
    <xf numFmtId="0" fontId="9" fillId="0" borderId="0" xfId="0" applyFont="1" applyAlignment="1">
      <alignment vertical="center"/>
    </xf>
    <xf numFmtId="0" fontId="3" fillId="0" borderId="0" xfId="0" applyFont="1" applyAlignment="1" applyProtection="1">
      <alignment horizontal="left" vertical="center"/>
      <protection locked="0"/>
    </xf>
    <xf numFmtId="0" fontId="8" fillId="0" borderId="0" xfId="0" applyFont="1" applyAlignment="1" applyProtection="1">
      <alignment horizontal="center" vertical="center"/>
      <protection locked="0"/>
    </xf>
    <xf numFmtId="0" fontId="9" fillId="0" borderId="0" xfId="0" applyFont="1" applyAlignment="1">
      <alignment horizontal="left" vertical="center"/>
    </xf>
    <xf numFmtId="0" fontId="21" fillId="0" borderId="0" xfId="0" applyFont="1" applyAlignment="1">
      <alignment horizontal="center" vertical="center"/>
    </xf>
    <xf numFmtId="0" fontId="9" fillId="4" borderId="1" xfId="1" applyFont="1" applyFill="1" applyBorder="1" applyAlignment="1">
      <alignment horizontal="center" vertical="center" wrapText="1"/>
    </xf>
    <xf numFmtId="164" fontId="22" fillId="0" borderId="0" xfId="3" applyNumberFormat="1" applyFont="1" applyAlignment="1" applyProtection="1">
      <alignment horizontal="left" vertical="center"/>
    </xf>
    <xf numFmtId="164" fontId="20" fillId="0" borderId="0" xfId="3" applyNumberFormat="1" applyFont="1" applyAlignment="1" applyProtection="1">
      <alignment horizontal="left" vertical="center"/>
    </xf>
    <xf numFmtId="164" fontId="22" fillId="0" borderId="0" xfId="3" applyNumberFormat="1" applyFont="1" applyAlignment="1" applyProtection="1">
      <alignment horizontal="center" vertical="center"/>
    </xf>
    <xf numFmtId="164" fontId="20" fillId="0" borderId="0" xfId="3" applyNumberFormat="1" applyFont="1" applyAlignment="1" applyProtection="1">
      <alignment horizontal="center" vertical="center"/>
    </xf>
    <xf numFmtId="0" fontId="17" fillId="2" borderId="1" xfId="0" applyFont="1" applyFill="1" applyBorder="1" applyAlignment="1">
      <alignment horizontal="center" vertical="center"/>
    </xf>
    <xf numFmtId="0" fontId="9" fillId="2" borderId="1" xfId="0" applyFont="1" applyFill="1" applyBorder="1" applyAlignment="1">
      <alignment horizontal="center" vertical="center"/>
    </xf>
    <xf numFmtId="0" fontId="9" fillId="8" borderId="3" xfId="0" applyFont="1" applyFill="1" applyBorder="1" applyAlignment="1">
      <alignment horizontal="center" vertical="center" wrapText="1"/>
    </xf>
    <xf numFmtId="0" fontId="8" fillId="0" borderId="0" xfId="0" applyFont="1" applyAlignment="1" applyProtection="1">
      <alignment vertical="center"/>
      <protection locked="0"/>
    </xf>
    <xf numFmtId="0" fontId="5" fillId="0" borderId="1" xfId="0" applyFont="1" applyBorder="1" applyAlignment="1">
      <alignment vertical="center" wrapText="1"/>
    </xf>
    <xf numFmtId="1" fontId="9" fillId="4" borderId="1" xfId="1" applyNumberFormat="1" applyFont="1" applyFill="1" applyBorder="1" applyAlignment="1" applyProtection="1">
      <alignment horizontal="center" vertical="center" wrapText="1"/>
      <protection locked="0"/>
    </xf>
    <xf numFmtId="1" fontId="3" fillId="5" borderId="1" xfId="7" applyNumberFormat="1" applyFont="1" applyFill="1" applyBorder="1" applyAlignment="1">
      <alignment horizontal="center" vertical="center"/>
    </xf>
    <xf numFmtId="0" fontId="0" fillId="0" borderId="0" xfId="0" applyAlignment="1">
      <alignment vertical="center"/>
    </xf>
    <xf numFmtId="0" fontId="7" fillId="0" borderId="0" xfId="0" applyFont="1" applyAlignment="1">
      <alignment vertical="center"/>
    </xf>
    <xf numFmtId="43" fontId="3" fillId="0" borderId="0" xfId="3" applyFont="1" applyAlignment="1" applyProtection="1">
      <alignment vertical="center"/>
    </xf>
    <xf numFmtId="164" fontId="11" fillId="0" borderId="0" xfId="4" applyNumberFormat="1" applyFont="1" applyAlignment="1">
      <alignment vertical="center"/>
    </xf>
    <xf numFmtId="0" fontId="11" fillId="0" borderId="0" xfId="5" applyFont="1" applyAlignment="1">
      <alignment horizontal="center" vertical="center"/>
    </xf>
    <xf numFmtId="0" fontId="13" fillId="0" borderId="0" xfId="5" applyFont="1" applyAlignment="1">
      <alignment horizontal="center" vertical="center"/>
    </xf>
    <xf numFmtId="0" fontId="14" fillId="0" borderId="0" xfId="4" applyFont="1" applyAlignment="1">
      <alignment vertical="center"/>
    </xf>
    <xf numFmtId="0" fontId="14" fillId="0" borderId="0" xfId="5" applyFont="1" applyAlignment="1">
      <alignment vertical="center"/>
    </xf>
    <xf numFmtId="0" fontId="15" fillId="0" borderId="0" xfId="5" applyFont="1" applyAlignment="1">
      <alignment vertical="center"/>
    </xf>
    <xf numFmtId="0" fontId="14" fillId="0" borderId="0" xfId="6" applyFont="1" applyAlignment="1">
      <alignment horizontal="center" vertical="center"/>
    </xf>
    <xf numFmtId="0" fontId="15" fillId="0" borderId="0" xfId="6" applyFont="1" applyAlignment="1">
      <alignment horizontal="center" vertical="center"/>
    </xf>
    <xf numFmtId="0" fontId="14" fillId="0" borderId="0" xfId="5" applyFont="1" applyAlignment="1">
      <alignment horizontal="center" vertical="center"/>
    </xf>
    <xf numFmtId="0" fontId="15" fillId="0" borderId="0" xfId="5" applyFont="1" applyAlignment="1">
      <alignment horizontal="center" vertical="center"/>
    </xf>
    <xf numFmtId="0" fontId="3" fillId="5" borderId="1" xfId="7" applyFont="1" applyFill="1" applyBorder="1" applyAlignment="1" applyProtection="1">
      <alignment horizontal="center" vertical="center"/>
      <protection locked="0"/>
    </xf>
    <xf numFmtId="0" fontId="24" fillId="7" borderId="1" xfId="7" applyFont="1" applyFill="1" applyBorder="1" applyAlignment="1" applyProtection="1">
      <alignment horizontal="center" vertical="center"/>
      <protection locked="0"/>
    </xf>
    <xf numFmtId="0" fontId="5" fillId="0" borderId="1" xfId="0" applyFont="1" applyBorder="1" applyAlignment="1" applyProtection="1">
      <alignment horizontal="center" vertical="center"/>
      <protection locked="0"/>
    </xf>
    <xf numFmtId="0" fontId="5" fillId="0" borderId="0" xfId="0" applyFont="1" applyAlignment="1" applyProtection="1">
      <alignment horizontal="center" vertical="center"/>
      <protection locked="0"/>
    </xf>
    <xf numFmtId="0" fontId="27" fillId="0" borderId="0" xfId="0" applyFont="1" applyAlignment="1" applyProtection="1">
      <alignment horizontal="left" vertical="center"/>
      <protection locked="0"/>
    </xf>
    <xf numFmtId="167" fontId="4" fillId="9" borderId="1" xfId="3" applyNumberFormat="1" applyFont="1" applyFill="1" applyBorder="1" applyAlignment="1" applyProtection="1">
      <alignment horizontal="center" vertical="center"/>
      <protection locked="0"/>
    </xf>
    <xf numFmtId="0" fontId="4" fillId="9" borderId="1" xfId="0" applyFont="1" applyFill="1" applyBorder="1" applyAlignment="1" applyProtection="1">
      <alignment horizontal="center" vertical="center"/>
      <protection locked="0"/>
    </xf>
    <xf numFmtId="43" fontId="4" fillId="10" borderId="1" xfId="3" applyFont="1" applyFill="1" applyBorder="1" applyAlignment="1" applyProtection="1">
      <alignment horizontal="center" vertical="center"/>
      <protection locked="0"/>
    </xf>
    <xf numFmtId="1" fontId="4" fillId="10" borderId="1" xfId="3" applyNumberFormat="1" applyFont="1" applyFill="1" applyBorder="1" applyAlignment="1" applyProtection="1">
      <alignment horizontal="center" vertical="center"/>
      <protection locked="0"/>
    </xf>
    <xf numFmtId="166" fontId="4" fillId="10" borderId="1" xfId="0" applyNumberFormat="1" applyFont="1" applyFill="1" applyBorder="1" applyAlignment="1" applyProtection="1">
      <alignment horizontal="center" vertical="center"/>
      <protection locked="0"/>
    </xf>
    <xf numFmtId="2" fontId="4" fillId="10" borderId="1" xfId="3" applyNumberFormat="1" applyFont="1" applyFill="1" applyBorder="1" applyAlignment="1" applyProtection="1">
      <alignment horizontal="center" vertical="center"/>
      <protection locked="0"/>
    </xf>
    <xf numFmtId="43" fontId="5" fillId="0" borderId="1" xfId="3" applyFont="1" applyBorder="1" applyAlignment="1" applyProtection="1">
      <alignment horizontal="center" vertical="center"/>
      <protection locked="0"/>
    </xf>
    <xf numFmtId="0" fontId="17" fillId="3" borderId="0" xfId="0" applyFont="1" applyFill="1" applyAlignment="1">
      <alignment vertical="center"/>
    </xf>
    <xf numFmtId="0" fontId="17" fillId="2" borderId="1" xfId="0" applyFont="1" applyFill="1" applyBorder="1" applyAlignment="1">
      <alignment horizontal="center" vertical="center" wrapText="1"/>
    </xf>
    <xf numFmtId="0" fontId="17" fillId="3" borderId="0" xfId="0" applyFont="1" applyFill="1" applyAlignment="1">
      <alignment horizontal="center" vertical="center"/>
    </xf>
    <xf numFmtId="1" fontId="9" fillId="7" borderId="1" xfId="7" applyNumberFormat="1" applyFont="1" applyFill="1" applyBorder="1" applyAlignment="1" applyProtection="1">
      <alignment horizontal="center" vertical="center"/>
      <protection locked="0"/>
    </xf>
    <xf numFmtId="2" fontId="9" fillId="7" borderId="1" xfId="7" applyNumberFormat="1" applyFont="1" applyFill="1" applyBorder="1" applyAlignment="1" applyProtection="1">
      <alignment horizontal="center" vertical="center"/>
      <protection locked="0"/>
    </xf>
    <xf numFmtId="43" fontId="3" fillId="3" borderId="1" xfId="3" applyFont="1" applyFill="1" applyBorder="1" applyAlignment="1" applyProtection="1">
      <alignment horizontal="center" vertical="center" wrapText="1"/>
      <protection locked="0"/>
    </xf>
    <xf numFmtId="164" fontId="3" fillId="3" borderId="1" xfId="3" applyNumberFormat="1" applyFont="1" applyFill="1" applyBorder="1" applyAlignment="1" applyProtection="1">
      <alignment horizontal="center" vertical="center" wrapText="1"/>
      <protection locked="0"/>
    </xf>
    <xf numFmtId="43" fontId="3" fillId="3" borderId="1" xfId="3" applyFont="1" applyFill="1" applyBorder="1" applyAlignment="1" applyProtection="1">
      <alignment horizontal="center" vertical="center" wrapText="1"/>
    </xf>
    <xf numFmtId="43" fontId="22" fillId="0" borderId="0" xfId="3" applyFont="1" applyAlignment="1" applyProtection="1">
      <alignment horizontal="center" vertical="center"/>
    </xf>
    <xf numFmtId="43" fontId="3" fillId="0" borderId="0" xfId="3" applyFont="1" applyAlignment="1">
      <alignment vertical="center"/>
    </xf>
    <xf numFmtId="43" fontId="20" fillId="0" borderId="0" xfId="3" applyFont="1" applyAlignment="1" applyProtection="1">
      <alignment horizontal="center" vertical="center"/>
    </xf>
    <xf numFmtId="164" fontId="3" fillId="3" borderId="1" xfId="3" applyNumberFormat="1" applyFont="1" applyFill="1" applyBorder="1" applyAlignment="1" applyProtection="1">
      <alignment horizontal="center" vertical="center" wrapText="1"/>
    </xf>
    <xf numFmtId="43" fontId="17" fillId="2" borderId="1" xfId="3" applyFont="1" applyFill="1" applyBorder="1" applyAlignment="1" applyProtection="1">
      <alignment horizontal="center" vertical="center"/>
      <protection locked="0"/>
    </xf>
    <xf numFmtId="164" fontId="17" fillId="2" borderId="1" xfId="3" applyNumberFormat="1" applyFont="1" applyFill="1" applyBorder="1" applyAlignment="1" applyProtection="1">
      <alignment horizontal="center" vertical="center"/>
      <protection locked="0"/>
    </xf>
    <xf numFmtId="164" fontId="17" fillId="2" borderId="1" xfId="3" applyNumberFormat="1" applyFont="1" applyFill="1" applyBorder="1" applyAlignment="1" applyProtection="1">
      <alignment horizontal="right" vertical="center"/>
      <protection locked="0"/>
    </xf>
    <xf numFmtId="168" fontId="29" fillId="8" borderId="6" xfId="8" applyNumberFormat="1" applyFont="1" applyFill="1" applyBorder="1" applyAlignment="1">
      <alignment horizontal="center" vertical="center"/>
    </xf>
    <xf numFmtId="0" fontId="2" fillId="8" borderId="1" xfId="0" applyFont="1" applyFill="1" applyBorder="1" applyAlignment="1" applyProtection="1">
      <alignment vertical="center"/>
      <protection locked="0"/>
    </xf>
    <xf numFmtId="22" fontId="29" fillId="8" borderId="6" xfId="8" applyNumberFormat="1" applyFont="1" applyFill="1" applyBorder="1" applyAlignment="1">
      <alignment horizontal="center" vertical="center"/>
    </xf>
    <xf numFmtId="0" fontId="5" fillId="0" borderId="0" xfId="0" applyFont="1" applyAlignment="1" applyProtection="1">
      <alignment vertical="center"/>
      <protection locked="0"/>
    </xf>
    <xf numFmtId="0" fontId="0" fillId="0" borderId="1" xfId="0" applyBorder="1"/>
    <xf numFmtId="0" fontId="0" fillId="2" borderId="1" xfId="0" applyFill="1" applyBorder="1"/>
    <xf numFmtId="0" fontId="0" fillId="2" borderId="1" xfId="0" applyFill="1" applyBorder="1" applyAlignment="1">
      <alignment horizontal="center"/>
    </xf>
    <xf numFmtId="0" fontId="0" fillId="0" borderId="1" xfId="0" applyBorder="1" applyAlignment="1">
      <alignment horizontal="center"/>
    </xf>
    <xf numFmtId="0" fontId="0" fillId="0" borderId="0" xfId="0" applyAlignment="1">
      <alignment horizontal="center"/>
    </xf>
    <xf numFmtId="0" fontId="31" fillId="2" borderId="1" xfId="0" applyFont="1" applyFill="1" applyBorder="1"/>
    <xf numFmtId="0" fontId="31" fillId="2" borderId="1" xfId="0" applyFont="1" applyFill="1" applyBorder="1" applyAlignment="1">
      <alignment horizontal="center"/>
    </xf>
    <xf numFmtId="0" fontId="32" fillId="0" borderId="1" xfId="0" applyFont="1" applyBorder="1"/>
    <xf numFmtId="0" fontId="32" fillId="0" borderId="1" xfId="0" applyFont="1" applyBorder="1" applyAlignment="1">
      <alignment wrapText="1"/>
    </xf>
    <xf numFmtId="0" fontId="32" fillId="0" borderId="1" xfId="0" applyFont="1" applyBorder="1" applyAlignment="1">
      <alignment horizontal="center"/>
    </xf>
    <xf numFmtId="1" fontId="32" fillId="0" borderId="1" xfId="0" applyNumberFormat="1" applyFont="1" applyBorder="1"/>
    <xf numFmtId="0" fontId="32" fillId="0" borderId="0" xfId="0" applyFont="1"/>
    <xf numFmtId="0" fontId="3" fillId="0" borderId="1" xfId="0" applyFont="1" applyBorder="1" applyAlignment="1" applyProtection="1">
      <alignment horizontal="center" vertical="center"/>
      <protection locked="0"/>
    </xf>
    <xf numFmtId="0" fontId="33" fillId="0" borderId="0" xfId="0" applyFont="1" applyAlignment="1" applyProtection="1">
      <alignment horizontal="center" vertical="center"/>
      <protection locked="0"/>
    </xf>
    <xf numFmtId="0" fontId="33" fillId="0" borderId="0" xfId="0" applyFont="1" applyAlignment="1" applyProtection="1">
      <alignment vertical="center"/>
      <protection locked="0"/>
    </xf>
    <xf numFmtId="0" fontId="3" fillId="6" borderId="1" xfId="0" applyFont="1" applyFill="1" applyBorder="1" applyAlignment="1" applyProtection="1">
      <alignment horizontal="center" vertical="center"/>
      <protection locked="0"/>
    </xf>
    <xf numFmtId="0" fontId="3" fillId="6" borderId="1" xfId="0" applyFont="1" applyFill="1" applyBorder="1" applyAlignment="1" applyProtection="1">
      <alignment vertical="center" wrapText="1"/>
      <protection locked="0"/>
    </xf>
    <xf numFmtId="1" fontId="34" fillId="7" borderId="1" xfId="7" applyNumberFormat="1" applyFont="1" applyFill="1" applyBorder="1" applyAlignment="1" applyProtection="1">
      <alignment vertical="center" wrapText="1"/>
      <protection locked="0"/>
    </xf>
    <xf numFmtId="0" fontId="33" fillId="0" borderId="1" xfId="0" applyFont="1" applyBorder="1" applyAlignment="1" applyProtection="1">
      <alignment horizontal="center" vertical="center"/>
      <protection locked="0"/>
    </xf>
    <xf numFmtId="0" fontId="3" fillId="3" borderId="1" xfId="0" applyFont="1" applyFill="1" applyBorder="1" applyAlignment="1" applyProtection="1">
      <alignment vertical="center" wrapText="1"/>
      <protection locked="0"/>
    </xf>
    <xf numFmtId="0" fontId="9" fillId="2" borderId="1" xfId="0" applyFont="1" applyFill="1" applyBorder="1" applyAlignment="1" applyProtection="1">
      <alignment vertical="center"/>
      <protection locked="0"/>
    </xf>
    <xf numFmtId="0" fontId="9" fillId="2" borderId="1" xfId="0" applyFont="1" applyFill="1" applyBorder="1" applyAlignment="1" applyProtection="1">
      <alignment horizontal="center" vertical="center"/>
      <protection locked="0"/>
    </xf>
    <xf numFmtId="0" fontId="9" fillId="2" borderId="4" xfId="0" applyFont="1" applyFill="1" applyBorder="1" applyAlignment="1" applyProtection="1">
      <alignment horizontal="center" vertical="center"/>
      <protection locked="0"/>
    </xf>
    <xf numFmtId="164" fontId="9" fillId="2" borderId="1" xfId="0" applyNumberFormat="1" applyFont="1" applyFill="1" applyBorder="1" applyAlignment="1">
      <alignment horizontal="center" vertical="center"/>
    </xf>
    <xf numFmtId="0" fontId="9" fillId="2" borderId="1" xfId="0" applyFont="1" applyFill="1" applyBorder="1" applyAlignment="1">
      <alignment horizontal="right" vertical="center"/>
    </xf>
    <xf numFmtId="164" fontId="9" fillId="2" borderId="1" xfId="3" applyNumberFormat="1" applyFont="1" applyFill="1" applyBorder="1" applyAlignment="1" applyProtection="1">
      <alignment horizontal="center" vertical="center"/>
      <protection locked="0"/>
    </xf>
    <xf numFmtId="0" fontId="9" fillId="2" borderId="5" xfId="0" applyFont="1" applyFill="1" applyBorder="1" applyAlignment="1" applyProtection="1">
      <alignment horizontal="center" vertical="center"/>
      <protection locked="0"/>
    </xf>
    <xf numFmtId="0" fontId="9" fillId="2" borderId="0" xfId="0" applyFont="1" applyFill="1" applyAlignment="1" applyProtection="1">
      <alignment vertical="center"/>
      <protection locked="0"/>
    </xf>
    <xf numFmtId="0" fontId="9" fillId="2" borderId="0" xfId="0" applyFont="1" applyFill="1" applyAlignment="1" applyProtection="1">
      <alignment horizontal="center" vertical="center"/>
      <protection locked="0"/>
    </xf>
    <xf numFmtId="164" fontId="9" fillId="4" borderId="1" xfId="0" applyNumberFormat="1" applyFont="1" applyFill="1" applyBorder="1" applyAlignment="1">
      <alignment horizontal="center" vertical="center"/>
    </xf>
    <xf numFmtId="0" fontId="9" fillId="4" borderId="1" xfId="0" applyFont="1" applyFill="1" applyBorder="1" applyAlignment="1">
      <alignment horizontal="right" vertical="center"/>
    </xf>
    <xf numFmtId="164" fontId="9" fillId="4" borderId="1" xfId="3" applyNumberFormat="1" applyFont="1" applyFill="1" applyBorder="1" applyAlignment="1" applyProtection="1">
      <alignment horizontal="center" vertical="center"/>
      <protection locked="0"/>
    </xf>
    <xf numFmtId="0" fontId="35" fillId="0" borderId="0" xfId="0" applyFont="1" applyAlignment="1">
      <alignment horizontal="left" vertical="center" indent="1"/>
    </xf>
    <xf numFmtId="0" fontId="33" fillId="0" borderId="0" xfId="0" applyFont="1" applyAlignment="1">
      <alignment vertical="center"/>
    </xf>
    <xf numFmtId="0" fontId="3" fillId="0" borderId="0" xfId="0" quotePrefix="1" applyFont="1" applyAlignment="1">
      <alignment vertical="center"/>
    </xf>
    <xf numFmtId="164" fontId="3" fillId="0" borderId="0" xfId="0" quotePrefix="1" applyNumberFormat="1" applyFont="1" applyAlignment="1">
      <alignment horizontal="left" vertical="center" wrapText="1"/>
    </xf>
    <xf numFmtId="164" fontId="3" fillId="0" borderId="0" xfId="3" quotePrefix="1" applyNumberFormat="1" applyFont="1" applyAlignment="1" applyProtection="1">
      <alignment horizontal="left" vertical="center" wrapText="1"/>
    </xf>
    <xf numFmtId="0" fontId="3" fillId="0" borderId="0" xfId="0" quotePrefix="1" applyFont="1" applyAlignment="1">
      <alignment vertical="center" wrapText="1"/>
    </xf>
    <xf numFmtId="0" fontId="3" fillId="0" borderId="0" xfId="0" quotePrefix="1" applyFont="1" applyAlignment="1">
      <alignment horizontal="center" vertical="center" wrapText="1"/>
    </xf>
    <xf numFmtId="0" fontId="33" fillId="0" borderId="0" xfId="0" applyFont="1" applyAlignment="1">
      <alignment horizontal="center" vertical="center"/>
    </xf>
    <xf numFmtId="0" fontId="20" fillId="0" borderId="0" xfId="0" applyFont="1" applyAlignment="1">
      <alignment vertical="center"/>
    </xf>
    <xf numFmtId="0" fontId="32" fillId="0" borderId="0" xfId="0" applyFont="1" applyAlignment="1">
      <alignment vertical="center"/>
    </xf>
    <xf numFmtId="0" fontId="5" fillId="0" borderId="0" xfId="0" applyFont="1" applyAlignment="1" applyProtection="1">
      <alignment vertical="center" wrapText="1"/>
      <protection locked="0"/>
    </xf>
    <xf numFmtId="0" fontId="4" fillId="3" borderId="1" xfId="0" applyFont="1" applyFill="1" applyBorder="1" applyAlignment="1">
      <alignment horizontal="center" vertical="center"/>
    </xf>
    <xf numFmtId="0" fontId="17" fillId="3" borderId="1" xfId="0" applyFont="1" applyFill="1" applyBorder="1" applyAlignment="1">
      <alignment horizontal="center" vertical="center" wrapText="1"/>
    </xf>
    <xf numFmtId="164" fontId="30" fillId="0" borderId="0" xfId="3" applyNumberFormat="1" applyFont="1" applyBorder="1" applyAlignment="1" applyProtection="1">
      <alignment vertical="center"/>
    </xf>
    <xf numFmtId="164" fontId="9" fillId="11" borderId="1" xfId="0" applyNumberFormat="1" applyFont="1" applyFill="1" applyBorder="1" applyAlignment="1">
      <alignment horizontal="center" vertical="center"/>
    </xf>
    <xf numFmtId="0" fontId="9" fillId="11" borderId="1" xfId="0" applyFont="1" applyFill="1" applyBorder="1" applyAlignment="1">
      <alignment horizontal="right" vertical="center"/>
    </xf>
    <xf numFmtId="164" fontId="9" fillId="11" borderId="1" xfId="3" applyNumberFormat="1" applyFont="1" applyFill="1" applyBorder="1" applyAlignment="1" applyProtection="1">
      <alignment horizontal="center" vertical="center"/>
      <protection locked="0"/>
    </xf>
    <xf numFmtId="0" fontId="5" fillId="0" borderId="0" xfId="0" applyFont="1" applyAlignment="1" applyProtection="1">
      <alignment horizontal="left" vertical="center"/>
      <protection locked="0"/>
    </xf>
    <xf numFmtId="0" fontId="3" fillId="12" borderId="1" xfId="0" applyFont="1" applyFill="1" applyBorder="1" applyAlignment="1" applyProtection="1">
      <alignment vertical="center" wrapText="1"/>
      <protection locked="0"/>
    </xf>
    <xf numFmtId="0" fontId="5" fillId="4" borderId="1" xfId="0" applyFont="1" applyFill="1" applyBorder="1" applyAlignment="1" applyProtection="1">
      <alignment vertical="center" wrapText="1"/>
      <protection locked="0"/>
    </xf>
    <xf numFmtId="0" fontId="9" fillId="13" borderId="1" xfId="7" applyFont="1" applyFill="1" applyBorder="1" applyAlignment="1" applyProtection="1">
      <alignment horizontal="center" vertical="center"/>
      <protection locked="0"/>
    </xf>
    <xf numFmtId="1" fontId="9" fillId="13" borderId="1" xfId="7" applyNumberFormat="1" applyFont="1" applyFill="1" applyBorder="1" applyAlignment="1">
      <alignment horizontal="center" vertical="center"/>
    </xf>
    <xf numFmtId="165" fontId="36" fillId="4" borderId="1" xfId="7" applyNumberFormat="1" applyFont="1" applyFill="1" applyBorder="1" applyAlignment="1" applyProtection="1">
      <alignment horizontal="center" vertical="center" wrapText="1"/>
      <protection locked="0"/>
    </xf>
    <xf numFmtId="43" fontId="9" fillId="4" borderId="1" xfId="3" applyFont="1" applyFill="1" applyBorder="1" applyAlignment="1" applyProtection="1">
      <alignment horizontal="center" vertical="center" wrapText="1"/>
    </xf>
    <xf numFmtId="0" fontId="4" fillId="2" borderId="1" xfId="0" applyFont="1" applyFill="1" applyBorder="1" applyAlignment="1">
      <alignment horizontal="center" vertical="center"/>
    </xf>
    <xf numFmtId="0" fontId="3" fillId="0" borderId="1" xfId="0" applyFont="1" applyFill="1" applyBorder="1" applyAlignment="1" applyProtection="1">
      <alignment horizontal="center" vertical="center"/>
      <protection locked="0"/>
    </xf>
    <xf numFmtId="0" fontId="3" fillId="0" borderId="1" xfId="0" applyFont="1" applyFill="1" applyBorder="1" applyAlignment="1" applyProtection="1">
      <alignment vertical="center" wrapText="1"/>
      <protection locked="0"/>
    </xf>
    <xf numFmtId="0" fontId="24" fillId="0" borderId="1" xfId="7" applyFont="1" applyFill="1" applyBorder="1" applyAlignment="1" applyProtection="1">
      <alignment horizontal="center" vertical="center"/>
      <protection locked="0"/>
    </xf>
    <xf numFmtId="1" fontId="9" fillId="0" borderId="1" xfId="7" applyNumberFormat="1" applyFont="1" applyFill="1" applyBorder="1" applyAlignment="1" applyProtection="1">
      <alignment horizontal="center" vertical="center"/>
      <protection locked="0"/>
    </xf>
    <xf numFmtId="2" fontId="9" fillId="0" borderId="4" xfId="7" applyNumberFormat="1" applyFont="1" applyFill="1" applyBorder="1" applyAlignment="1" applyProtection="1">
      <alignment horizontal="center" vertical="center"/>
      <protection locked="0"/>
    </xf>
    <xf numFmtId="2" fontId="9" fillId="0" borderId="1" xfId="7" applyNumberFormat="1" applyFont="1" applyFill="1" applyBorder="1" applyAlignment="1" applyProtection="1">
      <alignment horizontal="center" vertical="center"/>
      <protection locked="0"/>
    </xf>
    <xf numFmtId="164" fontId="3" fillId="0" borderId="1" xfId="3" applyNumberFormat="1" applyFont="1" applyFill="1" applyBorder="1" applyAlignment="1" applyProtection="1">
      <alignment horizontal="center" vertical="center" wrapText="1"/>
      <protection locked="0"/>
    </xf>
    <xf numFmtId="1" fontId="34" fillId="0" borderId="5" xfId="7" applyNumberFormat="1" applyFont="1" applyFill="1" applyBorder="1" applyAlignment="1" applyProtection="1">
      <alignment vertical="center" wrapText="1"/>
      <protection locked="0"/>
    </xf>
    <xf numFmtId="0" fontId="33" fillId="0" borderId="0" xfId="0" applyFont="1" applyFill="1" applyBorder="1" applyAlignment="1" applyProtection="1">
      <alignment horizontal="center" vertical="center"/>
      <protection locked="0"/>
    </xf>
    <xf numFmtId="0" fontId="33" fillId="0" borderId="0" xfId="0" applyFont="1" applyFill="1" applyAlignment="1" applyProtection="1">
      <alignment horizontal="center" vertical="center"/>
      <protection locked="0"/>
    </xf>
    <xf numFmtId="0" fontId="33" fillId="0" borderId="0" xfId="0" applyFont="1" applyFill="1" applyAlignment="1" applyProtection="1">
      <alignment vertical="center"/>
      <protection locked="0"/>
    </xf>
    <xf numFmtId="0" fontId="3" fillId="0" borderId="0" xfId="0" quotePrefix="1" applyFont="1" applyAlignment="1">
      <alignment horizontal="left" vertical="center" wrapText="1"/>
    </xf>
    <xf numFmtId="164" fontId="5" fillId="0" borderId="1" xfId="3" applyNumberFormat="1" applyFont="1" applyBorder="1" applyAlignment="1" applyProtection="1">
      <alignment horizontal="center" vertical="center"/>
    </xf>
    <xf numFmtId="0" fontId="5" fillId="0" borderId="1" xfId="0" applyFont="1" applyBorder="1" applyAlignment="1">
      <alignment horizontal="center" vertical="center"/>
    </xf>
    <xf numFmtId="164" fontId="5" fillId="0" borderId="1" xfId="3" applyNumberFormat="1" applyFont="1" applyBorder="1" applyAlignment="1" applyProtection="1">
      <alignment horizontal="center" vertical="center" wrapText="1"/>
    </xf>
    <xf numFmtId="0" fontId="5" fillId="0" borderId="0" xfId="0" applyFont="1" applyAlignment="1" applyProtection="1">
      <alignment horizontal="left" vertical="center" wrapText="1"/>
      <protection locked="0"/>
    </xf>
    <xf numFmtId="0" fontId="17" fillId="0" borderId="0" xfId="0" applyFont="1" applyAlignment="1" applyProtection="1">
      <alignment horizontal="left" vertical="center" wrapText="1"/>
      <protection locked="0"/>
    </xf>
    <xf numFmtId="43" fontId="5" fillId="0" borderId="1" xfId="3" applyFont="1" applyBorder="1" applyAlignment="1" applyProtection="1">
      <alignment horizontal="center" vertical="center" wrapText="1"/>
    </xf>
    <xf numFmtId="0" fontId="5" fillId="0" borderId="1" xfId="0" applyFont="1" applyBorder="1" applyAlignment="1">
      <alignment horizontal="center" vertical="center" wrapText="1"/>
    </xf>
    <xf numFmtId="0" fontId="26" fillId="0" borderId="3" xfId="0" applyFont="1" applyBorder="1" applyAlignment="1">
      <alignment horizontal="center" vertical="center" wrapText="1"/>
    </xf>
    <xf numFmtId="0" fontId="26" fillId="0" borderId="2" xfId="0" applyFont="1" applyBorder="1" applyAlignment="1">
      <alignment horizontal="center" vertical="center" wrapText="1"/>
    </xf>
    <xf numFmtId="164" fontId="5" fillId="2" borderId="1" xfId="3" applyNumberFormat="1" applyFont="1" applyFill="1" applyBorder="1" applyAlignment="1" applyProtection="1">
      <alignment horizontal="center" vertical="center" wrapText="1"/>
    </xf>
    <xf numFmtId="164" fontId="5" fillId="2" borderId="1" xfId="3" applyNumberFormat="1" applyFont="1" applyFill="1" applyBorder="1" applyAlignment="1" applyProtection="1">
      <alignment horizontal="center" vertical="center"/>
    </xf>
    <xf numFmtId="43" fontId="21" fillId="0" borderId="7" xfId="3" applyFont="1" applyFill="1" applyBorder="1" applyAlignment="1" applyProtection="1">
      <alignment horizontal="center" vertical="center" wrapText="1"/>
    </xf>
    <xf numFmtId="43" fontId="21" fillId="0" borderId="8" xfId="3" applyFont="1" applyFill="1" applyBorder="1" applyAlignment="1" applyProtection="1">
      <alignment horizontal="center" vertical="center" wrapText="1"/>
    </xf>
    <xf numFmtId="43" fontId="21" fillId="0" borderId="9" xfId="3" applyFont="1" applyFill="1" applyBorder="1" applyAlignment="1" applyProtection="1">
      <alignment horizontal="center" vertical="center" wrapText="1"/>
    </xf>
    <xf numFmtId="43" fontId="21" fillId="0" borderId="10" xfId="3" applyFont="1" applyFill="1" applyBorder="1" applyAlignment="1" applyProtection="1">
      <alignment horizontal="center" vertical="center" wrapText="1"/>
    </xf>
    <xf numFmtId="43" fontId="21" fillId="0" borderId="0" xfId="3" applyFont="1" applyFill="1" applyBorder="1" applyAlignment="1" applyProtection="1">
      <alignment horizontal="center" vertical="center" wrapText="1"/>
    </xf>
    <xf numFmtId="43" fontId="21" fillId="0" borderId="11" xfId="3" applyFont="1" applyFill="1" applyBorder="1" applyAlignment="1" applyProtection="1">
      <alignment horizontal="center" vertical="center" wrapText="1"/>
    </xf>
    <xf numFmtId="43" fontId="21" fillId="0" borderId="12" xfId="3" applyFont="1" applyFill="1" applyBorder="1" applyAlignment="1" applyProtection="1">
      <alignment horizontal="center" vertical="center" wrapText="1"/>
    </xf>
    <xf numFmtId="43" fontId="21" fillId="0" borderId="13" xfId="3" applyFont="1" applyFill="1" applyBorder="1" applyAlignment="1" applyProtection="1">
      <alignment horizontal="center" vertical="center" wrapText="1"/>
    </xf>
    <xf numFmtId="43" fontId="21" fillId="0" borderId="14" xfId="3" applyFont="1" applyFill="1" applyBorder="1" applyAlignment="1" applyProtection="1">
      <alignment horizontal="center" vertical="center" wrapText="1"/>
    </xf>
    <xf numFmtId="0" fontId="20" fillId="0" borderId="0" xfId="0" applyFont="1" applyAlignment="1">
      <alignment horizontal="center" vertical="center"/>
    </xf>
    <xf numFmtId="0" fontId="9" fillId="2" borderId="3" xfId="0" applyFont="1" applyFill="1" applyBorder="1" applyAlignment="1">
      <alignment horizontal="center" vertical="center"/>
    </xf>
    <xf numFmtId="0" fontId="9" fillId="2" borderId="2" xfId="0" applyFont="1" applyFill="1" applyBorder="1" applyAlignment="1">
      <alignment horizontal="center" vertical="center"/>
    </xf>
    <xf numFmtId="0" fontId="9" fillId="2" borderId="3" xfId="0" applyFont="1" applyFill="1" applyBorder="1" applyAlignment="1">
      <alignment horizontal="center" vertical="center" wrapText="1"/>
    </xf>
    <xf numFmtId="0" fontId="9" fillId="2" borderId="2" xfId="0" applyFont="1" applyFill="1" applyBorder="1" applyAlignment="1">
      <alignment horizontal="center" vertical="center" wrapText="1"/>
    </xf>
    <xf numFmtId="43" fontId="9" fillId="2" borderId="3" xfId="3" applyFont="1" applyFill="1" applyBorder="1" applyAlignment="1" applyProtection="1">
      <alignment horizontal="center" vertical="center" wrapText="1"/>
    </xf>
    <xf numFmtId="43" fontId="9" fillId="2" borderId="2" xfId="3" applyFont="1" applyFill="1" applyBorder="1" applyAlignment="1" applyProtection="1">
      <alignment horizontal="center" vertical="center" wrapText="1"/>
    </xf>
    <xf numFmtId="164" fontId="9" fillId="2" borderId="3" xfId="3" applyNumberFormat="1" applyFont="1" applyFill="1" applyBorder="1" applyAlignment="1" applyProtection="1">
      <alignment horizontal="center" vertical="center"/>
    </xf>
    <xf numFmtId="164" fontId="9" fillId="2" borderId="2" xfId="3" applyNumberFormat="1" applyFont="1" applyFill="1" applyBorder="1" applyAlignment="1" applyProtection="1">
      <alignment horizontal="center" vertical="center"/>
    </xf>
    <xf numFmtId="0" fontId="9" fillId="2" borderId="4" xfId="0" applyFont="1" applyFill="1" applyBorder="1" applyAlignment="1">
      <alignment horizontal="center" vertical="center" wrapText="1"/>
    </xf>
    <xf numFmtId="0" fontId="9" fillId="2" borderId="5" xfId="0" applyFont="1" applyFill="1" applyBorder="1" applyAlignment="1">
      <alignment horizontal="center" vertical="center" wrapText="1"/>
    </xf>
  </cellXfs>
  <cellStyles count="9">
    <cellStyle name="Comma" xfId="3" builtinId="3"/>
    <cellStyle name="Comma 2" xfId="2"/>
    <cellStyle name="Excel Built-in Normal" xfId="7"/>
    <cellStyle name="Normal" xfId="0" builtinId="0"/>
    <cellStyle name="Normal 2" xfId="1"/>
    <cellStyle name="Normal 3" xfId="8"/>
    <cellStyle name="Normal_Dichso" xfId="6"/>
    <cellStyle name="Normal_DocSoUnicode" xfId="5"/>
    <cellStyle name="Normal_NhatKy0403" xfId="4"/>
  </cellStyles>
  <dxfs count="11">
    <dxf>
      <fill>
        <patternFill>
          <bgColor theme="7" tint="-0.24994659260841701"/>
        </patternFill>
      </fill>
    </dxf>
    <dxf>
      <fill>
        <patternFill>
          <bgColor theme="7"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3</xdr:col>
      <xdr:colOff>41910</xdr:colOff>
      <xdr:row>0</xdr:row>
      <xdr:rowOff>0</xdr:rowOff>
    </xdr:from>
    <xdr:ext cx="5156200" cy="1419227"/>
    <xdr:sp macro="" textlink="">
      <xdr:nvSpPr>
        <xdr:cNvPr id="3" name="TextBox 2">
          <a:extLst>
            <a:ext uri="{FF2B5EF4-FFF2-40B4-BE49-F238E27FC236}">
              <a16:creationId xmlns:a16="http://schemas.microsoft.com/office/drawing/2014/main" xmlns="" id="{00000000-0008-0000-0000-000003000000}"/>
            </a:ext>
          </a:extLst>
        </xdr:cNvPr>
        <xdr:cNvSpPr txBox="1"/>
      </xdr:nvSpPr>
      <xdr:spPr>
        <a:xfrm>
          <a:off x="3295650" y="0"/>
          <a:ext cx="5156200" cy="1419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lnSpc>
              <a:spcPct val="100000"/>
            </a:lnSpc>
            <a:spcBef>
              <a:spcPts val="0"/>
            </a:spcBef>
            <a:spcAft>
              <a:spcPts val="0"/>
            </a:spcAft>
          </a:pPr>
          <a:r>
            <a:rPr lang="en-US" sz="2000" b="1">
              <a:latin typeface="Times New Roman" panose="02020603050405020304" pitchFamily="18" charset="0"/>
              <a:cs typeface="Times New Roman" panose="02020603050405020304" pitchFamily="18" charset="0"/>
            </a:rPr>
            <a:t>CÔNG TY TNHH GỖ GERVIN</a:t>
          </a:r>
        </a:p>
        <a:p>
          <a:pPr algn="ctr">
            <a:lnSpc>
              <a:spcPct val="150000"/>
            </a:lnSpc>
            <a:spcBef>
              <a:spcPts val="0"/>
            </a:spcBef>
            <a:spcAft>
              <a:spcPts val="0"/>
            </a:spcAft>
          </a:pPr>
          <a:r>
            <a:rPr lang="vi-VN" sz="1400">
              <a:latin typeface="Times New Roman" panose="02020603050405020304" pitchFamily="18" charset="0"/>
              <a:cs typeface="Times New Roman" panose="02020603050405020304" pitchFamily="18" charset="0"/>
            </a:rPr>
            <a:t>Địa chỉ: Xóm 3, Hưng Thịnh, Hưng Nguyên, Nghệ An</a:t>
          </a:r>
          <a:endParaRPr lang="en-US" sz="1400">
            <a:latin typeface="Times New Roman" panose="02020603050405020304" pitchFamily="18" charset="0"/>
            <a:cs typeface="Times New Roman" panose="02020603050405020304" pitchFamily="18" charset="0"/>
          </a:endParaRPr>
        </a:p>
        <a:p>
          <a:pPr algn="ctr">
            <a:lnSpc>
              <a:spcPct val="150000"/>
            </a:lnSpc>
            <a:spcBef>
              <a:spcPts val="0"/>
            </a:spcBef>
            <a:spcAft>
              <a:spcPts val="0"/>
            </a:spcAft>
          </a:pPr>
          <a:r>
            <a:rPr lang="en-US" sz="1400">
              <a:latin typeface="Times New Roman" panose="02020603050405020304" pitchFamily="18" charset="0"/>
              <a:cs typeface="Times New Roman" panose="02020603050405020304" pitchFamily="18" charset="0"/>
            </a:rPr>
            <a:t>Điện thoại: 0835.021.368 - Email: contact@gervinwood.com</a:t>
          </a:r>
          <a:r>
            <a:rPr lang="en-US" sz="1400"/>
            <a:t> </a:t>
          </a:r>
        </a:p>
        <a:p>
          <a:pPr algn="ctr">
            <a:lnSpc>
              <a:spcPct val="150000"/>
            </a:lnSpc>
            <a:spcBef>
              <a:spcPts val="0"/>
            </a:spcBef>
            <a:spcAft>
              <a:spcPts val="0"/>
            </a:spcAft>
          </a:pPr>
          <a:r>
            <a:rPr lang="en-US" sz="1400">
              <a:solidFill>
                <a:schemeClr val="tx1"/>
              </a:solidFill>
              <a:latin typeface="Times New Roman" panose="02020603050405020304" pitchFamily="18" charset="0"/>
              <a:ea typeface="+mn-ea"/>
              <a:cs typeface="Times New Roman" panose="02020603050405020304" pitchFamily="18" charset="0"/>
            </a:rPr>
            <a:t>WWW.GERVINWOOD.COM</a:t>
          </a:r>
        </a:p>
      </xdr:txBody>
    </xdr:sp>
    <xdr:clientData/>
  </xdr:oneCellAnchor>
  <xdr:twoCellAnchor editAs="oneCell">
    <xdr:from>
      <xdr:col>2</xdr:col>
      <xdr:colOff>60323</xdr:colOff>
      <xdr:row>0</xdr:row>
      <xdr:rowOff>158749</xdr:rowOff>
    </xdr:from>
    <xdr:to>
      <xdr:col>2</xdr:col>
      <xdr:colOff>1625946</xdr:colOff>
      <xdr:row>4</xdr:row>
      <xdr:rowOff>19050</xdr:rowOff>
    </xdr:to>
    <xdr:pic>
      <xdr:nvPicPr>
        <xdr:cNvPr id="6" name="Picture 5">
          <a:extLst>
            <a:ext uri="{FF2B5EF4-FFF2-40B4-BE49-F238E27FC236}">
              <a16:creationId xmlns:a16="http://schemas.microsoft.com/office/drawing/2014/main" xmlns="" id="{00000000-0008-0000-0000-000006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69898" y="158749"/>
          <a:ext cx="1565623" cy="14319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79799</xdr:colOff>
      <xdr:row>50</xdr:row>
      <xdr:rowOff>69426</xdr:rowOff>
    </xdr:from>
    <xdr:to>
      <xdr:col>12</xdr:col>
      <xdr:colOff>1029393</xdr:colOff>
      <xdr:row>55</xdr:row>
      <xdr:rowOff>191559</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2"/>
        <a:stretch>
          <a:fillRect/>
        </a:stretch>
      </xdr:blipFill>
      <xdr:spPr>
        <a:xfrm>
          <a:off x="10119149" y="15166551"/>
          <a:ext cx="949594" cy="1073574"/>
        </a:xfrm>
        <a:prstGeom prst="rect">
          <a:avLst/>
        </a:prstGeom>
      </xdr:spPr>
    </xdr:pic>
    <xdr:clientData/>
  </xdr:twoCellAnchor>
  <xdr:twoCellAnchor editAs="oneCell">
    <xdr:from>
      <xdr:col>15</xdr:col>
      <xdr:colOff>0</xdr:colOff>
      <xdr:row>49</xdr:row>
      <xdr:rowOff>0</xdr:rowOff>
    </xdr:from>
    <xdr:to>
      <xdr:col>15</xdr:col>
      <xdr:colOff>304800</xdr:colOff>
      <xdr:row>50</xdr:row>
      <xdr:rowOff>105834</xdr:rowOff>
    </xdr:to>
    <xdr:sp macro="" textlink="">
      <xdr:nvSpPr>
        <xdr:cNvPr id="1025" name="AutoShape 1">
          <a:extLst>
            <a:ext uri="{FF2B5EF4-FFF2-40B4-BE49-F238E27FC236}">
              <a16:creationId xmlns:a16="http://schemas.microsoft.com/office/drawing/2014/main" xmlns="" id="{79013DD8-02C4-0674-ECC4-446883C70A6D}"/>
            </a:ext>
          </a:extLst>
        </xdr:cNvPr>
        <xdr:cNvSpPr>
          <a:spLocks noChangeAspect="1" noChangeArrowheads="1"/>
        </xdr:cNvSpPr>
      </xdr:nvSpPr>
      <xdr:spPr bwMode="auto">
        <a:xfrm>
          <a:off x="12719050" y="13830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0</xdr:colOff>
      <xdr:row>49</xdr:row>
      <xdr:rowOff>0</xdr:rowOff>
    </xdr:from>
    <xdr:to>
      <xdr:col>15</xdr:col>
      <xdr:colOff>304800</xdr:colOff>
      <xdr:row>50</xdr:row>
      <xdr:rowOff>105834</xdr:rowOff>
    </xdr:to>
    <xdr:sp macro="" textlink="">
      <xdr:nvSpPr>
        <xdr:cNvPr id="1026" name="AutoShape 2">
          <a:extLst>
            <a:ext uri="{FF2B5EF4-FFF2-40B4-BE49-F238E27FC236}">
              <a16:creationId xmlns:a16="http://schemas.microsoft.com/office/drawing/2014/main" xmlns="" id="{F8699298-A9FC-65E6-066B-AB4F7562F18F}"/>
            </a:ext>
          </a:extLst>
        </xdr:cNvPr>
        <xdr:cNvSpPr>
          <a:spLocks noChangeAspect="1" noChangeArrowheads="1"/>
        </xdr:cNvSpPr>
      </xdr:nvSpPr>
      <xdr:spPr bwMode="auto">
        <a:xfrm>
          <a:off x="12719050" y="13830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0</xdr:colOff>
      <xdr:row>49</xdr:row>
      <xdr:rowOff>0</xdr:rowOff>
    </xdr:from>
    <xdr:to>
      <xdr:col>15</xdr:col>
      <xdr:colOff>304800</xdr:colOff>
      <xdr:row>50</xdr:row>
      <xdr:rowOff>105834</xdr:rowOff>
    </xdr:to>
    <xdr:sp macro="" textlink="">
      <xdr:nvSpPr>
        <xdr:cNvPr id="1027" name="AutoShape 3">
          <a:extLst>
            <a:ext uri="{FF2B5EF4-FFF2-40B4-BE49-F238E27FC236}">
              <a16:creationId xmlns:a16="http://schemas.microsoft.com/office/drawing/2014/main" xmlns="" id="{7FC31A70-E84F-1706-30C7-8E4AF05A0747}"/>
            </a:ext>
          </a:extLst>
        </xdr:cNvPr>
        <xdr:cNvSpPr>
          <a:spLocks noChangeAspect="1" noChangeArrowheads="1"/>
        </xdr:cNvSpPr>
      </xdr:nvSpPr>
      <xdr:spPr bwMode="auto">
        <a:xfrm>
          <a:off x="12719050" y="13830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0</xdr:colOff>
      <xdr:row>49</xdr:row>
      <xdr:rowOff>0</xdr:rowOff>
    </xdr:from>
    <xdr:to>
      <xdr:col>15</xdr:col>
      <xdr:colOff>304800</xdr:colOff>
      <xdr:row>50</xdr:row>
      <xdr:rowOff>105834</xdr:rowOff>
    </xdr:to>
    <xdr:sp macro="" textlink="">
      <xdr:nvSpPr>
        <xdr:cNvPr id="1028" name="AutoShape 4">
          <a:extLst>
            <a:ext uri="{FF2B5EF4-FFF2-40B4-BE49-F238E27FC236}">
              <a16:creationId xmlns:a16="http://schemas.microsoft.com/office/drawing/2014/main" xmlns="" id="{9640D17E-B744-6AE0-4595-37CC7F116882}"/>
            </a:ext>
          </a:extLst>
        </xdr:cNvPr>
        <xdr:cNvSpPr>
          <a:spLocks noChangeAspect="1" noChangeArrowheads="1"/>
        </xdr:cNvSpPr>
      </xdr:nvSpPr>
      <xdr:spPr bwMode="auto">
        <a:xfrm>
          <a:off x="12719050" y="13830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18</xdr:col>
      <xdr:colOff>0</xdr:colOff>
      <xdr:row>8</xdr:row>
      <xdr:rowOff>0</xdr:rowOff>
    </xdr:from>
    <xdr:to>
      <xdr:col>18</xdr:col>
      <xdr:colOff>304800</xdr:colOff>
      <xdr:row>9</xdr:row>
      <xdr:rowOff>107950</xdr:rowOff>
    </xdr:to>
    <xdr:sp macro="" textlink="">
      <xdr:nvSpPr>
        <xdr:cNvPr id="1029" name="AutoShape 5">
          <a:extLst>
            <a:ext uri="{FF2B5EF4-FFF2-40B4-BE49-F238E27FC236}">
              <a16:creationId xmlns:a16="http://schemas.microsoft.com/office/drawing/2014/main" xmlns="" id="{8281302B-AF1A-5A4F-C2BB-591FAF710AFC}"/>
            </a:ext>
          </a:extLst>
        </xdr:cNvPr>
        <xdr:cNvSpPr>
          <a:spLocks noChangeAspect="1" noChangeArrowheads="1"/>
        </xdr:cNvSpPr>
      </xdr:nvSpPr>
      <xdr:spPr bwMode="auto">
        <a:xfrm>
          <a:off x="15481300" y="2387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0</xdr:colOff>
      <xdr:row>13</xdr:row>
      <xdr:rowOff>0</xdr:rowOff>
    </xdr:from>
    <xdr:to>
      <xdr:col>15</xdr:col>
      <xdr:colOff>304800</xdr:colOff>
      <xdr:row>14</xdr:row>
      <xdr:rowOff>40217</xdr:rowOff>
    </xdr:to>
    <xdr:sp macro="" textlink="">
      <xdr:nvSpPr>
        <xdr:cNvPr id="1030" name="AutoShape 6">
          <a:extLst>
            <a:ext uri="{FF2B5EF4-FFF2-40B4-BE49-F238E27FC236}">
              <a16:creationId xmlns:a16="http://schemas.microsoft.com/office/drawing/2014/main" xmlns="" id="{A7CDC36A-7634-9B6F-191F-189DE6FEE1AC}"/>
            </a:ext>
          </a:extLst>
        </xdr:cNvPr>
        <xdr:cNvSpPr>
          <a:spLocks noChangeAspect="1" noChangeArrowheads="1"/>
        </xdr:cNvSpPr>
      </xdr:nvSpPr>
      <xdr:spPr bwMode="auto">
        <a:xfrm>
          <a:off x="12719050" y="3695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15</xdr:col>
      <xdr:colOff>0</xdr:colOff>
      <xdr:row>14</xdr:row>
      <xdr:rowOff>0</xdr:rowOff>
    </xdr:from>
    <xdr:ext cx="304800" cy="304800"/>
    <xdr:sp macro="" textlink="">
      <xdr:nvSpPr>
        <xdr:cNvPr id="13" name="AutoShape 6">
          <a:extLst>
            <a:ext uri="{FF2B5EF4-FFF2-40B4-BE49-F238E27FC236}">
              <a16:creationId xmlns:a16="http://schemas.microsoft.com/office/drawing/2014/main" xmlns="" id="{A7CDC36A-7634-9B6F-191F-189DE6FEE1AC}"/>
            </a:ext>
          </a:extLst>
        </xdr:cNvPr>
        <xdr:cNvSpPr>
          <a:spLocks noChangeAspect="1" noChangeArrowheads="1"/>
        </xdr:cNvSpPr>
      </xdr:nvSpPr>
      <xdr:spPr bwMode="auto">
        <a:xfrm>
          <a:off x="13070417" y="412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14</xdr:row>
      <xdr:rowOff>0</xdr:rowOff>
    </xdr:from>
    <xdr:ext cx="304800" cy="304800"/>
    <xdr:sp macro="" textlink="">
      <xdr:nvSpPr>
        <xdr:cNvPr id="17" name="AutoShape 6">
          <a:extLst>
            <a:ext uri="{FF2B5EF4-FFF2-40B4-BE49-F238E27FC236}">
              <a16:creationId xmlns:a16="http://schemas.microsoft.com/office/drawing/2014/main" xmlns="" id="{A7CDC36A-7634-9B6F-191F-189DE6FEE1AC}"/>
            </a:ext>
          </a:extLst>
        </xdr:cNvPr>
        <xdr:cNvSpPr>
          <a:spLocks noChangeAspect="1" noChangeArrowheads="1"/>
        </xdr:cNvSpPr>
      </xdr:nvSpPr>
      <xdr:spPr bwMode="auto">
        <a:xfrm>
          <a:off x="13070417" y="412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43</xdr:row>
      <xdr:rowOff>0</xdr:rowOff>
    </xdr:from>
    <xdr:ext cx="304800" cy="304800"/>
    <xdr:sp macro="" textlink="">
      <xdr:nvSpPr>
        <xdr:cNvPr id="18" name="AutoShape 6">
          <a:extLst>
            <a:ext uri="{FF2B5EF4-FFF2-40B4-BE49-F238E27FC236}">
              <a16:creationId xmlns:a16="http://schemas.microsoft.com/office/drawing/2014/main" xmlns="" id="{A7CDC36A-7634-9B6F-191F-189DE6FEE1AC}"/>
            </a:ext>
          </a:extLst>
        </xdr:cNvPr>
        <xdr:cNvSpPr>
          <a:spLocks noChangeAspect="1" noChangeArrowheads="1"/>
        </xdr:cNvSpPr>
      </xdr:nvSpPr>
      <xdr:spPr bwMode="auto">
        <a:xfrm>
          <a:off x="13070417" y="439208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43</xdr:row>
      <xdr:rowOff>0</xdr:rowOff>
    </xdr:from>
    <xdr:ext cx="304800" cy="304800"/>
    <xdr:sp macro="" textlink="">
      <xdr:nvSpPr>
        <xdr:cNvPr id="16" name="AutoShape 6">
          <a:extLst>
            <a:ext uri="{FF2B5EF4-FFF2-40B4-BE49-F238E27FC236}">
              <a16:creationId xmlns:a16="http://schemas.microsoft.com/office/drawing/2014/main" xmlns="" id="{A7CDC36A-7634-9B6F-191F-189DE6FEE1AC}"/>
            </a:ext>
          </a:extLst>
        </xdr:cNvPr>
        <xdr:cNvSpPr>
          <a:spLocks noChangeAspect="1" noChangeArrowheads="1"/>
        </xdr:cNvSpPr>
      </xdr:nvSpPr>
      <xdr:spPr bwMode="auto">
        <a:xfrm>
          <a:off x="13070417" y="5894917"/>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43</xdr:row>
      <xdr:rowOff>0</xdr:rowOff>
    </xdr:from>
    <xdr:ext cx="304800" cy="304800"/>
    <xdr:sp macro="" textlink="">
      <xdr:nvSpPr>
        <xdr:cNvPr id="19" name="AutoShape 6">
          <a:extLst>
            <a:ext uri="{FF2B5EF4-FFF2-40B4-BE49-F238E27FC236}">
              <a16:creationId xmlns:a16="http://schemas.microsoft.com/office/drawing/2014/main" xmlns="" id="{A7CDC36A-7634-9B6F-191F-189DE6FEE1AC}"/>
            </a:ext>
          </a:extLst>
        </xdr:cNvPr>
        <xdr:cNvSpPr>
          <a:spLocks noChangeAspect="1" noChangeArrowheads="1"/>
        </xdr:cNvSpPr>
      </xdr:nvSpPr>
      <xdr:spPr bwMode="auto">
        <a:xfrm>
          <a:off x="13039725" y="2228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43</xdr:row>
      <xdr:rowOff>0</xdr:rowOff>
    </xdr:from>
    <xdr:ext cx="304800" cy="304800"/>
    <xdr:sp macro="" textlink="">
      <xdr:nvSpPr>
        <xdr:cNvPr id="20" name="AutoShape 6">
          <a:extLst>
            <a:ext uri="{FF2B5EF4-FFF2-40B4-BE49-F238E27FC236}">
              <a16:creationId xmlns:a16="http://schemas.microsoft.com/office/drawing/2014/main" xmlns="" id="{A7CDC36A-7634-9B6F-191F-189DE6FEE1AC}"/>
            </a:ext>
          </a:extLst>
        </xdr:cNvPr>
        <xdr:cNvSpPr>
          <a:spLocks noChangeAspect="1" noChangeArrowheads="1"/>
        </xdr:cNvSpPr>
      </xdr:nvSpPr>
      <xdr:spPr bwMode="auto">
        <a:xfrm>
          <a:off x="13039725" y="2228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45</xdr:row>
      <xdr:rowOff>0</xdr:rowOff>
    </xdr:from>
    <xdr:ext cx="304800" cy="304800"/>
    <xdr:sp macro="" textlink="">
      <xdr:nvSpPr>
        <xdr:cNvPr id="21" name="AutoShape 6">
          <a:extLst>
            <a:ext uri="{FF2B5EF4-FFF2-40B4-BE49-F238E27FC236}">
              <a16:creationId xmlns:a16="http://schemas.microsoft.com/office/drawing/2014/main" xmlns="" id="{A7CDC36A-7634-9B6F-191F-189DE6FEE1AC}"/>
            </a:ext>
          </a:extLst>
        </xdr:cNvPr>
        <xdr:cNvSpPr>
          <a:spLocks noChangeAspect="1" noChangeArrowheads="1"/>
        </xdr:cNvSpPr>
      </xdr:nvSpPr>
      <xdr:spPr bwMode="auto">
        <a:xfrm>
          <a:off x="13325475" y="6867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45</xdr:row>
      <xdr:rowOff>0</xdr:rowOff>
    </xdr:from>
    <xdr:ext cx="304800" cy="304800"/>
    <xdr:sp macro="" textlink="">
      <xdr:nvSpPr>
        <xdr:cNvPr id="22" name="AutoShape 6">
          <a:extLst>
            <a:ext uri="{FF2B5EF4-FFF2-40B4-BE49-F238E27FC236}">
              <a16:creationId xmlns:a16="http://schemas.microsoft.com/office/drawing/2014/main" xmlns="" id="{A7CDC36A-7634-9B6F-191F-189DE6FEE1AC}"/>
            </a:ext>
          </a:extLst>
        </xdr:cNvPr>
        <xdr:cNvSpPr>
          <a:spLocks noChangeAspect="1" noChangeArrowheads="1"/>
        </xdr:cNvSpPr>
      </xdr:nvSpPr>
      <xdr:spPr bwMode="auto">
        <a:xfrm>
          <a:off x="13325475" y="6867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43</xdr:row>
      <xdr:rowOff>0</xdr:rowOff>
    </xdr:from>
    <xdr:ext cx="304800" cy="304800"/>
    <xdr:sp macro="" textlink="">
      <xdr:nvSpPr>
        <xdr:cNvPr id="23" name="AutoShape 6">
          <a:extLst>
            <a:ext uri="{FF2B5EF4-FFF2-40B4-BE49-F238E27FC236}">
              <a16:creationId xmlns:a16="http://schemas.microsoft.com/office/drawing/2014/main" xmlns="" id="{A7CDC36A-7634-9B6F-191F-189DE6FEE1AC}"/>
            </a:ext>
          </a:extLst>
        </xdr:cNvPr>
        <xdr:cNvSpPr>
          <a:spLocks noChangeAspect="1" noChangeArrowheads="1"/>
        </xdr:cNvSpPr>
      </xdr:nvSpPr>
      <xdr:spPr bwMode="auto">
        <a:xfrm>
          <a:off x="13948833" y="7260167"/>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37</xdr:row>
      <xdr:rowOff>0</xdr:rowOff>
    </xdr:from>
    <xdr:ext cx="304800" cy="304800"/>
    <xdr:sp macro="" textlink="">
      <xdr:nvSpPr>
        <xdr:cNvPr id="24" name="AutoShape 6">
          <a:extLst>
            <a:ext uri="{FF2B5EF4-FFF2-40B4-BE49-F238E27FC236}">
              <a16:creationId xmlns:a16="http://schemas.microsoft.com/office/drawing/2014/main" xmlns="" id="{A7CDC36A-7634-9B6F-191F-189DE6FEE1AC}"/>
            </a:ext>
          </a:extLst>
        </xdr:cNvPr>
        <xdr:cNvSpPr>
          <a:spLocks noChangeAspect="1" noChangeArrowheads="1"/>
        </xdr:cNvSpPr>
      </xdr:nvSpPr>
      <xdr:spPr bwMode="auto">
        <a:xfrm>
          <a:off x="13948833" y="7260167"/>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35</xdr:row>
      <xdr:rowOff>0</xdr:rowOff>
    </xdr:from>
    <xdr:ext cx="304800" cy="304800"/>
    <xdr:sp macro="" textlink="">
      <xdr:nvSpPr>
        <xdr:cNvPr id="25" name="AutoShape 6">
          <a:extLst>
            <a:ext uri="{FF2B5EF4-FFF2-40B4-BE49-F238E27FC236}">
              <a16:creationId xmlns:a16="http://schemas.microsoft.com/office/drawing/2014/main" xmlns="" id="{A7CDC36A-7634-9B6F-191F-189DE6FEE1AC}"/>
            </a:ext>
          </a:extLst>
        </xdr:cNvPr>
        <xdr:cNvSpPr>
          <a:spLocks noChangeAspect="1" noChangeArrowheads="1"/>
        </xdr:cNvSpPr>
      </xdr:nvSpPr>
      <xdr:spPr bwMode="auto">
        <a:xfrm>
          <a:off x="13948833" y="9556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40</xdr:row>
      <xdr:rowOff>0</xdr:rowOff>
    </xdr:from>
    <xdr:ext cx="304800" cy="304800"/>
    <xdr:sp macro="" textlink="">
      <xdr:nvSpPr>
        <xdr:cNvPr id="26" name="AutoShape 6">
          <a:extLst>
            <a:ext uri="{FF2B5EF4-FFF2-40B4-BE49-F238E27FC236}">
              <a16:creationId xmlns:a16="http://schemas.microsoft.com/office/drawing/2014/main" xmlns="" id="{A7CDC36A-7634-9B6F-191F-189DE6FEE1AC}"/>
            </a:ext>
          </a:extLst>
        </xdr:cNvPr>
        <xdr:cNvSpPr>
          <a:spLocks noChangeAspect="1" noChangeArrowheads="1"/>
        </xdr:cNvSpPr>
      </xdr:nvSpPr>
      <xdr:spPr bwMode="auto">
        <a:xfrm>
          <a:off x="13948833" y="876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38</xdr:row>
      <xdr:rowOff>0</xdr:rowOff>
    </xdr:from>
    <xdr:ext cx="304800" cy="304800"/>
    <xdr:sp macro="" textlink="">
      <xdr:nvSpPr>
        <xdr:cNvPr id="27" name="AutoShape 6">
          <a:extLst>
            <a:ext uri="{FF2B5EF4-FFF2-40B4-BE49-F238E27FC236}">
              <a16:creationId xmlns:a16="http://schemas.microsoft.com/office/drawing/2014/main" xmlns="" id="{A7CDC36A-7634-9B6F-191F-189DE6FEE1AC}"/>
            </a:ext>
          </a:extLst>
        </xdr:cNvPr>
        <xdr:cNvSpPr>
          <a:spLocks noChangeAspect="1" noChangeArrowheads="1"/>
        </xdr:cNvSpPr>
      </xdr:nvSpPr>
      <xdr:spPr bwMode="auto">
        <a:xfrm>
          <a:off x="13948833" y="9556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15</xdr:row>
      <xdr:rowOff>0</xdr:rowOff>
    </xdr:from>
    <xdr:ext cx="304800" cy="304800"/>
    <xdr:sp macro="" textlink="">
      <xdr:nvSpPr>
        <xdr:cNvPr id="28" name="AutoShape 6">
          <a:extLst>
            <a:ext uri="{FF2B5EF4-FFF2-40B4-BE49-F238E27FC236}">
              <a16:creationId xmlns:a16="http://schemas.microsoft.com/office/drawing/2014/main" xmlns="" id="{A7CDC36A-7634-9B6F-191F-189DE6FEE1AC}"/>
            </a:ext>
          </a:extLst>
        </xdr:cNvPr>
        <xdr:cNvSpPr>
          <a:spLocks noChangeAspect="1" noChangeArrowheads="1"/>
        </xdr:cNvSpPr>
      </xdr:nvSpPr>
      <xdr:spPr bwMode="auto">
        <a:xfrm>
          <a:off x="13948833" y="876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43</xdr:row>
      <xdr:rowOff>0</xdr:rowOff>
    </xdr:from>
    <xdr:ext cx="304800" cy="304800"/>
    <xdr:sp macro="" textlink="">
      <xdr:nvSpPr>
        <xdr:cNvPr id="29" name="AutoShape 6">
          <a:extLst>
            <a:ext uri="{FF2B5EF4-FFF2-40B4-BE49-F238E27FC236}">
              <a16:creationId xmlns:a16="http://schemas.microsoft.com/office/drawing/2014/main" xmlns="" id="{A7CDC36A-7634-9B6F-191F-189DE6FEE1AC}"/>
            </a:ext>
          </a:extLst>
        </xdr:cNvPr>
        <xdr:cNvSpPr>
          <a:spLocks noChangeAspect="1" noChangeArrowheads="1"/>
        </xdr:cNvSpPr>
      </xdr:nvSpPr>
      <xdr:spPr bwMode="auto">
        <a:xfrm>
          <a:off x="13948833" y="9239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43</xdr:row>
      <xdr:rowOff>0</xdr:rowOff>
    </xdr:from>
    <xdr:ext cx="304800" cy="304800"/>
    <xdr:sp macro="" textlink="">
      <xdr:nvSpPr>
        <xdr:cNvPr id="30" name="AutoShape 6">
          <a:extLst>
            <a:ext uri="{FF2B5EF4-FFF2-40B4-BE49-F238E27FC236}">
              <a16:creationId xmlns:a16="http://schemas.microsoft.com/office/drawing/2014/main" xmlns="" id="{A7CDC36A-7634-9B6F-191F-189DE6FEE1AC}"/>
            </a:ext>
          </a:extLst>
        </xdr:cNvPr>
        <xdr:cNvSpPr>
          <a:spLocks noChangeAspect="1" noChangeArrowheads="1"/>
        </xdr:cNvSpPr>
      </xdr:nvSpPr>
      <xdr:spPr bwMode="auto">
        <a:xfrm>
          <a:off x="13948833" y="9239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43</xdr:row>
      <xdr:rowOff>0</xdr:rowOff>
    </xdr:from>
    <xdr:ext cx="304800" cy="304800"/>
    <xdr:sp macro="" textlink="">
      <xdr:nvSpPr>
        <xdr:cNvPr id="31" name="AutoShape 6">
          <a:extLst>
            <a:ext uri="{FF2B5EF4-FFF2-40B4-BE49-F238E27FC236}">
              <a16:creationId xmlns:a16="http://schemas.microsoft.com/office/drawing/2014/main" xmlns="" id="{A7CDC36A-7634-9B6F-191F-189DE6FEE1AC}"/>
            </a:ext>
          </a:extLst>
        </xdr:cNvPr>
        <xdr:cNvSpPr>
          <a:spLocks noChangeAspect="1" noChangeArrowheads="1"/>
        </xdr:cNvSpPr>
      </xdr:nvSpPr>
      <xdr:spPr bwMode="auto">
        <a:xfrm>
          <a:off x="13948833" y="9239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43</xdr:row>
      <xdr:rowOff>0</xdr:rowOff>
    </xdr:from>
    <xdr:ext cx="304800" cy="304800"/>
    <xdr:sp macro="" textlink="">
      <xdr:nvSpPr>
        <xdr:cNvPr id="32" name="AutoShape 6">
          <a:extLst>
            <a:ext uri="{FF2B5EF4-FFF2-40B4-BE49-F238E27FC236}">
              <a16:creationId xmlns:a16="http://schemas.microsoft.com/office/drawing/2014/main" xmlns="" id="{A7CDC36A-7634-9B6F-191F-189DE6FEE1AC}"/>
            </a:ext>
          </a:extLst>
        </xdr:cNvPr>
        <xdr:cNvSpPr>
          <a:spLocks noChangeAspect="1" noChangeArrowheads="1"/>
        </xdr:cNvSpPr>
      </xdr:nvSpPr>
      <xdr:spPr bwMode="auto">
        <a:xfrm>
          <a:off x="13948833" y="14001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43</xdr:row>
      <xdr:rowOff>0</xdr:rowOff>
    </xdr:from>
    <xdr:ext cx="304800" cy="304800"/>
    <xdr:sp macro="" textlink="">
      <xdr:nvSpPr>
        <xdr:cNvPr id="33" name="AutoShape 6">
          <a:extLst>
            <a:ext uri="{FF2B5EF4-FFF2-40B4-BE49-F238E27FC236}">
              <a16:creationId xmlns:a16="http://schemas.microsoft.com/office/drawing/2014/main" xmlns="" id="{A7CDC36A-7634-9B6F-191F-189DE6FEE1AC}"/>
            </a:ext>
          </a:extLst>
        </xdr:cNvPr>
        <xdr:cNvSpPr>
          <a:spLocks noChangeAspect="1" noChangeArrowheads="1"/>
        </xdr:cNvSpPr>
      </xdr:nvSpPr>
      <xdr:spPr bwMode="auto">
        <a:xfrm>
          <a:off x="13948833" y="1320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43</xdr:row>
      <xdr:rowOff>0</xdr:rowOff>
    </xdr:from>
    <xdr:ext cx="304800" cy="304800"/>
    <xdr:sp macro="" textlink="">
      <xdr:nvSpPr>
        <xdr:cNvPr id="34" name="AutoShape 6">
          <a:extLst>
            <a:ext uri="{FF2B5EF4-FFF2-40B4-BE49-F238E27FC236}">
              <a16:creationId xmlns:a16="http://schemas.microsoft.com/office/drawing/2014/main" xmlns="" id="{A7CDC36A-7634-9B6F-191F-189DE6FEE1AC}"/>
            </a:ext>
          </a:extLst>
        </xdr:cNvPr>
        <xdr:cNvSpPr>
          <a:spLocks noChangeAspect="1" noChangeArrowheads="1"/>
        </xdr:cNvSpPr>
      </xdr:nvSpPr>
      <xdr:spPr bwMode="auto">
        <a:xfrm>
          <a:off x="13948833" y="12414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43</xdr:row>
      <xdr:rowOff>0</xdr:rowOff>
    </xdr:from>
    <xdr:ext cx="304800" cy="304800"/>
    <xdr:sp macro="" textlink="">
      <xdr:nvSpPr>
        <xdr:cNvPr id="35" name="AutoShape 6">
          <a:extLst>
            <a:ext uri="{FF2B5EF4-FFF2-40B4-BE49-F238E27FC236}">
              <a16:creationId xmlns:a16="http://schemas.microsoft.com/office/drawing/2014/main" xmlns="" id="{A7CDC36A-7634-9B6F-191F-189DE6FEE1AC}"/>
            </a:ext>
          </a:extLst>
        </xdr:cNvPr>
        <xdr:cNvSpPr>
          <a:spLocks noChangeAspect="1" noChangeArrowheads="1"/>
        </xdr:cNvSpPr>
      </xdr:nvSpPr>
      <xdr:spPr bwMode="auto">
        <a:xfrm>
          <a:off x="13948833" y="1162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37</xdr:row>
      <xdr:rowOff>0</xdr:rowOff>
    </xdr:from>
    <xdr:ext cx="304800" cy="304800"/>
    <xdr:sp macro="" textlink="">
      <xdr:nvSpPr>
        <xdr:cNvPr id="36" name="AutoShape 6">
          <a:extLst>
            <a:ext uri="{FF2B5EF4-FFF2-40B4-BE49-F238E27FC236}">
              <a16:creationId xmlns:a16="http://schemas.microsoft.com/office/drawing/2014/main" xmlns="" id="{A7CDC36A-7634-9B6F-191F-189DE6FEE1AC}"/>
            </a:ext>
          </a:extLst>
        </xdr:cNvPr>
        <xdr:cNvSpPr>
          <a:spLocks noChangeAspect="1" noChangeArrowheads="1"/>
        </xdr:cNvSpPr>
      </xdr:nvSpPr>
      <xdr:spPr bwMode="auto">
        <a:xfrm>
          <a:off x="13948833" y="3989917"/>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38</xdr:row>
      <xdr:rowOff>0</xdr:rowOff>
    </xdr:from>
    <xdr:ext cx="304800" cy="304800"/>
    <xdr:sp macro="" textlink="">
      <xdr:nvSpPr>
        <xdr:cNvPr id="37" name="AutoShape 6">
          <a:extLst>
            <a:ext uri="{FF2B5EF4-FFF2-40B4-BE49-F238E27FC236}">
              <a16:creationId xmlns:a16="http://schemas.microsoft.com/office/drawing/2014/main" xmlns="" id="{A7CDC36A-7634-9B6F-191F-189DE6FEE1AC}"/>
            </a:ext>
          </a:extLst>
        </xdr:cNvPr>
        <xdr:cNvSpPr>
          <a:spLocks noChangeAspect="1" noChangeArrowheads="1"/>
        </xdr:cNvSpPr>
      </xdr:nvSpPr>
      <xdr:spPr bwMode="auto">
        <a:xfrm>
          <a:off x="13948833" y="425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38</xdr:row>
      <xdr:rowOff>0</xdr:rowOff>
    </xdr:from>
    <xdr:ext cx="304800" cy="304800"/>
    <xdr:sp macro="" textlink="">
      <xdr:nvSpPr>
        <xdr:cNvPr id="38" name="AutoShape 6">
          <a:extLst>
            <a:ext uri="{FF2B5EF4-FFF2-40B4-BE49-F238E27FC236}">
              <a16:creationId xmlns:a16="http://schemas.microsoft.com/office/drawing/2014/main" xmlns="" id="{A7CDC36A-7634-9B6F-191F-189DE6FEE1AC}"/>
            </a:ext>
          </a:extLst>
        </xdr:cNvPr>
        <xdr:cNvSpPr>
          <a:spLocks noChangeAspect="1" noChangeArrowheads="1"/>
        </xdr:cNvSpPr>
      </xdr:nvSpPr>
      <xdr:spPr bwMode="auto">
        <a:xfrm>
          <a:off x="13948833" y="425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43</xdr:row>
      <xdr:rowOff>0</xdr:rowOff>
    </xdr:from>
    <xdr:ext cx="304800" cy="304800"/>
    <xdr:sp macro="" textlink="">
      <xdr:nvSpPr>
        <xdr:cNvPr id="39" name="AutoShape 6">
          <a:extLst>
            <a:ext uri="{FF2B5EF4-FFF2-40B4-BE49-F238E27FC236}">
              <a16:creationId xmlns:a16="http://schemas.microsoft.com/office/drawing/2014/main" xmlns="" id="{A7CDC36A-7634-9B6F-191F-189DE6FEE1AC}"/>
            </a:ext>
          </a:extLst>
        </xdr:cNvPr>
        <xdr:cNvSpPr>
          <a:spLocks noChangeAspect="1" noChangeArrowheads="1"/>
        </xdr:cNvSpPr>
      </xdr:nvSpPr>
      <xdr:spPr bwMode="auto">
        <a:xfrm>
          <a:off x="13948833" y="3989917"/>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43</xdr:row>
      <xdr:rowOff>0</xdr:rowOff>
    </xdr:from>
    <xdr:ext cx="304800" cy="304800"/>
    <xdr:sp macro="" textlink="">
      <xdr:nvSpPr>
        <xdr:cNvPr id="40" name="AutoShape 6">
          <a:extLst>
            <a:ext uri="{FF2B5EF4-FFF2-40B4-BE49-F238E27FC236}">
              <a16:creationId xmlns:a16="http://schemas.microsoft.com/office/drawing/2014/main" xmlns="" id="{A7CDC36A-7634-9B6F-191F-189DE6FEE1AC}"/>
            </a:ext>
          </a:extLst>
        </xdr:cNvPr>
        <xdr:cNvSpPr>
          <a:spLocks noChangeAspect="1" noChangeArrowheads="1"/>
        </xdr:cNvSpPr>
      </xdr:nvSpPr>
      <xdr:spPr bwMode="auto">
        <a:xfrm>
          <a:off x="13948833" y="425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43</xdr:row>
      <xdr:rowOff>0</xdr:rowOff>
    </xdr:from>
    <xdr:ext cx="304800" cy="304800"/>
    <xdr:sp macro="" textlink="">
      <xdr:nvSpPr>
        <xdr:cNvPr id="41" name="AutoShape 6">
          <a:extLst>
            <a:ext uri="{FF2B5EF4-FFF2-40B4-BE49-F238E27FC236}">
              <a16:creationId xmlns:a16="http://schemas.microsoft.com/office/drawing/2014/main" xmlns="" id="{A7CDC36A-7634-9B6F-191F-189DE6FEE1AC}"/>
            </a:ext>
          </a:extLst>
        </xdr:cNvPr>
        <xdr:cNvSpPr>
          <a:spLocks noChangeAspect="1" noChangeArrowheads="1"/>
        </xdr:cNvSpPr>
      </xdr:nvSpPr>
      <xdr:spPr bwMode="auto">
        <a:xfrm>
          <a:off x="13948833" y="425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37</xdr:row>
      <xdr:rowOff>0</xdr:rowOff>
    </xdr:from>
    <xdr:ext cx="304800" cy="304800"/>
    <xdr:sp macro="" textlink="">
      <xdr:nvSpPr>
        <xdr:cNvPr id="42" name="AutoShape 6">
          <a:extLst>
            <a:ext uri="{FF2B5EF4-FFF2-40B4-BE49-F238E27FC236}">
              <a16:creationId xmlns:a16="http://schemas.microsoft.com/office/drawing/2014/main" xmlns="" id="{A7CDC36A-7634-9B6F-191F-189DE6FEE1AC}"/>
            </a:ext>
          </a:extLst>
        </xdr:cNvPr>
        <xdr:cNvSpPr>
          <a:spLocks noChangeAspect="1" noChangeArrowheads="1"/>
        </xdr:cNvSpPr>
      </xdr:nvSpPr>
      <xdr:spPr bwMode="auto">
        <a:xfrm>
          <a:off x="13948833" y="7651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41</xdr:row>
      <xdr:rowOff>0</xdr:rowOff>
    </xdr:from>
    <xdr:ext cx="304800" cy="304800"/>
    <xdr:sp macro="" textlink="">
      <xdr:nvSpPr>
        <xdr:cNvPr id="44" name="AutoShape 6">
          <a:extLst>
            <a:ext uri="{FF2B5EF4-FFF2-40B4-BE49-F238E27FC236}">
              <a16:creationId xmlns:a16="http://schemas.microsoft.com/office/drawing/2014/main" xmlns="" id="{A7CDC36A-7634-9B6F-191F-189DE6FEE1AC}"/>
            </a:ext>
          </a:extLst>
        </xdr:cNvPr>
        <xdr:cNvSpPr>
          <a:spLocks noChangeAspect="1" noChangeArrowheads="1"/>
        </xdr:cNvSpPr>
      </xdr:nvSpPr>
      <xdr:spPr bwMode="auto">
        <a:xfrm>
          <a:off x="13948833" y="8974667"/>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40</xdr:row>
      <xdr:rowOff>0</xdr:rowOff>
    </xdr:from>
    <xdr:ext cx="304800" cy="304800"/>
    <xdr:sp macro="" textlink="">
      <xdr:nvSpPr>
        <xdr:cNvPr id="45" name="AutoShape 6">
          <a:extLst>
            <a:ext uri="{FF2B5EF4-FFF2-40B4-BE49-F238E27FC236}">
              <a16:creationId xmlns:a16="http://schemas.microsoft.com/office/drawing/2014/main" xmlns="" id="{A7CDC36A-7634-9B6F-191F-189DE6FEE1AC}"/>
            </a:ext>
          </a:extLst>
        </xdr:cNvPr>
        <xdr:cNvSpPr>
          <a:spLocks noChangeAspect="1" noChangeArrowheads="1"/>
        </xdr:cNvSpPr>
      </xdr:nvSpPr>
      <xdr:spPr bwMode="auto">
        <a:xfrm>
          <a:off x="13948833" y="844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34</xdr:row>
      <xdr:rowOff>0</xdr:rowOff>
    </xdr:from>
    <xdr:ext cx="304800" cy="304800"/>
    <xdr:sp macro="" textlink="">
      <xdr:nvSpPr>
        <xdr:cNvPr id="46" name="AutoShape 6">
          <a:extLst>
            <a:ext uri="{FF2B5EF4-FFF2-40B4-BE49-F238E27FC236}">
              <a16:creationId xmlns:a16="http://schemas.microsoft.com/office/drawing/2014/main" xmlns="" id="{A7CDC36A-7634-9B6F-191F-189DE6FEE1AC}"/>
            </a:ext>
          </a:extLst>
        </xdr:cNvPr>
        <xdr:cNvSpPr>
          <a:spLocks noChangeAspect="1" noChangeArrowheads="1"/>
        </xdr:cNvSpPr>
      </xdr:nvSpPr>
      <xdr:spPr bwMode="auto">
        <a:xfrm>
          <a:off x="13948833" y="950383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31</xdr:row>
      <xdr:rowOff>0</xdr:rowOff>
    </xdr:from>
    <xdr:ext cx="304800" cy="304800"/>
    <xdr:sp macro="" textlink="">
      <xdr:nvSpPr>
        <xdr:cNvPr id="47" name="AutoShape 6">
          <a:extLst>
            <a:ext uri="{FF2B5EF4-FFF2-40B4-BE49-F238E27FC236}">
              <a16:creationId xmlns:a16="http://schemas.microsoft.com/office/drawing/2014/main" xmlns="" id="{A7CDC36A-7634-9B6F-191F-189DE6FEE1AC}"/>
            </a:ext>
          </a:extLst>
        </xdr:cNvPr>
        <xdr:cNvSpPr>
          <a:spLocks noChangeAspect="1" noChangeArrowheads="1"/>
        </xdr:cNvSpPr>
      </xdr:nvSpPr>
      <xdr:spPr bwMode="auto">
        <a:xfrm>
          <a:off x="13948833" y="10562167"/>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29</xdr:row>
      <xdr:rowOff>0</xdr:rowOff>
    </xdr:from>
    <xdr:ext cx="304800" cy="304800"/>
    <xdr:sp macro="" textlink="">
      <xdr:nvSpPr>
        <xdr:cNvPr id="48" name="AutoShape 6">
          <a:extLst>
            <a:ext uri="{FF2B5EF4-FFF2-40B4-BE49-F238E27FC236}">
              <a16:creationId xmlns:a16="http://schemas.microsoft.com/office/drawing/2014/main" xmlns="" id="{A7CDC36A-7634-9B6F-191F-189DE6FEE1AC}"/>
            </a:ext>
          </a:extLst>
        </xdr:cNvPr>
        <xdr:cNvSpPr>
          <a:spLocks noChangeAspect="1" noChangeArrowheads="1"/>
        </xdr:cNvSpPr>
      </xdr:nvSpPr>
      <xdr:spPr bwMode="auto">
        <a:xfrm>
          <a:off x="13948833" y="1003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27</xdr:row>
      <xdr:rowOff>0</xdr:rowOff>
    </xdr:from>
    <xdr:ext cx="304800" cy="304800"/>
    <xdr:sp macro="" textlink="">
      <xdr:nvSpPr>
        <xdr:cNvPr id="49" name="AutoShape 6">
          <a:extLst>
            <a:ext uri="{FF2B5EF4-FFF2-40B4-BE49-F238E27FC236}">
              <a16:creationId xmlns:a16="http://schemas.microsoft.com/office/drawing/2014/main" xmlns="" id="{A7CDC36A-7634-9B6F-191F-189DE6FEE1AC}"/>
            </a:ext>
          </a:extLst>
        </xdr:cNvPr>
        <xdr:cNvSpPr>
          <a:spLocks noChangeAspect="1" noChangeArrowheads="1"/>
        </xdr:cNvSpPr>
      </xdr:nvSpPr>
      <xdr:spPr bwMode="auto">
        <a:xfrm>
          <a:off x="13948833" y="10562167"/>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25</xdr:row>
      <xdr:rowOff>0</xdr:rowOff>
    </xdr:from>
    <xdr:ext cx="304800" cy="304800"/>
    <xdr:sp macro="" textlink="">
      <xdr:nvSpPr>
        <xdr:cNvPr id="50" name="AutoShape 6">
          <a:extLst>
            <a:ext uri="{FF2B5EF4-FFF2-40B4-BE49-F238E27FC236}">
              <a16:creationId xmlns:a16="http://schemas.microsoft.com/office/drawing/2014/main" xmlns="" id="{A7CDC36A-7634-9B6F-191F-189DE6FEE1AC}"/>
            </a:ext>
          </a:extLst>
        </xdr:cNvPr>
        <xdr:cNvSpPr>
          <a:spLocks noChangeAspect="1" noChangeArrowheads="1"/>
        </xdr:cNvSpPr>
      </xdr:nvSpPr>
      <xdr:spPr bwMode="auto">
        <a:xfrm>
          <a:off x="13948833" y="1003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15</xdr:col>
      <xdr:colOff>359832</xdr:colOff>
      <xdr:row>11</xdr:row>
      <xdr:rowOff>105834</xdr:rowOff>
    </xdr:from>
    <xdr:to>
      <xdr:col>24</xdr:col>
      <xdr:colOff>327225</xdr:colOff>
      <xdr:row>25</xdr:row>
      <xdr:rowOff>160286</xdr:rowOff>
    </xdr:to>
    <xdr:pic>
      <xdr:nvPicPr>
        <xdr:cNvPr id="5" name="Picture 4"/>
        <xdr:cNvPicPr>
          <a:picLocks noChangeAspect="1"/>
        </xdr:cNvPicPr>
      </xdr:nvPicPr>
      <xdr:blipFill>
        <a:blip xmlns:r="http://schemas.openxmlformats.org/officeDocument/2006/relationships" r:embed="rId3"/>
        <a:stretch>
          <a:fillRect/>
        </a:stretch>
      </xdr:blipFill>
      <xdr:spPr>
        <a:xfrm>
          <a:off x="14308665" y="3164417"/>
          <a:ext cx="6857143" cy="4647619"/>
        </a:xfrm>
        <a:prstGeom prst="rect">
          <a:avLst/>
        </a:prstGeom>
      </xdr:spPr>
    </xdr:pic>
    <xdr:clientData/>
  </xdr:twoCellAnchor>
  <xdr:oneCellAnchor>
    <xdr:from>
      <xdr:col>15</xdr:col>
      <xdr:colOff>0</xdr:colOff>
      <xdr:row>33</xdr:row>
      <xdr:rowOff>0</xdr:rowOff>
    </xdr:from>
    <xdr:ext cx="304800" cy="304800"/>
    <xdr:sp macro="" textlink="">
      <xdr:nvSpPr>
        <xdr:cNvPr id="51" name="AutoShape 6">
          <a:extLst>
            <a:ext uri="{FF2B5EF4-FFF2-40B4-BE49-F238E27FC236}">
              <a16:creationId xmlns:a16="http://schemas.microsoft.com/office/drawing/2014/main" xmlns="" id="{A7CDC36A-7634-9B6F-191F-189DE6FEE1AC}"/>
            </a:ext>
          </a:extLst>
        </xdr:cNvPr>
        <xdr:cNvSpPr>
          <a:spLocks noChangeAspect="1" noChangeArrowheads="1"/>
        </xdr:cNvSpPr>
      </xdr:nvSpPr>
      <xdr:spPr bwMode="auto">
        <a:xfrm>
          <a:off x="13948833" y="1003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15</xdr:col>
      <xdr:colOff>334771</xdr:colOff>
      <xdr:row>25</xdr:row>
      <xdr:rowOff>37985</xdr:rowOff>
    </xdr:from>
    <xdr:to>
      <xdr:col>24</xdr:col>
      <xdr:colOff>315044</xdr:colOff>
      <xdr:row>38</xdr:row>
      <xdr:rowOff>410744</xdr:rowOff>
    </xdr:to>
    <xdr:pic>
      <xdr:nvPicPr>
        <xdr:cNvPr id="7" name="Picture 6"/>
        <xdr:cNvPicPr>
          <a:picLocks noChangeAspect="1"/>
        </xdr:cNvPicPr>
      </xdr:nvPicPr>
      <xdr:blipFill>
        <a:blip xmlns:r="http://schemas.openxmlformats.org/officeDocument/2006/relationships" r:embed="rId4"/>
        <a:stretch>
          <a:fillRect/>
        </a:stretch>
      </xdr:blipFill>
      <xdr:spPr>
        <a:xfrm>
          <a:off x="14283604" y="7689735"/>
          <a:ext cx="6870023" cy="3812342"/>
        </a:xfrm>
        <a:prstGeom prst="rect">
          <a:avLst/>
        </a:prstGeom>
      </xdr:spPr>
    </xdr:pic>
    <xdr:clientData/>
  </xdr:twoCellAnchor>
  <xdr:oneCellAnchor>
    <xdr:from>
      <xdr:col>15</xdr:col>
      <xdr:colOff>0</xdr:colOff>
      <xdr:row>36</xdr:row>
      <xdr:rowOff>0</xdr:rowOff>
    </xdr:from>
    <xdr:ext cx="304800" cy="304800"/>
    <xdr:sp macro="" textlink="">
      <xdr:nvSpPr>
        <xdr:cNvPr id="52" name="AutoShape 6">
          <a:extLst>
            <a:ext uri="{FF2B5EF4-FFF2-40B4-BE49-F238E27FC236}">
              <a16:creationId xmlns:a16="http://schemas.microsoft.com/office/drawing/2014/main" xmlns="" id="{A7CDC36A-7634-9B6F-191F-189DE6FEE1AC}"/>
            </a:ext>
          </a:extLst>
        </xdr:cNvPr>
        <xdr:cNvSpPr>
          <a:spLocks noChangeAspect="1" noChangeArrowheads="1"/>
        </xdr:cNvSpPr>
      </xdr:nvSpPr>
      <xdr:spPr bwMode="auto">
        <a:xfrm>
          <a:off x="13948833" y="1029758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35</xdr:row>
      <xdr:rowOff>0</xdr:rowOff>
    </xdr:from>
    <xdr:ext cx="304800" cy="304800"/>
    <xdr:sp macro="" textlink="">
      <xdr:nvSpPr>
        <xdr:cNvPr id="53" name="AutoShape 6">
          <a:extLst>
            <a:ext uri="{FF2B5EF4-FFF2-40B4-BE49-F238E27FC236}">
              <a16:creationId xmlns:a16="http://schemas.microsoft.com/office/drawing/2014/main" xmlns="" id="{A7CDC36A-7634-9B6F-191F-189DE6FEE1AC}"/>
            </a:ext>
          </a:extLst>
        </xdr:cNvPr>
        <xdr:cNvSpPr>
          <a:spLocks noChangeAspect="1" noChangeArrowheads="1"/>
        </xdr:cNvSpPr>
      </xdr:nvSpPr>
      <xdr:spPr bwMode="auto">
        <a:xfrm>
          <a:off x="13948833" y="1003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15</xdr:col>
      <xdr:colOff>296334</xdr:colOff>
      <xdr:row>47</xdr:row>
      <xdr:rowOff>148167</xdr:rowOff>
    </xdr:from>
    <xdr:to>
      <xdr:col>16</xdr:col>
      <xdr:colOff>567060</xdr:colOff>
      <xdr:row>48</xdr:row>
      <xdr:rowOff>234905</xdr:rowOff>
    </xdr:to>
    <xdr:pic>
      <xdr:nvPicPr>
        <xdr:cNvPr id="8" name="Picture 7"/>
        <xdr:cNvPicPr>
          <a:picLocks noChangeAspect="1"/>
        </xdr:cNvPicPr>
      </xdr:nvPicPr>
      <xdr:blipFill>
        <a:blip xmlns:r="http://schemas.openxmlformats.org/officeDocument/2006/relationships" r:embed="rId5"/>
        <a:stretch>
          <a:fillRect/>
        </a:stretch>
      </xdr:blipFill>
      <xdr:spPr>
        <a:xfrm>
          <a:off x="14245167" y="14033500"/>
          <a:ext cx="1657143" cy="36190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296394</xdr:colOff>
      <xdr:row>0</xdr:row>
      <xdr:rowOff>167713</xdr:rowOff>
    </xdr:from>
    <xdr:to>
      <xdr:col>1</xdr:col>
      <xdr:colOff>1897529</xdr:colOff>
      <xdr:row>4</xdr:row>
      <xdr:rowOff>134470</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9806" y="167713"/>
          <a:ext cx="1601135" cy="15430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2755900</xdr:colOff>
      <xdr:row>0</xdr:row>
      <xdr:rowOff>0</xdr:rowOff>
    </xdr:from>
    <xdr:ext cx="5222687" cy="1419227"/>
    <xdr:sp macro="" textlink="">
      <xdr:nvSpPr>
        <xdr:cNvPr id="3" name="TextBox 2">
          <a:extLst>
            <a:ext uri="{FF2B5EF4-FFF2-40B4-BE49-F238E27FC236}">
              <a16:creationId xmlns:a16="http://schemas.microsoft.com/office/drawing/2014/main" xmlns="" id="{00000000-0008-0000-0100-000003000000}"/>
            </a:ext>
          </a:extLst>
        </xdr:cNvPr>
        <xdr:cNvSpPr txBox="1"/>
      </xdr:nvSpPr>
      <xdr:spPr>
        <a:xfrm>
          <a:off x="3159312" y="0"/>
          <a:ext cx="5222687" cy="1419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lnSpc>
              <a:spcPct val="100000"/>
            </a:lnSpc>
            <a:spcBef>
              <a:spcPts val="0"/>
            </a:spcBef>
            <a:spcAft>
              <a:spcPts val="0"/>
            </a:spcAft>
          </a:pPr>
          <a:r>
            <a:rPr lang="en-US" sz="2000" b="1">
              <a:latin typeface="Times New Roman" panose="02020603050405020304" pitchFamily="18" charset="0"/>
              <a:cs typeface="Times New Roman" panose="02020603050405020304" pitchFamily="18" charset="0"/>
            </a:rPr>
            <a:t>CÔNG TY TNHH GỖ GERVIN</a:t>
          </a:r>
        </a:p>
        <a:p>
          <a:pPr algn="ctr">
            <a:lnSpc>
              <a:spcPct val="150000"/>
            </a:lnSpc>
            <a:spcBef>
              <a:spcPts val="0"/>
            </a:spcBef>
            <a:spcAft>
              <a:spcPts val="0"/>
            </a:spcAft>
          </a:pPr>
          <a:r>
            <a:rPr lang="vi-VN" sz="1400">
              <a:latin typeface="Times New Roman" panose="02020603050405020304" pitchFamily="18" charset="0"/>
              <a:cs typeface="Times New Roman" panose="02020603050405020304" pitchFamily="18" charset="0"/>
            </a:rPr>
            <a:t>Địa chỉ: Xóm 3, Hưng Thịnh, Hưng Nguyên, Nghệ An</a:t>
          </a:r>
          <a:endParaRPr lang="en-US" sz="1400">
            <a:latin typeface="Times New Roman" panose="02020603050405020304" pitchFamily="18" charset="0"/>
            <a:cs typeface="Times New Roman" panose="02020603050405020304" pitchFamily="18" charset="0"/>
          </a:endParaRPr>
        </a:p>
        <a:p>
          <a:pPr algn="ctr">
            <a:lnSpc>
              <a:spcPct val="150000"/>
            </a:lnSpc>
            <a:spcBef>
              <a:spcPts val="0"/>
            </a:spcBef>
            <a:spcAft>
              <a:spcPts val="0"/>
            </a:spcAft>
          </a:pPr>
          <a:r>
            <a:rPr lang="en-US" sz="1400">
              <a:latin typeface="Times New Roman" panose="02020603050405020304" pitchFamily="18" charset="0"/>
              <a:cs typeface="Times New Roman" panose="02020603050405020304" pitchFamily="18" charset="0"/>
            </a:rPr>
            <a:t>Điện thoại: 0967.181.786</a:t>
          </a:r>
          <a:r>
            <a:rPr lang="en-US" sz="1400" baseline="0">
              <a:latin typeface="Times New Roman" panose="02020603050405020304" pitchFamily="18" charset="0"/>
              <a:cs typeface="Times New Roman" panose="02020603050405020304" pitchFamily="18" charset="0"/>
            </a:rPr>
            <a:t> </a:t>
          </a:r>
          <a:r>
            <a:rPr lang="en-US" sz="1400">
              <a:latin typeface="Times New Roman" panose="02020603050405020304" pitchFamily="18" charset="0"/>
              <a:cs typeface="Times New Roman" panose="02020603050405020304" pitchFamily="18" charset="0"/>
            </a:rPr>
            <a:t>- Email: contact@gervinwood.com</a:t>
          </a:r>
          <a:r>
            <a:rPr lang="en-US" sz="1400"/>
            <a:t> </a:t>
          </a:r>
        </a:p>
        <a:p>
          <a:pPr algn="ctr">
            <a:lnSpc>
              <a:spcPct val="150000"/>
            </a:lnSpc>
            <a:spcBef>
              <a:spcPts val="0"/>
            </a:spcBef>
            <a:spcAft>
              <a:spcPts val="0"/>
            </a:spcAft>
          </a:pPr>
          <a:r>
            <a:rPr lang="en-US" sz="1400">
              <a:solidFill>
                <a:schemeClr val="tx1"/>
              </a:solidFill>
              <a:latin typeface="Times New Roman" panose="02020603050405020304" pitchFamily="18" charset="0"/>
              <a:ea typeface="+mn-ea"/>
              <a:cs typeface="Times New Roman" panose="02020603050405020304" pitchFamily="18" charset="0"/>
            </a:rPr>
            <a:t>WWW.GERVINWOOD.COM</a:t>
          </a: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BJ62"/>
  <sheetViews>
    <sheetView tabSelected="1" zoomScale="90" zoomScaleNormal="90" zoomScaleSheetLayoutView="100" workbookViewId="0">
      <selection activeCell="L50" sqref="L50"/>
    </sheetView>
  </sheetViews>
  <sheetFormatPr defaultColWidth="9" defaultRowHeight="15" x14ac:dyDescent="0.25"/>
  <cols>
    <col min="1" max="1" width="5.375" style="2" customWidth="1"/>
    <col min="2" max="2" width="18.125" style="2" customWidth="1"/>
    <col min="3" max="3" width="36.375" style="5" customWidth="1"/>
    <col min="4" max="4" width="7.25" style="3" customWidth="1"/>
    <col min="5" max="5" width="5.75" style="3" customWidth="1"/>
    <col min="6" max="6" width="5.875" style="2" customWidth="1"/>
    <col min="7" max="7" width="10.5" style="3" customWidth="1"/>
    <col min="8" max="8" width="12.375" style="3" customWidth="1"/>
    <col min="9" max="9" width="7.5" style="4" customWidth="1"/>
    <col min="10" max="10" width="8.5" style="4" customWidth="1"/>
    <col min="11" max="11" width="10.75" style="15" customWidth="1"/>
    <col min="12" max="12" width="12.5" style="15" customWidth="1"/>
    <col min="13" max="13" width="20.75" style="3" customWidth="1"/>
    <col min="14" max="14" width="9.875" style="2" customWidth="1"/>
    <col min="15" max="15" width="11.625" style="2" customWidth="1"/>
    <col min="16" max="16" width="18.25" style="3" bestFit="1" customWidth="1"/>
    <col min="17" max="16384" width="9" style="3"/>
  </cols>
  <sheetData>
    <row r="1" spans="1:19" s="21" customFormat="1" ht="37.5" customHeight="1" x14ac:dyDescent="0.25">
      <c r="A1" s="19"/>
      <c r="B1" s="19"/>
      <c r="C1" s="20"/>
      <c r="F1" s="19"/>
      <c r="I1" s="22"/>
      <c r="J1" s="22"/>
      <c r="K1" s="23"/>
      <c r="L1" s="23"/>
      <c r="N1" s="19"/>
      <c r="O1" s="19"/>
    </row>
    <row r="2" spans="1:19" s="21" customFormat="1" ht="37.5" customHeight="1" x14ac:dyDescent="0.25">
      <c r="A2" s="19"/>
      <c r="B2" s="19"/>
      <c r="C2" s="24"/>
      <c r="F2" s="19"/>
      <c r="I2" s="22"/>
      <c r="J2" s="22"/>
      <c r="K2" s="23"/>
      <c r="L2" s="23"/>
      <c r="N2" s="19"/>
      <c r="O2" s="19"/>
    </row>
    <row r="3" spans="1:19" s="21" customFormat="1" ht="37.5" customHeight="1" x14ac:dyDescent="0.25">
      <c r="A3" s="19"/>
      <c r="B3" s="19"/>
      <c r="C3" s="24"/>
      <c r="F3" s="19"/>
      <c r="I3" s="22"/>
      <c r="J3" s="22"/>
      <c r="K3" s="23"/>
      <c r="L3" s="156"/>
      <c r="M3" s="156"/>
      <c r="N3" s="19"/>
      <c r="O3" s="19"/>
    </row>
    <row r="4" spans="1:19" ht="11.25" customHeight="1" x14ac:dyDescent="0.25"/>
    <row r="5" spans="1:19" s="21" customFormat="1" ht="22.5" x14ac:dyDescent="0.25">
      <c r="A5" s="19"/>
      <c r="B5" s="19"/>
      <c r="C5" s="20"/>
      <c r="D5" s="25"/>
      <c r="E5" s="25"/>
      <c r="F5" s="19"/>
      <c r="G5" s="26" t="s">
        <v>8</v>
      </c>
      <c r="H5" s="26"/>
      <c r="I5" s="27"/>
      <c r="J5" s="27"/>
      <c r="K5" s="28"/>
      <c r="L5" s="28"/>
      <c r="N5" s="19"/>
      <c r="O5" s="19"/>
    </row>
    <row r="6" spans="1:19" ht="15.75" x14ac:dyDescent="0.25">
      <c r="G6" s="2" t="s">
        <v>225</v>
      </c>
      <c r="H6" s="2"/>
      <c r="J6" s="104"/>
      <c r="K6" s="105"/>
      <c r="L6" s="106" t="s">
        <v>84</v>
      </c>
      <c r="M6" s="107">
        <v>46147.447916666664</v>
      </c>
      <c r="N6" s="109"/>
      <c r="R6" s="110"/>
    </row>
    <row r="7" spans="1:19" ht="15.75" x14ac:dyDescent="0.25">
      <c r="G7" s="2" t="s">
        <v>41</v>
      </c>
      <c r="H7" s="124" t="s">
        <v>234</v>
      </c>
      <c r="J7" s="104"/>
      <c r="K7" s="105"/>
      <c r="L7" s="106" t="s">
        <v>85</v>
      </c>
      <c r="M7" s="108">
        <v>3</v>
      </c>
    </row>
    <row r="8" spans="1:19" ht="15.75" customHeight="1" x14ac:dyDescent="0.25">
      <c r="C8" s="160" t="s">
        <v>224</v>
      </c>
      <c r="G8" s="2"/>
      <c r="H8" s="4"/>
      <c r="J8" s="2"/>
      <c r="K8" s="105"/>
      <c r="L8" s="106" t="s">
        <v>86</v>
      </c>
      <c r="M8" s="107">
        <f>M6+M7</f>
        <v>46150.447916666664</v>
      </c>
    </row>
    <row r="9" spans="1:19" ht="15.75" customHeight="1" x14ac:dyDescent="0.25">
      <c r="C9" s="183" t="s">
        <v>220</v>
      </c>
      <c r="D9" s="183"/>
      <c r="E9" s="183"/>
      <c r="F9" s="183"/>
      <c r="G9" s="183"/>
      <c r="H9" s="183"/>
      <c r="I9" s="183"/>
      <c r="J9" s="183"/>
      <c r="S9"/>
    </row>
    <row r="10" spans="1:19" ht="15.75" customHeight="1" x14ac:dyDescent="0.25">
      <c r="C10" s="184" t="s">
        <v>221</v>
      </c>
      <c r="D10" s="184"/>
      <c r="E10" s="184"/>
      <c r="F10" s="184"/>
      <c r="G10" s="184"/>
      <c r="H10" s="184"/>
      <c r="I10" s="184"/>
      <c r="K10" s="153"/>
      <c r="L10" s="153"/>
      <c r="M10" s="153"/>
      <c r="S10"/>
    </row>
    <row r="11" spans="1:19" s="21" customFormat="1" x14ac:dyDescent="0.25">
      <c r="A11" s="19"/>
      <c r="B11" s="19"/>
      <c r="C11" s="24" t="s">
        <v>9</v>
      </c>
      <c r="F11" s="19"/>
      <c r="I11" s="22"/>
      <c r="J11" s="22"/>
      <c r="K11" s="23"/>
      <c r="L11" s="23"/>
      <c r="N11" s="94"/>
      <c r="O11" s="94"/>
      <c r="P11" s="92"/>
    </row>
    <row r="12" spans="1:19" s="19" customFormat="1" ht="24" customHeight="1" x14ac:dyDescent="0.25">
      <c r="A12" s="181" t="s">
        <v>20</v>
      </c>
      <c r="B12" s="189" t="s">
        <v>82</v>
      </c>
      <c r="C12" s="181" t="s">
        <v>21</v>
      </c>
      <c r="D12" s="186" t="s">
        <v>22</v>
      </c>
      <c r="E12" s="186"/>
      <c r="F12" s="186" t="s">
        <v>16</v>
      </c>
      <c r="G12" s="187" t="s">
        <v>33</v>
      </c>
      <c r="H12" s="187" t="s">
        <v>35</v>
      </c>
      <c r="I12" s="185" t="s">
        <v>28</v>
      </c>
      <c r="J12" s="185" t="s">
        <v>27</v>
      </c>
      <c r="K12" s="182" t="s">
        <v>37</v>
      </c>
      <c r="L12" s="182" t="s">
        <v>38</v>
      </c>
      <c r="M12" s="180" t="s">
        <v>1</v>
      </c>
      <c r="N12" s="93" t="s">
        <v>48</v>
      </c>
      <c r="O12" s="93" t="s">
        <v>49</v>
      </c>
    </row>
    <row r="13" spans="1:19" s="19" customFormat="1" ht="49.5" customHeight="1" x14ac:dyDescent="0.25">
      <c r="A13" s="181"/>
      <c r="B13" s="190"/>
      <c r="C13" s="181"/>
      <c r="D13" s="29" t="s">
        <v>40</v>
      </c>
      <c r="E13" s="64" t="s">
        <v>42</v>
      </c>
      <c r="F13" s="186"/>
      <c r="G13" s="188"/>
      <c r="H13" s="188"/>
      <c r="I13" s="185"/>
      <c r="J13" s="185"/>
      <c r="K13" s="182"/>
      <c r="L13" s="182"/>
      <c r="M13" s="180"/>
      <c r="N13" s="60" t="s">
        <v>39</v>
      </c>
      <c r="O13" s="60" t="s">
        <v>36</v>
      </c>
    </row>
    <row r="14" spans="1:19" s="1" customFormat="1" ht="21" customHeight="1" x14ac:dyDescent="0.25">
      <c r="A14" s="6" t="s">
        <v>10</v>
      </c>
      <c r="B14" s="6"/>
      <c r="C14" s="7" t="s">
        <v>24</v>
      </c>
      <c r="D14" s="7"/>
      <c r="E14" s="8"/>
      <c r="F14" s="65">
        <f>SUM(F15:F35)</f>
        <v>27</v>
      </c>
      <c r="G14" s="8"/>
      <c r="H14" s="8"/>
      <c r="I14" s="9">
        <f>SUM(I15:I35)</f>
        <v>5.8819569999999999</v>
      </c>
      <c r="J14" s="9">
        <f>SUM(J15:J35)</f>
        <v>0.68</v>
      </c>
      <c r="K14" s="9"/>
      <c r="L14" s="55"/>
      <c r="M14" s="8"/>
      <c r="P14"/>
    </row>
    <row r="15" spans="1:19" s="125" customFormat="1" ht="59.25" customHeight="1" x14ac:dyDescent="0.25">
      <c r="A15" s="123">
        <v>1</v>
      </c>
      <c r="B15" s="10" t="s">
        <v>226</v>
      </c>
      <c r="C15" s="130" t="s">
        <v>227</v>
      </c>
      <c r="D15" s="154">
        <v>805</v>
      </c>
      <c r="E15" s="154">
        <v>588</v>
      </c>
      <c r="F15" s="154">
        <v>1</v>
      </c>
      <c r="G15" s="66"/>
      <c r="H15" s="80"/>
      <c r="I15" s="99">
        <f t="shared" ref="I15:I30" si="0">D15*E15*F15/1000000</f>
        <v>0.47333999999999998</v>
      </c>
      <c r="J15" s="97"/>
      <c r="K15" s="98">
        <v>1330000</v>
      </c>
      <c r="L15" s="103">
        <f t="shared" ref="L15:L19" si="1">ROUND((I15+J15)*K15,0)</f>
        <v>629542</v>
      </c>
      <c r="M15" s="155"/>
      <c r="N15" s="17">
        <f t="shared" ref="N15:N35" si="2">E15</f>
        <v>588</v>
      </c>
      <c r="O15" s="124"/>
    </row>
    <row r="16" spans="1:19" s="125" customFormat="1" ht="21" customHeight="1" x14ac:dyDescent="0.25">
      <c r="A16" s="123">
        <v>2</v>
      </c>
      <c r="B16" s="10" t="s">
        <v>226</v>
      </c>
      <c r="C16" s="130"/>
      <c r="D16" s="154">
        <v>680</v>
      </c>
      <c r="E16" s="154">
        <v>301</v>
      </c>
      <c r="F16" s="154">
        <v>2</v>
      </c>
      <c r="G16" s="66" t="str">
        <f t="shared" ref="G16:G21" si="3">$N$13&amp;N16</f>
        <v>Vát 301</v>
      </c>
      <c r="H16" s="80"/>
      <c r="I16" s="99">
        <f t="shared" si="0"/>
        <v>0.40936</v>
      </c>
      <c r="J16" s="97"/>
      <c r="K16" s="98">
        <v>1330000</v>
      </c>
      <c r="L16" s="103">
        <f t="shared" si="1"/>
        <v>544449</v>
      </c>
      <c r="M16" s="155"/>
      <c r="N16" s="17">
        <f t="shared" si="2"/>
        <v>301</v>
      </c>
      <c r="O16" s="124"/>
    </row>
    <row r="17" spans="1:15" s="125" customFormat="1" ht="21" customHeight="1" x14ac:dyDescent="0.25">
      <c r="A17" s="123">
        <v>3</v>
      </c>
      <c r="B17" s="10" t="s">
        <v>226</v>
      </c>
      <c r="C17" s="130"/>
      <c r="D17" s="154">
        <v>680</v>
      </c>
      <c r="E17" s="154">
        <v>347</v>
      </c>
      <c r="F17" s="154">
        <v>1</v>
      </c>
      <c r="G17" s="66" t="str">
        <f t="shared" si="3"/>
        <v>Vát 347</v>
      </c>
      <c r="H17" s="80"/>
      <c r="I17" s="99">
        <f t="shared" si="0"/>
        <v>0.23596</v>
      </c>
      <c r="J17" s="97"/>
      <c r="K17" s="98">
        <v>1330000</v>
      </c>
      <c r="L17" s="103">
        <f t="shared" si="1"/>
        <v>313827</v>
      </c>
      <c r="M17" s="155"/>
      <c r="N17" s="17">
        <f t="shared" si="2"/>
        <v>347</v>
      </c>
      <c r="O17" s="124"/>
    </row>
    <row r="18" spans="1:15" s="125" customFormat="1" ht="21" customHeight="1" x14ac:dyDescent="0.25">
      <c r="A18" s="123">
        <v>4</v>
      </c>
      <c r="B18" s="10" t="s">
        <v>226</v>
      </c>
      <c r="C18" s="130"/>
      <c r="D18" s="154">
        <v>330</v>
      </c>
      <c r="E18" s="154">
        <v>797</v>
      </c>
      <c r="F18" s="154">
        <v>2</v>
      </c>
      <c r="G18" s="66" t="str">
        <f t="shared" si="3"/>
        <v>Vát 797</v>
      </c>
      <c r="H18" s="80"/>
      <c r="I18" s="99">
        <f t="shared" si="0"/>
        <v>0.52602000000000004</v>
      </c>
      <c r="J18" s="97"/>
      <c r="K18" s="98">
        <v>1330000</v>
      </c>
      <c r="L18" s="103">
        <f t="shared" si="1"/>
        <v>699607</v>
      </c>
      <c r="M18" s="155"/>
      <c r="N18" s="17">
        <f t="shared" si="2"/>
        <v>797</v>
      </c>
      <c r="O18" s="124"/>
    </row>
    <row r="19" spans="1:15" s="125" customFormat="1" ht="21" customHeight="1" x14ac:dyDescent="0.25">
      <c r="A19" s="123">
        <v>5</v>
      </c>
      <c r="B19" s="10" t="s">
        <v>226</v>
      </c>
      <c r="C19" s="130"/>
      <c r="D19" s="154">
        <v>799</v>
      </c>
      <c r="E19" s="154">
        <v>58</v>
      </c>
      <c r="F19" s="154">
        <v>1</v>
      </c>
      <c r="G19" s="66"/>
      <c r="H19" s="80"/>
      <c r="I19" s="99">
        <f t="shared" si="0"/>
        <v>4.6342000000000001E-2</v>
      </c>
      <c r="J19" s="97"/>
      <c r="K19" s="98">
        <v>1330000</v>
      </c>
      <c r="L19" s="103">
        <f t="shared" si="1"/>
        <v>61635</v>
      </c>
      <c r="M19" s="155"/>
      <c r="N19" s="17">
        <f t="shared" si="2"/>
        <v>58</v>
      </c>
      <c r="O19" s="124"/>
    </row>
    <row r="20" spans="1:15" s="125" customFormat="1" ht="21" customHeight="1" x14ac:dyDescent="0.25">
      <c r="A20" s="123">
        <v>6</v>
      </c>
      <c r="B20" s="10" t="s">
        <v>226</v>
      </c>
      <c r="C20" s="130"/>
      <c r="D20" s="154">
        <v>680</v>
      </c>
      <c r="E20" s="154">
        <v>51</v>
      </c>
      <c r="F20" s="154">
        <v>1</v>
      </c>
      <c r="G20" s="66"/>
      <c r="H20" s="80"/>
      <c r="I20" s="99"/>
      <c r="J20" s="97">
        <f>D20/1000*F20</f>
        <v>0.68</v>
      </c>
      <c r="K20" s="98">
        <v>100000</v>
      </c>
      <c r="L20" s="103">
        <f t="shared" ref="L20:L23" si="4">ROUND((I20+J20)*K20,0)</f>
        <v>68000</v>
      </c>
      <c r="M20" s="155"/>
      <c r="N20" s="17">
        <f t="shared" si="2"/>
        <v>51</v>
      </c>
      <c r="O20" s="124"/>
    </row>
    <row r="21" spans="1:15" s="125" customFormat="1" ht="21" customHeight="1" x14ac:dyDescent="0.25">
      <c r="A21" s="123">
        <v>7</v>
      </c>
      <c r="B21" s="10" t="s">
        <v>226</v>
      </c>
      <c r="C21" s="130"/>
      <c r="D21" s="154">
        <v>760</v>
      </c>
      <c r="E21" s="154">
        <v>299</v>
      </c>
      <c r="F21" s="154">
        <v>2</v>
      </c>
      <c r="G21" s="66" t="str">
        <f t="shared" si="3"/>
        <v>Vát 299</v>
      </c>
      <c r="H21" s="80"/>
      <c r="I21" s="99">
        <f t="shared" ref="I21:I23" si="5">D21*E21*F21/1000000</f>
        <v>0.45448</v>
      </c>
      <c r="J21" s="97"/>
      <c r="K21" s="98">
        <v>1330000</v>
      </c>
      <c r="L21" s="103">
        <f t="shared" si="4"/>
        <v>604458</v>
      </c>
      <c r="M21" s="155"/>
      <c r="N21" s="17">
        <f t="shared" si="2"/>
        <v>299</v>
      </c>
      <c r="O21" s="124"/>
    </row>
    <row r="22" spans="1:15" s="125" customFormat="1" ht="21" customHeight="1" x14ac:dyDescent="0.25">
      <c r="A22" s="123">
        <v>8</v>
      </c>
      <c r="B22" s="10" t="s">
        <v>226</v>
      </c>
      <c r="C22" s="130"/>
      <c r="D22" s="154">
        <v>850</v>
      </c>
      <c r="E22" s="154">
        <v>73</v>
      </c>
      <c r="F22" s="154">
        <v>1</v>
      </c>
      <c r="G22" s="66"/>
      <c r="H22" s="80"/>
      <c r="I22" s="99">
        <f t="shared" si="5"/>
        <v>6.2050000000000001E-2</v>
      </c>
      <c r="J22" s="97"/>
      <c r="K22" s="98">
        <v>1330000</v>
      </c>
      <c r="L22" s="103">
        <f t="shared" si="4"/>
        <v>82527</v>
      </c>
      <c r="M22" s="155"/>
      <c r="N22" s="17">
        <f t="shared" si="2"/>
        <v>73</v>
      </c>
      <c r="O22" s="124"/>
    </row>
    <row r="23" spans="1:15" s="125" customFormat="1" ht="21" customHeight="1" x14ac:dyDescent="0.25">
      <c r="A23" s="123">
        <v>9</v>
      </c>
      <c r="B23" s="10" t="s">
        <v>226</v>
      </c>
      <c r="C23" s="130"/>
      <c r="D23" s="154">
        <v>1808</v>
      </c>
      <c r="E23" s="154">
        <v>67</v>
      </c>
      <c r="F23" s="154">
        <v>1</v>
      </c>
      <c r="G23" s="66"/>
      <c r="H23" s="80"/>
      <c r="I23" s="99">
        <f t="shared" si="5"/>
        <v>0.12113599999999999</v>
      </c>
      <c r="J23" s="97"/>
      <c r="K23" s="98">
        <v>1330000</v>
      </c>
      <c r="L23" s="103">
        <f t="shared" si="4"/>
        <v>161111</v>
      </c>
      <c r="M23" s="155"/>
      <c r="N23" s="17">
        <f t="shared" si="2"/>
        <v>67</v>
      </c>
      <c r="O23" s="124"/>
    </row>
    <row r="24" spans="1:15" s="125" customFormat="1" ht="21" customHeight="1" x14ac:dyDescent="0.25">
      <c r="A24" s="123">
        <v>10</v>
      </c>
      <c r="B24" s="10" t="s">
        <v>226</v>
      </c>
      <c r="C24" s="130"/>
      <c r="D24" s="154">
        <v>900</v>
      </c>
      <c r="E24" s="154">
        <v>67</v>
      </c>
      <c r="F24" s="154">
        <v>1</v>
      </c>
      <c r="G24" s="66"/>
      <c r="H24" s="80"/>
      <c r="I24" s="99">
        <f t="shared" si="0"/>
        <v>6.0299999999999999E-2</v>
      </c>
      <c r="J24" s="97"/>
      <c r="K24" s="98">
        <v>1330000</v>
      </c>
      <c r="L24" s="103">
        <f t="shared" ref="L24:L30" si="6">ROUND((I24+J24)*K24,0)</f>
        <v>80199</v>
      </c>
      <c r="M24" s="155"/>
      <c r="N24" s="17">
        <f t="shared" si="2"/>
        <v>67</v>
      </c>
      <c r="O24" s="124"/>
    </row>
    <row r="25" spans="1:15" s="125" customFormat="1" ht="21" customHeight="1" x14ac:dyDescent="0.25">
      <c r="A25" s="123">
        <v>11</v>
      </c>
      <c r="B25" s="10" t="s">
        <v>226</v>
      </c>
      <c r="C25" s="130"/>
      <c r="D25" s="154">
        <v>735</v>
      </c>
      <c r="E25" s="154">
        <v>397</v>
      </c>
      <c r="F25" s="154">
        <v>2</v>
      </c>
      <c r="G25" s="66"/>
      <c r="H25" s="80"/>
      <c r="I25" s="99">
        <f t="shared" ref="I25:I28" si="7">D25*E25*F25/1000000</f>
        <v>0.58359000000000005</v>
      </c>
      <c r="J25" s="97"/>
      <c r="K25" s="98">
        <v>1330000</v>
      </c>
      <c r="L25" s="103">
        <f t="shared" ref="L25:L28" si="8">ROUND((I25+J25)*K25,0)</f>
        <v>776175</v>
      </c>
      <c r="M25" s="155"/>
      <c r="N25" s="17">
        <f t="shared" si="2"/>
        <v>397</v>
      </c>
      <c r="O25" s="124"/>
    </row>
    <row r="26" spans="1:15" s="125" customFormat="1" ht="21" customHeight="1" x14ac:dyDescent="0.25">
      <c r="A26" s="123">
        <v>12</v>
      </c>
      <c r="B26" s="10" t="s">
        <v>226</v>
      </c>
      <c r="C26" s="130"/>
      <c r="D26" s="154">
        <v>735</v>
      </c>
      <c r="E26" s="154">
        <v>426</v>
      </c>
      <c r="F26" s="154">
        <v>1</v>
      </c>
      <c r="G26" s="66"/>
      <c r="H26" s="80"/>
      <c r="I26" s="99">
        <f t="shared" si="7"/>
        <v>0.31311</v>
      </c>
      <c r="J26" s="97"/>
      <c r="K26" s="98">
        <v>1330000</v>
      </c>
      <c r="L26" s="103">
        <f t="shared" si="8"/>
        <v>416436</v>
      </c>
      <c r="M26" s="155"/>
      <c r="N26" s="17">
        <f t="shared" si="2"/>
        <v>426</v>
      </c>
      <c r="O26" s="124"/>
    </row>
    <row r="27" spans="1:15" s="125" customFormat="1" ht="21" customHeight="1" x14ac:dyDescent="0.25">
      <c r="A27" s="123">
        <v>13</v>
      </c>
      <c r="B27" s="10" t="s">
        <v>226</v>
      </c>
      <c r="C27" s="130"/>
      <c r="D27" s="154">
        <v>735</v>
      </c>
      <c r="E27" s="154">
        <v>422</v>
      </c>
      <c r="F27" s="154">
        <v>1</v>
      </c>
      <c r="G27" s="66"/>
      <c r="H27" s="80"/>
      <c r="I27" s="99">
        <f t="shared" si="7"/>
        <v>0.31017</v>
      </c>
      <c r="J27" s="97"/>
      <c r="K27" s="98">
        <v>1330000</v>
      </c>
      <c r="L27" s="103">
        <f t="shared" si="8"/>
        <v>412526</v>
      </c>
      <c r="M27" s="155"/>
      <c r="N27" s="17">
        <f t="shared" si="2"/>
        <v>422</v>
      </c>
      <c r="O27" s="124"/>
    </row>
    <row r="28" spans="1:15" s="125" customFormat="1" ht="21" customHeight="1" x14ac:dyDescent="0.25">
      <c r="A28" s="123">
        <v>14</v>
      </c>
      <c r="B28" s="10" t="s">
        <v>226</v>
      </c>
      <c r="C28" s="130"/>
      <c r="D28" s="154">
        <v>735</v>
      </c>
      <c r="E28" s="154">
        <v>302</v>
      </c>
      <c r="F28" s="154">
        <v>1</v>
      </c>
      <c r="G28" s="66"/>
      <c r="H28" s="80"/>
      <c r="I28" s="99">
        <f t="shared" si="7"/>
        <v>0.22197</v>
      </c>
      <c r="J28" s="97"/>
      <c r="K28" s="98">
        <v>1330000</v>
      </c>
      <c r="L28" s="103">
        <f t="shared" si="8"/>
        <v>295220</v>
      </c>
      <c r="M28" s="155"/>
      <c r="N28" s="17">
        <f t="shared" si="2"/>
        <v>302</v>
      </c>
      <c r="O28" s="124"/>
    </row>
    <row r="29" spans="1:15" s="125" customFormat="1" ht="21" customHeight="1" x14ac:dyDescent="0.25">
      <c r="A29" s="123">
        <v>15</v>
      </c>
      <c r="B29" s="10" t="s">
        <v>226</v>
      </c>
      <c r="C29" s="130"/>
      <c r="D29" s="154">
        <v>665</v>
      </c>
      <c r="E29" s="154">
        <v>353</v>
      </c>
      <c r="F29" s="154">
        <v>2</v>
      </c>
      <c r="G29" s="66"/>
      <c r="H29" s="80"/>
      <c r="I29" s="99">
        <f t="shared" si="0"/>
        <v>0.46949000000000002</v>
      </c>
      <c r="J29" s="97"/>
      <c r="K29" s="98">
        <v>1330000</v>
      </c>
      <c r="L29" s="103">
        <f t="shared" si="6"/>
        <v>624422</v>
      </c>
      <c r="M29" s="155"/>
      <c r="N29" s="17">
        <f t="shared" si="2"/>
        <v>353</v>
      </c>
      <c r="O29" s="124"/>
    </row>
    <row r="30" spans="1:15" s="125" customFormat="1" ht="21" customHeight="1" x14ac:dyDescent="0.25">
      <c r="A30" s="123">
        <v>16</v>
      </c>
      <c r="B30" s="10" t="s">
        <v>226</v>
      </c>
      <c r="C30" s="130"/>
      <c r="D30" s="154">
        <v>735</v>
      </c>
      <c r="E30" s="154">
        <v>333</v>
      </c>
      <c r="F30" s="154">
        <v>2</v>
      </c>
      <c r="G30" s="66"/>
      <c r="H30" s="80"/>
      <c r="I30" s="99">
        <f t="shared" si="0"/>
        <v>0.48951</v>
      </c>
      <c r="J30" s="97"/>
      <c r="K30" s="98">
        <v>1330000</v>
      </c>
      <c r="L30" s="103">
        <f t="shared" si="6"/>
        <v>651048</v>
      </c>
      <c r="M30" s="155"/>
      <c r="N30" s="17">
        <f t="shared" si="2"/>
        <v>333</v>
      </c>
      <c r="O30" s="124"/>
    </row>
    <row r="31" spans="1:15" s="125" customFormat="1" ht="21" customHeight="1" x14ac:dyDescent="0.25">
      <c r="A31" s="123">
        <v>17</v>
      </c>
      <c r="B31" s="10" t="s">
        <v>226</v>
      </c>
      <c r="C31" s="130"/>
      <c r="D31" s="154">
        <v>735</v>
      </c>
      <c r="E31" s="154">
        <v>336</v>
      </c>
      <c r="F31" s="154">
        <v>1</v>
      </c>
      <c r="G31" s="66"/>
      <c r="H31" s="80"/>
      <c r="I31" s="99">
        <f t="shared" ref="I31:I32" si="9">D31*E31*F31/1000000</f>
        <v>0.24696000000000001</v>
      </c>
      <c r="J31" s="97"/>
      <c r="K31" s="98">
        <v>1330000</v>
      </c>
      <c r="L31" s="103">
        <f t="shared" ref="L31:L32" si="10">ROUND((I31+J31)*K31,0)</f>
        <v>328457</v>
      </c>
      <c r="M31" s="155"/>
      <c r="N31" s="17">
        <f t="shared" si="2"/>
        <v>336</v>
      </c>
      <c r="O31" s="124"/>
    </row>
    <row r="32" spans="1:15" s="125" customFormat="1" ht="21" customHeight="1" x14ac:dyDescent="0.25">
      <c r="A32" s="123">
        <v>18</v>
      </c>
      <c r="B32" s="10" t="s">
        <v>226</v>
      </c>
      <c r="C32" s="130"/>
      <c r="D32" s="154">
        <v>807</v>
      </c>
      <c r="E32" s="154">
        <v>370</v>
      </c>
      <c r="F32" s="154">
        <v>1</v>
      </c>
      <c r="G32" s="66"/>
      <c r="H32" s="80"/>
      <c r="I32" s="99">
        <f t="shared" si="9"/>
        <v>0.29859000000000002</v>
      </c>
      <c r="J32" s="97"/>
      <c r="K32" s="98">
        <v>1330000</v>
      </c>
      <c r="L32" s="103">
        <f t="shared" si="10"/>
        <v>397125</v>
      </c>
      <c r="M32" s="155"/>
      <c r="N32" s="17">
        <f t="shared" si="2"/>
        <v>370</v>
      </c>
      <c r="O32" s="124"/>
    </row>
    <row r="33" spans="1:33" s="125" customFormat="1" ht="21" customHeight="1" x14ac:dyDescent="0.25">
      <c r="A33" s="123">
        <v>19</v>
      </c>
      <c r="B33" s="10" t="s">
        <v>226</v>
      </c>
      <c r="C33" s="130"/>
      <c r="D33" s="154">
        <v>807</v>
      </c>
      <c r="E33" s="154">
        <v>367</v>
      </c>
      <c r="F33" s="154">
        <v>1</v>
      </c>
      <c r="G33" s="66"/>
      <c r="H33" s="80"/>
      <c r="I33" s="99">
        <f t="shared" ref="I33:I35" si="11">D33*E33*F33/1000000</f>
        <v>0.29616900000000002</v>
      </c>
      <c r="J33" s="97"/>
      <c r="K33" s="98">
        <v>1330000</v>
      </c>
      <c r="L33" s="103">
        <f t="shared" ref="L33:L35" si="12">ROUND((I33+J33)*K33,0)</f>
        <v>393905</v>
      </c>
      <c r="M33" s="155"/>
      <c r="N33" s="17">
        <f t="shared" si="2"/>
        <v>367</v>
      </c>
      <c r="O33" s="124"/>
    </row>
    <row r="34" spans="1:33" s="125" customFormat="1" ht="21" customHeight="1" x14ac:dyDescent="0.25">
      <c r="A34" s="123">
        <v>20</v>
      </c>
      <c r="B34" s="10" t="s">
        <v>226</v>
      </c>
      <c r="C34" s="130"/>
      <c r="D34" s="154">
        <v>1686</v>
      </c>
      <c r="E34" s="154">
        <v>70</v>
      </c>
      <c r="F34" s="154">
        <v>1</v>
      </c>
      <c r="G34" s="66"/>
      <c r="H34" s="80"/>
      <c r="I34" s="99">
        <f t="shared" ref="I34" si="13">D34*E34*F34/1000000</f>
        <v>0.11802</v>
      </c>
      <c r="J34" s="97"/>
      <c r="K34" s="98">
        <v>1330000</v>
      </c>
      <c r="L34" s="103">
        <f t="shared" ref="L34" si="14">ROUND((I34+J34)*K34,0)</f>
        <v>156967</v>
      </c>
      <c r="M34" s="155"/>
      <c r="N34" s="17">
        <f t="shared" ref="N34" si="15">E34</f>
        <v>70</v>
      </c>
      <c r="O34" s="124"/>
    </row>
    <row r="35" spans="1:33" s="125" customFormat="1" ht="21" customHeight="1" x14ac:dyDescent="0.25">
      <c r="A35" s="123">
        <v>21</v>
      </c>
      <c r="B35" s="10" t="s">
        <v>226</v>
      </c>
      <c r="C35" s="130"/>
      <c r="D35" s="154">
        <v>2077</v>
      </c>
      <c r="E35" s="154">
        <v>70</v>
      </c>
      <c r="F35" s="154">
        <v>1</v>
      </c>
      <c r="G35" s="66"/>
      <c r="H35" s="80"/>
      <c r="I35" s="99">
        <f t="shared" si="11"/>
        <v>0.14538999999999999</v>
      </c>
      <c r="J35" s="97"/>
      <c r="K35" s="98">
        <v>1330000</v>
      </c>
      <c r="L35" s="103">
        <f t="shared" si="12"/>
        <v>193369</v>
      </c>
      <c r="M35" s="155"/>
      <c r="N35" s="17">
        <f t="shared" si="2"/>
        <v>70</v>
      </c>
      <c r="O35" s="124"/>
    </row>
    <row r="36" spans="1:33" s="125" customFormat="1" ht="21" customHeight="1" x14ac:dyDescent="0.25">
      <c r="A36" s="123">
        <v>22</v>
      </c>
      <c r="B36" s="10" t="s">
        <v>226</v>
      </c>
      <c r="C36" s="130"/>
      <c r="D36" s="167">
        <v>860</v>
      </c>
      <c r="E36" s="167">
        <v>627</v>
      </c>
      <c r="F36" s="154">
        <v>1</v>
      </c>
      <c r="G36" s="66"/>
      <c r="H36" s="80"/>
      <c r="I36" s="99">
        <f>D36*E36*F36/1000000</f>
        <v>0.53922000000000003</v>
      </c>
      <c r="J36" s="97"/>
      <c r="K36" s="98">
        <v>1330000</v>
      </c>
      <c r="L36" s="103">
        <f>ROUND((I36+J36)*K36,0)</f>
        <v>717163</v>
      </c>
      <c r="M36" s="93" t="s">
        <v>230</v>
      </c>
      <c r="N36" s="17">
        <f>E36</f>
        <v>627</v>
      </c>
      <c r="O36" s="124"/>
    </row>
    <row r="37" spans="1:33" s="125" customFormat="1" ht="21" customHeight="1" x14ac:dyDescent="0.25">
      <c r="A37" s="123">
        <v>22</v>
      </c>
      <c r="B37" s="10" t="s">
        <v>226</v>
      </c>
      <c r="C37" s="130"/>
      <c r="D37" s="167">
        <v>860</v>
      </c>
      <c r="E37" s="167">
        <v>72</v>
      </c>
      <c r="F37" s="154">
        <v>1</v>
      </c>
      <c r="G37" s="66"/>
      <c r="H37" s="80"/>
      <c r="I37" s="99">
        <f>D37*E37*F37/1000000</f>
        <v>6.1920000000000003E-2</v>
      </c>
      <c r="J37" s="97"/>
      <c r="K37" s="98">
        <v>1330000</v>
      </c>
      <c r="L37" s="103">
        <f>ROUND((I37+J37)*K37,0)</f>
        <v>82354</v>
      </c>
      <c r="M37" s="93" t="s">
        <v>231</v>
      </c>
      <c r="N37" s="17">
        <f>E37</f>
        <v>72</v>
      </c>
      <c r="O37" s="124"/>
    </row>
    <row r="38" spans="1:33" s="1" customFormat="1" ht="21" customHeight="1" x14ac:dyDescent="0.25">
      <c r="A38" s="6" t="s">
        <v>222</v>
      </c>
      <c r="B38" s="6"/>
      <c r="C38" s="7" t="s">
        <v>223</v>
      </c>
      <c r="D38" s="7"/>
      <c r="E38" s="8"/>
      <c r="F38" s="65">
        <f>SUM(F39:F43)</f>
        <v>6</v>
      </c>
      <c r="G38" s="8"/>
      <c r="H38" s="8"/>
      <c r="I38" s="9">
        <f>SUM(I39:I39)</f>
        <v>0.56440000000000001</v>
      </c>
      <c r="J38" s="9">
        <f>SUM(J39:J39)</f>
        <v>0</v>
      </c>
      <c r="K38" s="9"/>
      <c r="L38" s="55"/>
      <c r="M38" s="8"/>
      <c r="P38"/>
    </row>
    <row r="39" spans="1:33" s="125" customFormat="1" ht="50.25" customHeight="1" x14ac:dyDescent="0.25">
      <c r="A39" s="123">
        <v>1</v>
      </c>
      <c r="B39" s="10" t="s">
        <v>228</v>
      </c>
      <c r="C39" s="161" t="s">
        <v>229</v>
      </c>
      <c r="D39" s="154">
        <v>680</v>
      </c>
      <c r="E39" s="154">
        <v>415</v>
      </c>
      <c r="F39" s="154">
        <v>2</v>
      </c>
      <c r="G39" s="66" t="str">
        <f t="shared" ref="G39" si="16">$N$13&amp;N39</f>
        <v>Vát 415</v>
      </c>
      <c r="H39" s="80"/>
      <c r="I39" s="99">
        <f t="shared" ref="I39" si="17">D39*E39*F39/1000000</f>
        <v>0.56440000000000001</v>
      </c>
      <c r="J39" s="97"/>
      <c r="K39" s="98">
        <v>1550000</v>
      </c>
      <c r="L39" s="103">
        <f t="shared" ref="L39" si="18">ROUND((I39+J39)*K39,0)</f>
        <v>874820</v>
      </c>
      <c r="M39" s="155"/>
      <c r="N39" s="17">
        <f t="shared" ref="N39" si="19">E39</f>
        <v>415</v>
      </c>
      <c r="O39" s="124"/>
    </row>
    <row r="40" spans="1:33" s="125" customFormat="1" ht="21" customHeight="1" x14ac:dyDescent="0.25">
      <c r="A40" s="123">
        <v>2</v>
      </c>
      <c r="B40" s="10" t="s">
        <v>228</v>
      </c>
      <c r="C40" s="130"/>
      <c r="D40" s="154">
        <v>1860</v>
      </c>
      <c r="E40" s="154">
        <v>80</v>
      </c>
      <c r="F40" s="154">
        <v>1</v>
      </c>
      <c r="G40" s="66"/>
      <c r="H40" s="80"/>
      <c r="I40" s="99">
        <f>D40*E40*F40/1000000</f>
        <v>0.14879999999999999</v>
      </c>
      <c r="J40" s="97"/>
      <c r="K40" s="98">
        <v>1550000</v>
      </c>
      <c r="L40" s="103">
        <f>ROUND((I40+J40)*K40,0)</f>
        <v>230640</v>
      </c>
      <c r="M40" s="155"/>
      <c r="N40" s="17">
        <f>E40</f>
        <v>80</v>
      </c>
      <c r="O40" s="124"/>
    </row>
    <row r="41" spans="1:33" s="125" customFormat="1" ht="21" customHeight="1" x14ac:dyDescent="0.25">
      <c r="A41" s="123">
        <v>3</v>
      </c>
      <c r="B41" s="10" t="s">
        <v>228</v>
      </c>
      <c r="C41" s="130"/>
      <c r="D41" s="154">
        <v>650</v>
      </c>
      <c r="E41" s="154">
        <v>80</v>
      </c>
      <c r="F41" s="154">
        <v>1</v>
      </c>
      <c r="G41" s="66"/>
      <c r="H41" s="80"/>
      <c r="I41" s="99">
        <f>D41*E41*F41/1000000</f>
        <v>5.1999999999999998E-2</v>
      </c>
      <c r="J41" s="97"/>
      <c r="K41" s="98">
        <v>1550000</v>
      </c>
      <c r="L41" s="103">
        <f>ROUND((I41+J41)*K41,0)</f>
        <v>80600</v>
      </c>
      <c r="M41" s="155"/>
      <c r="N41" s="17">
        <f t="shared" ref="N41:N43" si="20">E41</f>
        <v>80</v>
      </c>
      <c r="O41" s="124"/>
    </row>
    <row r="42" spans="1:33" s="125" customFormat="1" ht="21" customHeight="1" x14ac:dyDescent="0.25">
      <c r="A42" s="123">
        <v>4</v>
      </c>
      <c r="B42" s="10" t="s">
        <v>228</v>
      </c>
      <c r="C42" s="130"/>
      <c r="D42" s="154">
        <v>604</v>
      </c>
      <c r="E42" s="154">
        <v>80</v>
      </c>
      <c r="F42" s="154">
        <v>1</v>
      </c>
      <c r="G42" s="66"/>
      <c r="H42" s="80"/>
      <c r="I42" s="99">
        <f>D42*E42*F42/1000000</f>
        <v>4.8320000000000002E-2</v>
      </c>
      <c r="J42" s="97"/>
      <c r="K42" s="98">
        <v>1550000</v>
      </c>
      <c r="L42" s="103">
        <f>ROUND((I42+J42)*K42,0)</f>
        <v>74896</v>
      </c>
      <c r="M42" s="155"/>
      <c r="N42" s="17">
        <f t="shared" si="20"/>
        <v>80</v>
      </c>
      <c r="O42" s="124"/>
    </row>
    <row r="43" spans="1:33" s="125" customFormat="1" ht="21" customHeight="1" x14ac:dyDescent="0.25">
      <c r="A43" s="123">
        <v>5</v>
      </c>
      <c r="B43" s="10" t="s">
        <v>228</v>
      </c>
      <c r="C43" s="130"/>
      <c r="D43" s="154">
        <v>735</v>
      </c>
      <c r="E43" s="154">
        <v>100</v>
      </c>
      <c r="F43" s="154">
        <v>1</v>
      </c>
      <c r="G43" s="66"/>
      <c r="H43" s="80"/>
      <c r="I43" s="99">
        <f>D43*E43*F43/1000000</f>
        <v>7.3499999999999996E-2</v>
      </c>
      <c r="J43" s="97"/>
      <c r="K43" s="98">
        <v>1550000</v>
      </c>
      <c r="L43" s="103">
        <f>ROUND((I43+J43)*K43,0)</f>
        <v>113925</v>
      </c>
      <c r="M43" s="155"/>
      <c r="N43" s="17">
        <f t="shared" si="20"/>
        <v>100</v>
      </c>
      <c r="O43" s="124"/>
    </row>
    <row r="44" spans="1:33" s="125" customFormat="1" ht="21.75" customHeight="1" x14ac:dyDescent="0.25">
      <c r="A44" s="126"/>
      <c r="B44" s="126"/>
      <c r="C44" s="127"/>
      <c r="D44" s="81"/>
      <c r="E44" s="81"/>
      <c r="F44" s="95">
        <f>F14+F38</f>
        <v>33</v>
      </c>
      <c r="G44" s="95"/>
      <c r="H44" s="95"/>
      <c r="I44" s="96">
        <f>I14+I38</f>
        <v>6.4463569999999999</v>
      </c>
      <c r="J44" s="96">
        <f>J14+J38</f>
        <v>0.68</v>
      </c>
      <c r="K44" s="16"/>
      <c r="L44" s="16"/>
      <c r="M44" s="128"/>
      <c r="N44" s="129"/>
      <c r="O44" s="124"/>
    </row>
    <row r="45" spans="1:33" s="178" customFormat="1" ht="21.75" customHeight="1" x14ac:dyDescent="0.25">
      <c r="A45" s="168"/>
      <c r="B45" s="168"/>
      <c r="C45" s="169" t="s">
        <v>232</v>
      </c>
      <c r="D45" s="170" t="s">
        <v>233</v>
      </c>
      <c r="E45" s="170"/>
      <c r="F45" s="171"/>
      <c r="G45" s="171"/>
      <c r="H45" s="171"/>
      <c r="I45" s="172">
        <f>D37/1000*F37</f>
        <v>0.86</v>
      </c>
      <c r="J45" s="173"/>
      <c r="K45" s="174">
        <v>35000</v>
      </c>
      <c r="L45" s="174">
        <f>K45*I45</f>
        <v>30100</v>
      </c>
      <c r="M45" s="175"/>
      <c r="N45" s="176"/>
      <c r="O45" s="177"/>
    </row>
    <row r="46" spans="1:33" s="1" customFormat="1" ht="21.75" customHeight="1" x14ac:dyDescent="0.25">
      <c r="A46" s="131"/>
      <c r="B46" s="131"/>
      <c r="C46" s="131"/>
      <c r="D46" s="131"/>
      <c r="E46" s="131"/>
      <c r="F46" s="132"/>
      <c r="G46" s="131"/>
      <c r="H46" s="131"/>
      <c r="I46" s="133"/>
      <c r="J46" s="134"/>
      <c r="K46" s="135" t="s">
        <v>6</v>
      </c>
      <c r="L46" s="136">
        <f>ROUND(SUM(L15:L45),-3)</f>
        <v>10096000</v>
      </c>
      <c r="M46" s="137"/>
      <c r="N46" s="12"/>
      <c r="O46" s="12"/>
      <c r="AA46" s="125"/>
      <c r="AB46" s="125"/>
      <c r="AC46" s="125"/>
      <c r="AD46" s="125"/>
      <c r="AE46" s="125"/>
      <c r="AF46" s="125"/>
      <c r="AG46" s="125"/>
    </row>
    <row r="47" spans="1:33" s="1" customFormat="1" ht="21.75" customHeight="1" x14ac:dyDescent="0.25">
      <c r="A47" s="138"/>
      <c r="B47" s="138"/>
      <c r="C47" s="138"/>
      <c r="D47" s="138"/>
      <c r="E47" s="138"/>
      <c r="F47" s="139"/>
      <c r="G47" s="138"/>
      <c r="H47" s="138"/>
      <c r="I47" s="139"/>
      <c r="J47" s="157"/>
      <c r="K47" s="158" t="s">
        <v>219</v>
      </c>
      <c r="L47" s="159">
        <v>16014000</v>
      </c>
      <c r="M47" s="139"/>
      <c r="N47" s="12"/>
      <c r="O47" s="12"/>
      <c r="AA47" s="125"/>
      <c r="AB47" s="125"/>
      <c r="AC47" s="125"/>
      <c r="AD47" s="125"/>
      <c r="AE47" s="125"/>
      <c r="AF47" s="125"/>
      <c r="AG47" s="125"/>
    </row>
    <row r="48" spans="1:33" s="1" customFormat="1" ht="21.75" customHeight="1" x14ac:dyDescent="0.25">
      <c r="A48" s="138"/>
      <c r="B48" s="138"/>
      <c r="C48" s="138"/>
      <c r="D48" s="138"/>
      <c r="E48" s="138"/>
      <c r="F48" s="139"/>
      <c r="G48" s="138"/>
      <c r="H48" s="138"/>
      <c r="I48" s="139"/>
      <c r="J48" s="134"/>
      <c r="K48" s="135" t="s">
        <v>90</v>
      </c>
      <c r="L48" s="136">
        <v>16014000</v>
      </c>
      <c r="M48" s="139"/>
      <c r="N48" s="12"/>
      <c r="O48" s="12"/>
      <c r="AA48" s="125"/>
      <c r="AB48" s="125"/>
      <c r="AC48" s="125"/>
      <c r="AD48" s="125"/>
      <c r="AE48" s="125"/>
      <c r="AF48" s="125"/>
      <c r="AG48" s="125"/>
    </row>
    <row r="49" spans="1:62" s="1" customFormat="1" ht="21.75" customHeight="1" x14ac:dyDescent="0.25">
      <c r="A49" s="138"/>
      <c r="B49" s="138"/>
      <c r="C49" s="138"/>
      <c r="D49" s="138"/>
      <c r="E49" s="138"/>
      <c r="F49" s="139"/>
      <c r="G49" s="138"/>
      <c r="H49" s="138"/>
      <c r="I49" s="139"/>
      <c r="J49" s="140"/>
      <c r="K49" s="141" t="s">
        <v>91</v>
      </c>
      <c r="L49" s="142">
        <f>SUM(L46:L47)-L48</f>
        <v>10096000</v>
      </c>
      <c r="M49" s="139"/>
      <c r="N49" s="12"/>
      <c r="O49" s="12"/>
      <c r="AA49" s="125"/>
      <c r="AB49" s="125"/>
      <c r="AC49" s="125"/>
      <c r="AD49" s="125"/>
      <c r="AE49" s="125"/>
      <c r="AF49" s="125"/>
      <c r="AG49" s="125"/>
    </row>
    <row r="50" spans="1:62" s="40" customFormat="1" ht="15.75" x14ac:dyDescent="0.25">
      <c r="A50" s="143" t="s">
        <v>29</v>
      </c>
      <c r="B50" s="143"/>
      <c r="D50" s="32"/>
      <c r="E50" s="32"/>
      <c r="F50" s="33"/>
      <c r="G50" s="33"/>
      <c r="H50" s="33"/>
      <c r="I50" s="33"/>
      <c r="J50" s="33"/>
      <c r="K50" s="34"/>
      <c r="L50" s="35"/>
      <c r="M50" s="33"/>
      <c r="N50" s="33"/>
      <c r="O50" s="33"/>
      <c r="P50" s="33"/>
      <c r="S50" s="144"/>
      <c r="T50" s="144"/>
      <c r="U50" s="144"/>
      <c r="V50" s="144"/>
      <c r="W50" s="144"/>
      <c r="X50" s="144"/>
      <c r="Y50" s="144"/>
    </row>
    <row r="51" spans="1:62" s="40" customFormat="1" x14ac:dyDescent="0.25">
      <c r="A51" s="36"/>
      <c r="B51" s="36"/>
      <c r="C51" s="145" t="s">
        <v>30</v>
      </c>
      <c r="D51" s="32"/>
      <c r="E51" s="32"/>
      <c r="F51" s="33"/>
      <c r="G51" s="33"/>
      <c r="H51" s="33"/>
      <c r="I51" s="33"/>
      <c r="J51" s="33"/>
      <c r="K51" s="34"/>
      <c r="L51" s="35"/>
      <c r="M51" s="33"/>
      <c r="N51" s="33"/>
      <c r="O51" s="33"/>
      <c r="P51" s="33"/>
      <c r="S51" s="144"/>
      <c r="T51" s="144"/>
      <c r="U51" s="144"/>
      <c r="V51" s="144"/>
      <c r="W51" s="144"/>
      <c r="X51" s="144"/>
      <c r="Y51" s="144"/>
    </row>
    <row r="52" spans="1:62" s="40" customFormat="1" ht="15" customHeight="1" x14ac:dyDescent="0.25">
      <c r="A52" s="36"/>
      <c r="B52" s="36"/>
      <c r="C52" s="179" t="s">
        <v>31</v>
      </c>
      <c r="D52" s="179"/>
      <c r="E52" s="179"/>
      <c r="F52" s="179"/>
      <c r="G52" s="179"/>
      <c r="H52" s="179"/>
      <c r="I52" s="179"/>
      <c r="J52" s="179"/>
      <c r="K52" s="146"/>
      <c r="L52" s="147"/>
      <c r="M52" s="148"/>
      <c r="N52" s="149"/>
      <c r="O52" s="149"/>
      <c r="P52" s="148"/>
      <c r="Q52" s="148"/>
      <c r="R52" s="148"/>
      <c r="S52" s="144"/>
      <c r="T52" s="144"/>
      <c r="U52" s="144"/>
      <c r="V52" s="144"/>
      <c r="W52" s="144"/>
      <c r="X52" s="144"/>
      <c r="Y52" s="144"/>
    </row>
    <row r="53" spans="1:62" s="40" customFormat="1" x14ac:dyDescent="0.25">
      <c r="A53" s="36"/>
      <c r="B53" s="36"/>
      <c r="C53" s="179"/>
      <c r="D53" s="179"/>
      <c r="E53" s="179"/>
      <c r="F53" s="179"/>
      <c r="G53" s="179"/>
      <c r="H53" s="179"/>
      <c r="I53" s="179"/>
      <c r="J53" s="179"/>
      <c r="K53" s="146"/>
      <c r="L53" s="147"/>
      <c r="M53" s="148"/>
      <c r="N53" s="149"/>
      <c r="O53" s="149"/>
      <c r="P53" s="148"/>
      <c r="Q53" s="148"/>
      <c r="R53" s="148"/>
      <c r="S53" s="144"/>
      <c r="T53" s="144"/>
      <c r="U53" s="144"/>
      <c r="V53" s="144"/>
      <c r="W53" s="144"/>
      <c r="X53" s="144"/>
      <c r="Y53" s="144"/>
    </row>
    <row r="54" spans="1:62" s="40" customFormat="1" ht="15" customHeight="1" x14ac:dyDescent="0.25">
      <c r="A54" s="150"/>
      <c r="B54" s="150"/>
      <c r="C54" s="37" t="s">
        <v>3</v>
      </c>
      <c r="F54" s="41"/>
      <c r="G54" s="37" t="s">
        <v>19</v>
      </c>
      <c r="I54" s="42"/>
      <c r="K54" s="37" t="s">
        <v>83</v>
      </c>
      <c r="L54" s="49"/>
      <c r="N54" s="38"/>
      <c r="O54" s="38"/>
      <c r="P54" s="39"/>
      <c r="Q54" s="39"/>
      <c r="R54" s="39"/>
      <c r="S54" s="39"/>
      <c r="T54" s="39"/>
      <c r="AA54" s="144"/>
      <c r="AB54" s="144"/>
      <c r="AC54" s="144"/>
      <c r="AD54" s="144"/>
      <c r="AE54" s="144"/>
      <c r="AF54" s="144"/>
      <c r="AG54" s="144"/>
    </row>
    <row r="55" spans="1:62" s="40" customFormat="1" x14ac:dyDescent="0.25">
      <c r="B55" s="50" t="s">
        <v>32</v>
      </c>
      <c r="F55" s="41"/>
      <c r="G55" s="37" t="s">
        <v>4</v>
      </c>
      <c r="I55" s="42"/>
      <c r="K55" s="37" t="s">
        <v>4</v>
      </c>
      <c r="L55" s="49"/>
      <c r="N55" s="38"/>
      <c r="O55" s="38"/>
      <c r="P55" s="39"/>
      <c r="Q55" s="39"/>
      <c r="R55" s="39"/>
      <c r="S55" s="39"/>
      <c r="T55" s="39"/>
      <c r="AA55" s="144"/>
      <c r="AB55" s="144"/>
      <c r="AC55" s="144"/>
      <c r="AD55" s="144"/>
      <c r="AE55" s="144"/>
      <c r="AF55" s="144"/>
      <c r="AG55" s="144"/>
    </row>
    <row r="56" spans="1:62" s="151" customFormat="1" ht="20.25" customHeight="1" x14ac:dyDescent="0.25">
      <c r="A56" s="41"/>
      <c r="B56" s="41"/>
      <c r="C56" s="37" t="s">
        <v>4</v>
      </c>
      <c r="D56" s="39"/>
      <c r="E56" s="39"/>
      <c r="F56" s="38"/>
      <c r="G56" s="39"/>
      <c r="H56" s="39"/>
      <c r="I56" s="43"/>
      <c r="J56" s="43"/>
      <c r="K56" s="44"/>
      <c r="L56" s="44"/>
      <c r="M56" s="39"/>
      <c r="N56" s="38"/>
      <c r="O56" s="38"/>
      <c r="P56" s="39"/>
      <c r="Q56" s="39"/>
      <c r="R56" s="39"/>
      <c r="Y56" s="152"/>
      <c r="Z56" s="152"/>
      <c r="AA56" s="152"/>
      <c r="AB56" s="152"/>
      <c r="AC56" s="152"/>
      <c r="AD56" s="152"/>
      <c r="AE56" s="152"/>
      <c r="AW56" s="68"/>
      <c r="AX56" s="68"/>
      <c r="AY56" s="68"/>
      <c r="AZ56" s="68"/>
      <c r="BA56" s="68"/>
      <c r="BB56" s="68"/>
      <c r="BC56" s="68"/>
      <c r="BD56" s="68"/>
      <c r="BE56" s="68"/>
      <c r="BF56" s="68"/>
      <c r="BG56" s="68"/>
      <c r="BH56" s="68"/>
      <c r="BI56" s="68"/>
      <c r="BJ56" s="68"/>
    </row>
    <row r="57" spans="1:62" s="45" customFormat="1" ht="47.25" customHeight="1" x14ac:dyDescent="0.25">
      <c r="A57" s="30"/>
      <c r="B57" s="30"/>
      <c r="C57" s="46"/>
      <c r="D57" s="39"/>
      <c r="E57" s="39"/>
      <c r="F57" s="38"/>
      <c r="G57" s="39"/>
      <c r="H57" s="39"/>
      <c r="I57" s="43"/>
      <c r="J57" s="43"/>
      <c r="K57" s="44"/>
      <c r="L57" s="44"/>
      <c r="M57" s="39"/>
      <c r="N57" s="47"/>
      <c r="O57" s="42"/>
      <c r="P57" s="69"/>
      <c r="Q57" s="69"/>
      <c r="R57" s="40"/>
      <c r="Y57" s="67"/>
      <c r="Z57" s="67"/>
      <c r="AA57" s="67"/>
      <c r="AB57" s="67"/>
      <c r="AC57" s="67"/>
      <c r="AD57" s="67"/>
      <c r="AE57" s="67"/>
      <c r="AW57" s="70" t="e">
        <f>#REF!</f>
        <v>#REF!</v>
      </c>
      <c r="AX57" s="71" t="e">
        <f>RIGHT("000000000000"&amp;ROUND(AW57,0),12)</f>
        <v>#REF!</v>
      </c>
      <c r="AY57" s="71">
        <v>1</v>
      </c>
      <c r="AZ57" s="71">
        <v>2</v>
      </c>
      <c r="BA57" s="71">
        <v>3</v>
      </c>
      <c r="BB57" s="71">
        <v>4</v>
      </c>
      <c r="BC57" s="71">
        <v>5</v>
      </c>
      <c r="BD57" s="71">
        <v>6</v>
      </c>
      <c r="BE57" s="71">
        <v>7</v>
      </c>
      <c r="BF57" s="71">
        <v>8</v>
      </c>
      <c r="BG57" s="71">
        <v>9</v>
      </c>
      <c r="BH57" s="72">
        <v>10</v>
      </c>
      <c r="BI57" s="72">
        <v>11</v>
      </c>
      <c r="BJ57" s="72">
        <v>12</v>
      </c>
    </row>
    <row r="58" spans="1:62" s="45" customFormat="1" ht="20.25" customHeight="1" x14ac:dyDescent="0.25">
      <c r="A58" s="19">
        <v>1</v>
      </c>
      <c r="B58" s="19"/>
      <c r="C58" s="31" t="s">
        <v>79</v>
      </c>
      <c r="D58" s="39"/>
      <c r="E58" s="39"/>
      <c r="F58" s="38"/>
      <c r="G58" s="39"/>
      <c r="H58" s="39"/>
      <c r="I58" s="43"/>
      <c r="J58" s="43"/>
      <c r="K58" s="44"/>
      <c r="L58" s="44"/>
      <c r="M58" s="39"/>
      <c r="N58" s="47"/>
      <c r="O58" s="42"/>
      <c r="P58" s="69"/>
      <c r="Q58" s="69"/>
      <c r="R58" s="40"/>
      <c r="Y58" s="67"/>
      <c r="Z58" s="67"/>
      <c r="AA58" s="67"/>
      <c r="AB58" s="67"/>
      <c r="AC58" s="67"/>
      <c r="AD58" s="67"/>
      <c r="AE58" s="67"/>
      <c r="AW58" s="73"/>
      <c r="AX58" s="74"/>
      <c r="AY58" s="74" t="e">
        <f>VALUE(MID(AX57,AY57,1))</f>
        <v>#REF!</v>
      </c>
      <c r="AZ58" s="74" t="e">
        <f>VALUE(MID(AX57,AZ57,1))</f>
        <v>#REF!</v>
      </c>
      <c r="BA58" s="74" t="e">
        <f>VALUE(MID(AX57,BA57,1))</f>
        <v>#REF!</v>
      </c>
      <c r="BB58" s="74" t="e">
        <f>VALUE(MID(AX57,BB57,1))</f>
        <v>#REF!</v>
      </c>
      <c r="BC58" s="74" t="e">
        <f>VALUE(MID(AX57,BC57,1))</f>
        <v>#REF!</v>
      </c>
      <c r="BD58" s="74" t="e">
        <f>VALUE(MID(AX57,BD57,1))</f>
        <v>#REF!</v>
      </c>
      <c r="BE58" s="74" t="e">
        <f>VALUE(MID(AX57,BE57,1))</f>
        <v>#REF!</v>
      </c>
      <c r="BF58" s="74" t="e">
        <f>VALUE(MID(AX57,BF57,1))</f>
        <v>#REF!</v>
      </c>
      <c r="BG58" s="74" t="e">
        <f>VALUE(MID(AX57,BG57,1))</f>
        <v>#REF!</v>
      </c>
      <c r="BH58" s="75" t="e">
        <f>VALUE(MID(AX57,BH57,1))</f>
        <v>#REF!</v>
      </c>
      <c r="BI58" s="75" t="e">
        <f>VALUE(MID(AX57,BI57,1))</f>
        <v>#REF!</v>
      </c>
      <c r="BJ58" s="75" t="e">
        <f>VALUE(MID(AX57,BJ57,1))</f>
        <v>#REF!</v>
      </c>
    </row>
    <row r="59" spans="1:62" s="45" customFormat="1" ht="20.25" customHeight="1" x14ac:dyDescent="0.25">
      <c r="A59" s="19">
        <v>2</v>
      </c>
      <c r="B59" s="19"/>
      <c r="C59" s="48" t="s">
        <v>17</v>
      </c>
      <c r="D59" s="40"/>
      <c r="E59" s="40"/>
      <c r="F59" s="41"/>
      <c r="G59" s="40"/>
      <c r="H59" s="40"/>
      <c r="I59" s="42"/>
      <c r="J59" s="42"/>
      <c r="K59" s="47"/>
      <c r="L59" s="47"/>
      <c r="M59" s="40"/>
      <c r="N59" s="47"/>
      <c r="O59" s="42"/>
      <c r="P59" s="69"/>
      <c r="Q59" s="69"/>
      <c r="R59" s="40"/>
      <c r="Y59" s="67"/>
      <c r="Z59" s="67"/>
      <c r="AA59" s="67"/>
      <c r="AB59" s="67"/>
      <c r="AC59" s="67"/>
      <c r="AD59" s="67"/>
      <c r="AE59" s="67"/>
      <c r="AW59" s="73"/>
      <c r="AX59" s="74"/>
      <c r="AY59" s="74"/>
      <c r="AZ59" s="74"/>
      <c r="BA59" s="74"/>
      <c r="BB59" s="74"/>
      <c r="BC59" s="74"/>
      <c r="BD59" s="74"/>
      <c r="BE59" s="74"/>
      <c r="BF59" s="74"/>
      <c r="BG59" s="74"/>
      <c r="BH59" s="75"/>
      <c r="BI59" s="75"/>
      <c r="BJ59" s="75"/>
    </row>
    <row r="60" spans="1:62" s="45" customFormat="1" ht="20.25" customHeight="1" x14ac:dyDescent="0.25">
      <c r="A60" s="19">
        <v>3</v>
      </c>
      <c r="B60" s="19"/>
      <c r="C60" s="48" t="s">
        <v>25</v>
      </c>
      <c r="D60" s="49"/>
      <c r="E60" s="49"/>
      <c r="F60" s="47"/>
      <c r="G60" s="40"/>
      <c r="H60" s="40"/>
      <c r="I60" s="42"/>
      <c r="J60" s="42"/>
      <c r="K60" s="47"/>
      <c r="L60" s="47"/>
      <c r="M60" s="40"/>
      <c r="N60" s="47"/>
      <c r="O60" s="42"/>
      <c r="P60" s="69"/>
      <c r="Q60" s="69"/>
      <c r="R60" s="40"/>
      <c r="Y60" s="67"/>
      <c r="Z60" s="67"/>
      <c r="AA60" s="67"/>
      <c r="AB60" s="67"/>
      <c r="AC60" s="67"/>
      <c r="AD60" s="67"/>
      <c r="AE60" s="67"/>
      <c r="AW60" s="73"/>
      <c r="AX60" s="74"/>
      <c r="AY60" s="74"/>
      <c r="AZ60" s="74"/>
      <c r="BA60" s="74"/>
      <c r="BB60" s="74"/>
      <c r="BC60" s="74"/>
      <c r="BD60" s="74"/>
      <c r="BE60" s="74"/>
      <c r="BF60" s="74"/>
      <c r="BG60" s="74"/>
      <c r="BH60" s="75"/>
      <c r="BI60" s="75"/>
      <c r="BJ60" s="75"/>
    </row>
    <row r="61" spans="1:62" s="45" customFormat="1" ht="20.25" customHeight="1" x14ac:dyDescent="0.25">
      <c r="A61" s="19">
        <v>4</v>
      </c>
      <c r="B61" s="19"/>
      <c r="C61" s="48" t="s">
        <v>7</v>
      </c>
      <c r="D61" s="49"/>
      <c r="E61" s="49"/>
      <c r="F61" s="47"/>
      <c r="G61" s="40"/>
      <c r="H61" s="40"/>
      <c r="I61" s="42"/>
      <c r="J61" s="42"/>
      <c r="K61" s="47"/>
      <c r="L61" s="47"/>
      <c r="M61" s="40"/>
      <c r="N61" s="47"/>
      <c r="O61" s="42"/>
      <c r="P61" s="69"/>
      <c r="Q61" s="69"/>
      <c r="R61" s="40"/>
      <c r="Y61" s="67"/>
      <c r="Z61" s="67"/>
      <c r="AA61" s="67"/>
      <c r="AB61" s="67"/>
      <c r="AC61" s="67"/>
      <c r="AD61" s="67"/>
      <c r="AE61" s="67"/>
      <c r="AW61" s="73"/>
      <c r="AX61" s="74"/>
      <c r="AY61" s="76"/>
      <c r="AZ61" s="76"/>
      <c r="BA61" s="76"/>
      <c r="BB61" s="76"/>
      <c r="BC61" s="76"/>
      <c r="BD61" s="76"/>
      <c r="BE61" s="76"/>
      <c r="BF61" s="76"/>
      <c r="BG61" s="76"/>
      <c r="BH61" s="77"/>
      <c r="BI61" s="77"/>
      <c r="BJ61" s="77"/>
    </row>
    <row r="62" spans="1:62" s="45" customFormat="1" ht="20.25" customHeight="1" x14ac:dyDescent="0.25">
      <c r="A62" s="19">
        <v>5</v>
      </c>
      <c r="B62" s="19"/>
      <c r="C62" s="48" t="s">
        <v>26</v>
      </c>
      <c r="D62" s="49"/>
      <c r="E62" s="49"/>
      <c r="F62" s="47"/>
      <c r="G62" s="40"/>
      <c r="H62" s="40"/>
      <c r="I62" s="42"/>
      <c r="J62" s="42"/>
      <c r="K62" s="47"/>
      <c r="L62" s="47"/>
      <c r="M62" s="40"/>
      <c r="N62" s="47"/>
      <c r="O62" s="42"/>
      <c r="P62" s="69"/>
      <c r="Q62" s="69"/>
      <c r="R62" s="40"/>
      <c r="Y62" s="67"/>
      <c r="Z62" s="67"/>
      <c r="AA62" s="67"/>
      <c r="AB62" s="67"/>
      <c r="AC62" s="67"/>
      <c r="AD62" s="67"/>
      <c r="AE62" s="67"/>
      <c r="AW62" s="73"/>
      <c r="AX62" s="74"/>
      <c r="AY62" s="78" t="e">
        <f>IF(AY58=0,"","tr¨m")</f>
        <v>#REF!</v>
      </c>
      <c r="AZ62" s="78" t="e">
        <f>IF(AZ58=0,"",IF(AZ58=1,"","m­¬i"))</f>
        <v>#REF!</v>
      </c>
      <c r="BA62" s="78" t="e">
        <f>IF(AND(BA58=0,#REF!=0),"","tû")</f>
        <v>#REF!</v>
      </c>
      <c r="BB62" s="78" t="e">
        <f>IF(BB58=0,"","tr¨m")</f>
        <v>#REF!</v>
      </c>
      <c r="BC62" s="78" t="e">
        <f>IF(BC58=0,"",IF(BC58=1,"","m­¬i"))</f>
        <v>#REF!</v>
      </c>
      <c r="BD62" s="78" t="e">
        <f>IF(AND(BD58=0,#REF!=0),"","triÖu")</f>
        <v>#REF!</v>
      </c>
      <c r="BE62" s="78" t="e">
        <f>IF(BE58=0,"","tr¨m")</f>
        <v>#REF!</v>
      </c>
      <c r="BF62" s="78" t="e">
        <f>IF(BF58=0,"",IF(BF58=1,"","m­¬i"))</f>
        <v>#REF!</v>
      </c>
      <c r="BG62" s="78" t="e">
        <f>IF(AND(BG58=0,#REF!=0),"","ngh×n")</f>
        <v>#REF!</v>
      </c>
      <c r="BH62" s="79" t="e">
        <f>IF(BH58=0,"","tr¨m")</f>
        <v>#REF!</v>
      </c>
      <c r="BI62" s="79" t="e">
        <f>IF(BI58=0,"",IF(BI58=1,"","m­¬i"))</f>
        <v>#REF!</v>
      </c>
      <c r="BJ62" s="79" t="s">
        <v>5</v>
      </c>
    </row>
  </sheetData>
  <mergeCells count="15">
    <mergeCell ref="C9:J9"/>
    <mergeCell ref="C10:I10"/>
    <mergeCell ref="A12:A13"/>
    <mergeCell ref="I12:I13"/>
    <mergeCell ref="D12:E12"/>
    <mergeCell ref="F12:F13"/>
    <mergeCell ref="G12:G13"/>
    <mergeCell ref="H12:H13"/>
    <mergeCell ref="B12:B13"/>
    <mergeCell ref="J12:J13"/>
    <mergeCell ref="C52:J53"/>
    <mergeCell ref="M12:M13"/>
    <mergeCell ref="C12:C13"/>
    <mergeCell ref="K12:K13"/>
    <mergeCell ref="L12:L13"/>
  </mergeCells>
  <conditionalFormatting sqref="D15:E24 D40:E43 D36:E36">
    <cfRule type="cellIs" dxfId="10" priority="21" operator="between">
      <formula>0</formula>
      <formula>55</formula>
    </cfRule>
  </conditionalFormatting>
  <conditionalFormatting sqref="D39:E39">
    <cfRule type="cellIs" dxfId="9" priority="11" operator="between">
      <formula>0</formula>
      <formula>55</formula>
    </cfRule>
  </conditionalFormatting>
  <conditionalFormatting sqref="D33:E33 D35:E35">
    <cfRule type="cellIs" dxfId="8" priority="7" operator="between">
      <formula>0</formula>
      <formula>55</formula>
    </cfRule>
  </conditionalFormatting>
  <conditionalFormatting sqref="D31:E32">
    <cfRule type="cellIs" dxfId="7" priority="6" operator="between">
      <formula>0</formula>
      <formula>55</formula>
    </cfRule>
  </conditionalFormatting>
  <conditionalFormatting sqref="D29:E30">
    <cfRule type="cellIs" dxfId="6" priority="5" operator="between">
      <formula>0</formula>
      <formula>55</formula>
    </cfRule>
  </conditionalFormatting>
  <conditionalFormatting sqref="D27:E28">
    <cfRule type="cellIs" dxfId="5" priority="4" operator="between">
      <formula>0</formula>
      <formula>55</formula>
    </cfRule>
  </conditionalFormatting>
  <conditionalFormatting sqref="D25:E26">
    <cfRule type="cellIs" dxfId="4" priority="3" operator="between">
      <formula>0</formula>
      <formula>55</formula>
    </cfRule>
  </conditionalFormatting>
  <conditionalFormatting sqref="D34:E34">
    <cfRule type="cellIs" dxfId="3" priority="2" operator="between">
      <formula>0</formula>
      <formula>55</formula>
    </cfRule>
  </conditionalFormatting>
  <conditionalFormatting sqref="D37:E37">
    <cfRule type="cellIs" dxfId="2" priority="1" operator="between">
      <formula>0</formula>
      <formula>55</formula>
    </cfRule>
  </conditionalFormatting>
  <pageMargins left="0.45" right="0.2" top="0.5" bottom="0.25" header="0.3" footer="0.3"/>
  <pageSetup paperSize="9" scale="85" orientation="landscape" r:id="rId1"/>
  <colBreaks count="1" manualBreakCount="1">
    <brk id="13"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M44"/>
  <sheetViews>
    <sheetView topLeftCell="A29" zoomScale="96" zoomScaleNormal="96" zoomScaleSheetLayoutView="85" workbookViewId="0">
      <selection activeCell="F21" sqref="F21"/>
    </sheetView>
  </sheetViews>
  <sheetFormatPr defaultColWidth="9" defaultRowHeight="15" x14ac:dyDescent="0.25"/>
  <cols>
    <col min="1" max="1" width="5.25" style="12" customWidth="1"/>
    <col min="2" max="2" width="37.25" style="51" customWidth="1"/>
    <col min="3" max="5" width="8.875" style="1" customWidth="1"/>
    <col min="6" max="6" width="11" style="1" customWidth="1"/>
    <col min="7" max="7" width="13.875" style="1" customWidth="1"/>
    <col min="8" max="8" width="9.375" style="13" customWidth="1"/>
    <col min="9" max="9" width="8.5" style="13" customWidth="1"/>
    <col min="10" max="10" width="6.875" style="13" customWidth="1"/>
    <col min="11" max="11" width="23.5" style="1" customWidth="1"/>
    <col min="12" max="16384" width="9" style="1"/>
  </cols>
  <sheetData>
    <row r="1" spans="1:13" s="40" customFormat="1" ht="37.5" customHeight="1" x14ac:dyDescent="0.25">
      <c r="A1" s="41"/>
      <c r="B1" s="53"/>
      <c r="H1" s="69"/>
      <c r="I1" s="69"/>
      <c r="J1" s="69"/>
    </row>
    <row r="2" spans="1:13" s="40" customFormat="1" ht="37.5" customHeight="1" x14ac:dyDescent="0.25">
      <c r="A2" s="41"/>
      <c r="B2" s="48"/>
      <c r="H2" s="69"/>
      <c r="I2" s="69"/>
      <c r="J2" s="69"/>
    </row>
    <row r="3" spans="1:13" s="40" customFormat="1" ht="37.5" customHeight="1" x14ac:dyDescent="0.25">
      <c r="A3" s="41"/>
      <c r="B3" s="48"/>
      <c r="H3" s="69"/>
      <c r="I3" s="69"/>
      <c r="J3" s="69"/>
    </row>
    <row r="4" spans="1:13" s="40" customFormat="1" ht="11.25" customHeight="1" thickBot="1" x14ac:dyDescent="0.3">
      <c r="A4" s="41"/>
      <c r="B4" s="48"/>
      <c r="E4" s="50"/>
      <c r="H4" s="69"/>
      <c r="I4" s="69"/>
      <c r="J4" s="69"/>
    </row>
    <row r="5" spans="1:13" s="40" customFormat="1" ht="22.5" x14ac:dyDescent="0.25">
      <c r="A5" s="41"/>
      <c r="B5" s="50"/>
      <c r="C5" s="37"/>
      <c r="D5" s="37"/>
      <c r="F5" s="54" t="s">
        <v>11</v>
      </c>
      <c r="G5" s="54"/>
      <c r="H5" s="69"/>
      <c r="I5" s="191"/>
      <c r="J5" s="192"/>
      <c r="K5" s="193"/>
    </row>
    <row r="6" spans="1:13" s="40" customFormat="1" ht="15.75" customHeight="1" x14ac:dyDescent="0.25">
      <c r="A6" s="41" t="s">
        <v>14</v>
      </c>
      <c r="F6" s="41" t="str">
        <f>'GIA CONG ACRYLIC'!G6</f>
        <v>Ngày 5 tháng 5 năm 2026</v>
      </c>
      <c r="G6" s="41"/>
      <c r="H6" s="69"/>
      <c r="I6" s="194"/>
      <c r="J6" s="195"/>
      <c r="K6" s="196"/>
    </row>
    <row r="7" spans="1:13" s="40" customFormat="1" ht="15.75" customHeight="1" x14ac:dyDescent="0.25">
      <c r="A7" s="41"/>
      <c r="F7" s="41" t="str">
        <f>'GIA CONG ACRYLIC'!G7</f>
        <v xml:space="preserve">Số phiếu: </v>
      </c>
      <c r="G7" s="41" t="str">
        <f>'GIA CONG ACRYLIC'!H7</f>
        <v>L2345</v>
      </c>
      <c r="H7" s="69"/>
      <c r="I7" s="194"/>
      <c r="J7" s="195"/>
      <c r="K7" s="196"/>
    </row>
    <row r="8" spans="1:13" s="40" customFormat="1" ht="15.75" customHeight="1" x14ac:dyDescent="0.25">
      <c r="B8" s="48" t="str">
        <f>'GIA CONG ACRYLIC'!C8</f>
        <v>Khách hàng: KH0663 - NT Tuấn (0973337761)</v>
      </c>
      <c r="H8" s="69"/>
      <c r="I8" s="194"/>
      <c r="J8" s="195"/>
      <c r="K8" s="196"/>
    </row>
    <row r="9" spans="1:13" s="40" customFormat="1" ht="15.75" customHeight="1" thickBot="1" x14ac:dyDescent="0.3">
      <c r="B9" s="48" t="str">
        <f>'GIA CONG ACRYLIC'!C9</f>
        <v>Địa chỉ: 02 Đồng Môn, Thanh Tiến, Đồng Môn, TP Hà Tĩnh (0973337761)</v>
      </c>
      <c r="H9" s="69"/>
      <c r="I9" s="197"/>
      <c r="J9" s="198"/>
      <c r="K9" s="199"/>
    </row>
    <row r="10" spans="1:13" s="40" customFormat="1" x14ac:dyDescent="0.25">
      <c r="B10" s="48" t="s">
        <v>15</v>
      </c>
      <c r="H10" s="69"/>
      <c r="I10" s="69"/>
      <c r="J10" s="69"/>
      <c r="K10" s="49"/>
    </row>
    <row r="11" spans="1:13" s="41" customFormat="1" ht="33" customHeight="1" x14ac:dyDescent="0.25">
      <c r="A11" s="201" t="s">
        <v>0</v>
      </c>
      <c r="B11" s="201" t="s">
        <v>2</v>
      </c>
      <c r="C11" s="209" t="s">
        <v>22</v>
      </c>
      <c r="D11" s="210"/>
      <c r="E11" s="203" t="s">
        <v>16</v>
      </c>
      <c r="F11" s="203" t="s">
        <v>34</v>
      </c>
      <c r="G11" s="203" t="s">
        <v>35</v>
      </c>
      <c r="H11" s="205" t="s">
        <v>13</v>
      </c>
      <c r="I11" s="205" t="s">
        <v>18</v>
      </c>
      <c r="J11" s="205" t="s">
        <v>12</v>
      </c>
      <c r="K11" s="207" t="s">
        <v>1</v>
      </c>
    </row>
    <row r="12" spans="1:13" s="41" customFormat="1" ht="42.75" x14ac:dyDescent="0.25">
      <c r="A12" s="202"/>
      <c r="B12" s="202"/>
      <c r="C12" s="62" t="str">
        <f>'GIA CONG ACRYLIC'!D13</f>
        <v xml:space="preserve">Cao (chiều vân gỗ) </v>
      </c>
      <c r="D12" s="61" t="s">
        <v>23</v>
      </c>
      <c r="E12" s="204"/>
      <c r="F12" s="204"/>
      <c r="G12" s="204"/>
      <c r="H12" s="206"/>
      <c r="I12" s="206"/>
      <c r="J12" s="206"/>
      <c r="K12" s="208"/>
    </row>
    <row r="13" spans="1:13" s="40" customFormat="1" ht="21" customHeight="1" x14ac:dyDescent="0.25">
      <c r="A13" s="6" t="s">
        <v>10</v>
      </c>
      <c r="B13" s="7" t="s">
        <v>24</v>
      </c>
      <c r="C13" s="7"/>
      <c r="D13" s="8"/>
      <c r="E13" s="65">
        <f>SUM(E14:E34)</f>
        <v>27</v>
      </c>
      <c r="F13" s="65"/>
      <c r="G13" s="65"/>
      <c r="H13" s="9">
        <f t="shared" ref="H13:J13" si="0">SUM(H14:H34)</f>
        <v>53.871999999999993</v>
      </c>
      <c r="I13" s="9">
        <f t="shared" si="0"/>
        <v>8.5740000000000016</v>
      </c>
      <c r="J13" s="9">
        <f t="shared" si="0"/>
        <v>5.9166369999999997</v>
      </c>
      <c r="K13" s="55"/>
    </row>
    <row r="14" spans="1:13" ht="51" customHeight="1" x14ac:dyDescent="0.25">
      <c r="A14" s="10">
        <f>'GIA CONG ACRYLIC'!A15</f>
        <v>1</v>
      </c>
      <c r="B14" s="14" t="str">
        <f>'GIA CONG ACRYLIC'!C15</f>
        <v>Cốt MDF chống ẩm 17mm, 1 mặt Acrylic GV108 nhũ chống xước cao, 1 mặt acrylic chống cong vênh trắng bóng</v>
      </c>
      <c r="C14" s="80">
        <f>'GIA CONG ACRYLIC'!D15</f>
        <v>805</v>
      </c>
      <c r="D14" s="80">
        <f>'GIA CONG ACRYLIC'!E15</f>
        <v>588</v>
      </c>
      <c r="E14" s="80">
        <f>'GIA CONG ACRYLIC'!F15</f>
        <v>1</v>
      </c>
      <c r="F14" s="66">
        <f>'GIA CONG ACRYLIC'!G15</f>
        <v>0</v>
      </c>
      <c r="G14" s="66">
        <f>'GIA CONG ACRYLIC'!H15</f>
        <v>0</v>
      </c>
      <c r="H14" s="99">
        <f>(C14+D14)*2*E14/1000-I14</f>
        <v>2.198</v>
      </c>
      <c r="I14" s="99">
        <f>'GIA CONG ACRYLIC'!N15*E14/1000</f>
        <v>0.58799999999999997</v>
      </c>
      <c r="J14" s="99">
        <f>C14*D14*E14/1000000</f>
        <v>0.47333999999999998</v>
      </c>
      <c r="K14" s="18">
        <f>'GIA CONG ACRYLIC'!M15</f>
        <v>0</v>
      </c>
      <c r="L14" s="63"/>
      <c r="M14" s="52"/>
    </row>
    <row r="15" spans="1:13" ht="21" customHeight="1" x14ac:dyDescent="0.25">
      <c r="A15" s="10">
        <f>'GIA CONG ACRYLIC'!A16</f>
        <v>2</v>
      </c>
      <c r="B15" s="14">
        <f>'GIA CONG ACRYLIC'!C16</f>
        <v>0</v>
      </c>
      <c r="C15" s="80">
        <f>'GIA CONG ACRYLIC'!D16</f>
        <v>680</v>
      </c>
      <c r="D15" s="80">
        <f>'GIA CONG ACRYLIC'!E16</f>
        <v>301</v>
      </c>
      <c r="E15" s="80">
        <f>'GIA CONG ACRYLIC'!F16</f>
        <v>2</v>
      </c>
      <c r="F15" s="66" t="str">
        <f>'GIA CONG ACRYLIC'!G16</f>
        <v>Vát 301</v>
      </c>
      <c r="G15" s="66">
        <f>'GIA CONG ACRYLIC'!H16</f>
        <v>0</v>
      </c>
      <c r="H15" s="99">
        <f t="shared" ref="H15:H41" si="1">(C15+D15)*2*E15/1000-I15</f>
        <v>3.3220000000000001</v>
      </c>
      <c r="I15" s="99">
        <f>'GIA CONG ACRYLIC'!N16*E15/1000</f>
        <v>0.60199999999999998</v>
      </c>
      <c r="J15" s="99">
        <f t="shared" ref="J15:J41" si="2">C15*D15*E15/1000000</f>
        <v>0.40936</v>
      </c>
      <c r="K15" s="18">
        <f>'GIA CONG ACRYLIC'!M16</f>
        <v>0</v>
      </c>
      <c r="L15" s="63"/>
      <c r="M15" s="52"/>
    </row>
    <row r="16" spans="1:13" ht="21" customHeight="1" x14ac:dyDescent="0.25">
      <c r="A16" s="10">
        <f>'GIA CONG ACRYLIC'!A17</f>
        <v>3</v>
      </c>
      <c r="B16" s="14">
        <f>'GIA CONG ACRYLIC'!C17</f>
        <v>0</v>
      </c>
      <c r="C16" s="80">
        <f>'GIA CONG ACRYLIC'!D17</f>
        <v>680</v>
      </c>
      <c r="D16" s="80">
        <f>'GIA CONG ACRYLIC'!E17</f>
        <v>347</v>
      </c>
      <c r="E16" s="80">
        <f>'GIA CONG ACRYLIC'!F17</f>
        <v>1</v>
      </c>
      <c r="F16" s="66" t="str">
        <f>'GIA CONG ACRYLIC'!G17</f>
        <v>Vát 347</v>
      </c>
      <c r="G16" s="66">
        <f>'GIA CONG ACRYLIC'!H17</f>
        <v>0</v>
      </c>
      <c r="H16" s="99">
        <f t="shared" si="1"/>
        <v>1.7069999999999999</v>
      </c>
      <c r="I16" s="99">
        <f>'GIA CONG ACRYLIC'!N17*E16/1000</f>
        <v>0.34699999999999998</v>
      </c>
      <c r="J16" s="99">
        <f t="shared" si="2"/>
        <v>0.23596</v>
      </c>
      <c r="K16" s="18">
        <f>'GIA CONG ACRYLIC'!M17</f>
        <v>0</v>
      </c>
      <c r="L16" s="63"/>
      <c r="M16" s="52"/>
    </row>
    <row r="17" spans="1:13" ht="21" customHeight="1" x14ac:dyDescent="0.25">
      <c r="A17" s="10">
        <f>'GIA CONG ACRYLIC'!A18</f>
        <v>4</v>
      </c>
      <c r="B17" s="14">
        <f>'GIA CONG ACRYLIC'!C18</f>
        <v>0</v>
      </c>
      <c r="C17" s="80">
        <f>'GIA CONG ACRYLIC'!D18</f>
        <v>330</v>
      </c>
      <c r="D17" s="80">
        <f>'GIA CONG ACRYLIC'!E18</f>
        <v>797</v>
      </c>
      <c r="E17" s="80">
        <f>'GIA CONG ACRYLIC'!F18</f>
        <v>2</v>
      </c>
      <c r="F17" s="66" t="str">
        <f>'GIA CONG ACRYLIC'!G18</f>
        <v>Vát 797</v>
      </c>
      <c r="G17" s="66">
        <f>'GIA CONG ACRYLIC'!H18</f>
        <v>0</v>
      </c>
      <c r="H17" s="99">
        <f t="shared" si="1"/>
        <v>2.9139999999999997</v>
      </c>
      <c r="I17" s="99">
        <f>'GIA CONG ACRYLIC'!N18*E17/1000</f>
        <v>1.5940000000000001</v>
      </c>
      <c r="J17" s="99">
        <f t="shared" si="2"/>
        <v>0.52602000000000004</v>
      </c>
      <c r="K17" s="18">
        <f>'GIA CONG ACRYLIC'!M18</f>
        <v>0</v>
      </c>
      <c r="L17" s="63"/>
      <c r="M17" s="52"/>
    </row>
    <row r="18" spans="1:13" ht="21" customHeight="1" x14ac:dyDescent="0.25">
      <c r="A18" s="10">
        <f>'GIA CONG ACRYLIC'!A19</f>
        <v>5</v>
      </c>
      <c r="B18" s="14">
        <f>'GIA CONG ACRYLIC'!C19</f>
        <v>0</v>
      </c>
      <c r="C18" s="80">
        <f>'GIA CONG ACRYLIC'!D19</f>
        <v>799</v>
      </c>
      <c r="D18" s="80">
        <f>'GIA CONG ACRYLIC'!E19</f>
        <v>58</v>
      </c>
      <c r="E18" s="80">
        <f>'GIA CONG ACRYLIC'!F19</f>
        <v>1</v>
      </c>
      <c r="F18" s="66">
        <f>'GIA CONG ACRYLIC'!G19</f>
        <v>0</v>
      </c>
      <c r="G18" s="66">
        <f>'GIA CONG ACRYLIC'!H19</f>
        <v>0</v>
      </c>
      <c r="H18" s="99">
        <f t="shared" si="1"/>
        <v>1.6559999999999999</v>
      </c>
      <c r="I18" s="99">
        <f>'GIA CONG ACRYLIC'!N19*E18/1000</f>
        <v>5.8000000000000003E-2</v>
      </c>
      <c r="J18" s="99">
        <f t="shared" si="2"/>
        <v>4.6342000000000001E-2</v>
      </c>
      <c r="K18" s="18">
        <f>'GIA CONG ACRYLIC'!M19</f>
        <v>0</v>
      </c>
      <c r="L18" s="63"/>
      <c r="M18" s="52"/>
    </row>
    <row r="19" spans="1:13" ht="21" customHeight="1" x14ac:dyDescent="0.25">
      <c r="A19" s="10">
        <f>'GIA CONG ACRYLIC'!A20</f>
        <v>6</v>
      </c>
      <c r="B19" s="14">
        <f>'GIA CONG ACRYLIC'!C20</f>
        <v>0</v>
      </c>
      <c r="C19" s="80">
        <f>'GIA CONG ACRYLIC'!D20</f>
        <v>680</v>
      </c>
      <c r="D19" s="80">
        <f>'GIA CONG ACRYLIC'!E20</f>
        <v>51</v>
      </c>
      <c r="E19" s="80">
        <f>'GIA CONG ACRYLIC'!F20</f>
        <v>1</v>
      </c>
      <c r="F19" s="66">
        <f>'GIA CONG ACRYLIC'!G20</f>
        <v>0</v>
      </c>
      <c r="G19" s="66">
        <f>'GIA CONG ACRYLIC'!H20</f>
        <v>0</v>
      </c>
      <c r="H19" s="99">
        <f t="shared" si="1"/>
        <v>1.411</v>
      </c>
      <c r="I19" s="99">
        <f>'GIA CONG ACRYLIC'!N20*E19/1000</f>
        <v>5.0999999999999997E-2</v>
      </c>
      <c r="J19" s="99">
        <f t="shared" si="2"/>
        <v>3.4680000000000002E-2</v>
      </c>
      <c r="K19" s="18">
        <f>'GIA CONG ACRYLIC'!M20</f>
        <v>0</v>
      </c>
      <c r="L19" s="63"/>
      <c r="M19" s="52"/>
    </row>
    <row r="20" spans="1:13" ht="21" customHeight="1" x14ac:dyDescent="0.25">
      <c r="A20" s="10">
        <f>'GIA CONG ACRYLIC'!A21</f>
        <v>7</v>
      </c>
      <c r="B20" s="14">
        <f>'GIA CONG ACRYLIC'!C21</f>
        <v>0</v>
      </c>
      <c r="C20" s="80">
        <f>'GIA CONG ACRYLIC'!D21</f>
        <v>760</v>
      </c>
      <c r="D20" s="80">
        <f>'GIA CONG ACRYLIC'!E21</f>
        <v>299</v>
      </c>
      <c r="E20" s="80">
        <f>'GIA CONG ACRYLIC'!F21</f>
        <v>2</v>
      </c>
      <c r="F20" s="66" t="str">
        <f>'GIA CONG ACRYLIC'!G21</f>
        <v>Vát 299</v>
      </c>
      <c r="G20" s="66">
        <f>'GIA CONG ACRYLIC'!H21</f>
        <v>0</v>
      </c>
      <c r="H20" s="99">
        <f t="shared" si="1"/>
        <v>3.6379999999999999</v>
      </c>
      <c r="I20" s="99">
        <f>'GIA CONG ACRYLIC'!N21*E20/1000</f>
        <v>0.59799999999999998</v>
      </c>
      <c r="J20" s="99">
        <f t="shared" si="2"/>
        <v>0.45448</v>
      </c>
      <c r="K20" s="18">
        <f>'GIA CONG ACRYLIC'!M21</f>
        <v>0</v>
      </c>
      <c r="L20" s="63"/>
      <c r="M20" s="52"/>
    </row>
    <row r="21" spans="1:13" ht="21" customHeight="1" x14ac:dyDescent="0.25">
      <c r="A21" s="10">
        <f>'GIA CONG ACRYLIC'!A22</f>
        <v>8</v>
      </c>
      <c r="B21" s="14">
        <f>'GIA CONG ACRYLIC'!C22</f>
        <v>0</v>
      </c>
      <c r="C21" s="80">
        <f>'GIA CONG ACRYLIC'!D22</f>
        <v>850</v>
      </c>
      <c r="D21" s="80">
        <f>'GIA CONG ACRYLIC'!E22</f>
        <v>73</v>
      </c>
      <c r="E21" s="80">
        <f>'GIA CONG ACRYLIC'!F22</f>
        <v>1</v>
      </c>
      <c r="F21" s="66">
        <f>'GIA CONG ACRYLIC'!G22</f>
        <v>0</v>
      </c>
      <c r="G21" s="66">
        <f>'GIA CONG ACRYLIC'!H22</f>
        <v>0</v>
      </c>
      <c r="H21" s="99">
        <f t="shared" si="1"/>
        <v>1.7730000000000001</v>
      </c>
      <c r="I21" s="99">
        <f>'GIA CONG ACRYLIC'!N22*E21/1000</f>
        <v>7.2999999999999995E-2</v>
      </c>
      <c r="J21" s="99">
        <f t="shared" si="2"/>
        <v>6.2050000000000001E-2</v>
      </c>
      <c r="K21" s="18">
        <f>'GIA CONG ACRYLIC'!M22</f>
        <v>0</v>
      </c>
      <c r="L21" s="63"/>
      <c r="M21" s="52"/>
    </row>
    <row r="22" spans="1:13" ht="21" customHeight="1" x14ac:dyDescent="0.25">
      <c r="A22" s="10">
        <f>'GIA CONG ACRYLIC'!A23</f>
        <v>9</v>
      </c>
      <c r="B22" s="14">
        <f>'GIA CONG ACRYLIC'!C23</f>
        <v>0</v>
      </c>
      <c r="C22" s="80">
        <f>'GIA CONG ACRYLIC'!D23</f>
        <v>1808</v>
      </c>
      <c r="D22" s="80">
        <f>'GIA CONG ACRYLIC'!E23</f>
        <v>67</v>
      </c>
      <c r="E22" s="80">
        <f>'GIA CONG ACRYLIC'!F23</f>
        <v>1</v>
      </c>
      <c r="F22" s="66">
        <f>'GIA CONG ACRYLIC'!G23</f>
        <v>0</v>
      </c>
      <c r="G22" s="66">
        <f>'GIA CONG ACRYLIC'!H23</f>
        <v>0</v>
      </c>
      <c r="H22" s="99">
        <f t="shared" si="1"/>
        <v>3.6829999999999998</v>
      </c>
      <c r="I22" s="99">
        <f>'GIA CONG ACRYLIC'!N23*E22/1000</f>
        <v>6.7000000000000004E-2</v>
      </c>
      <c r="J22" s="99">
        <f t="shared" si="2"/>
        <v>0.12113599999999999</v>
      </c>
      <c r="K22" s="18">
        <f>'GIA CONG ACRYLIC'!M23</f>
        <v>0</v>
      </c>
    </row>
    <row r="23" spans="1:13" ht="21" customHeight="1" x14ac:dyDescent="0.25">
      <c r="A23" s="10">
        <f>'GIA CONG ACRYLIC'!A24</f>
        <v>10</v>
      </c>
      <c r="B23" s="14">
        <f>'GIA CONG ACRYLIC'!C24</f>
        <v>0</v>
      </c>
      <c r="C23" s="80">
        <f>'GIA CONG ACRYLIC'!D24</f>
        <v>900</v>
      </c>
      <c r="D23" s="80">
        <f>'GIA CONG ACRYLIC'!E24</f>
        <v>67</v>
      </c>
      <c r="E23" s="80">
        <f>'GIA CONG ACRYLIC'!F24</f>
        <v>1</v>
      </c>
      <c r="F23" s="66">
        <f>'GIA CONG ACRYLIC'!G24</f>
        <v>0</v>
      </c>
      <c r="G23" s="66">
        <f>'GIA CONG ACRYLIC'!H24</f>
        <v>0</v>
      </c>
      <c r="H23" s="99">
        <f t="shared" si="1"/>
        <v>1.867</v>
      </c>
      <c r="I23" s="99">
        <f>'GIA CONG ACRYLIC'!N24*E23/1000</f>
        <v>6.7000000000000004E-2</v>
      </c>
      <c r="J23" s="99">
        <f t="shared" si="2"/>
        <v>6.0299999999999999E-2</v>
      </c>
      <c r="K23" s="18">
        <f>'GIA CONG ACRYLIC'!M24</f>
        <v>0</v>
      </c>
    </row>
    <row r="24" spans="1:13" ht="21" customHeight="1" x14ac:dyDescent="0.25">
      <c r="A24" s="10">
        <f>'GIA CONG ACRYLIC'!A25</f>
        <v>11</v>
      </c>
      <c r="B24" s="14">
        <f>'GIA CONG ACRYLIC'!C25</f>
        <v>0</v>
      </c>
      <c r="C24" s="80">
        <f>'GIA CONG ACRYLIC'!D25</f>
        <v>735</v>
      </c>
      <c r="D24" s="80">
        <f>'GIA CONG ACRYLIC'!E25</f>
        <v>397</v>
      </c>
      <c r="E24" s="80">
        <f>'GIA CONG ACRYLIC'!F25</f>
        <v>2</v>
      </c>
      <c r="F24" s="66">
        <f>'GIA CONG ACRYLIC'!G25</f>
        <v>0</v>
      </c>
      <c r="G24" s="66">
        <f>'GIA CONG ACRYLIC'!H25</f>
        <v>0</v>
      </c>
      <c r="H24" s="99">
        <f t="shared" si="1"/>
        <v>3.7339999999999995</v>
      </c>
      <c r="I24" s="99">
        <f>'GIA CONG ACRYLIC'!N25*E24/1000</f>
        <v>0.79400000000000004</v>
      </c>
      <c r="J24" s="99">
        <f t="shared" si="2"/>
        <v>0.58359000000000005</v>
      </c>
      <c r="K24" s="18">
        <f>'GIA CONG ACRYLIC'!M25</f>
        <v>0</v>
      </c>
    </row>
    <row r="25" spans="1:13" ht="21" customHeight="1" x14ac:dyDescent="0.25">
      <c r="A25" s="10">
        <f>'GIA CONG ACRYLIC'!A26</f>
        <v>12</v>
      </c>
      <c r="B25" s="14">
        <f>'GIA CONG ACRYLIC'!C26</f>
        <v>0</v>
      </c>
      <c r="C25" s="80">
        <f>'GIA CONG ACRYLIC'!D26</f>
        <v>735</v>
      </c>
      <c r="D25" s="80">
        <f>'GIA CONG ACRYLIC'!E26</f>
        <v>426</v>
      </c>
      <c r="E25" s="80">
        <f>'GIA CONG ACRYLIC'!F26</f>
        <v>1</v>
      </c>
      <c r="F25" s="66">
        <f>'GIA CONG ACRYLIC'!G26</f>
        <v>0</v>
      </c>
      <c r="G25" s="66">
        <f>'GIA CONG ACRYLIC'!H26</f>
        <v>0</v>
      </c>
      <c r="H25" s="99">
        <f t="shared" si="1"/>
        <v>1.8960000000000001</v>
      </c>
      <c r="I25" s="99">
        <f>'GIA CONG ACRYLIC'!N26*E25/1000</f>
        <v>0.42599999999999999</v>
      </c>
      <c r="J25" s="99">
        <f t="shared" si="2"/>
        <v>0.31311</v>
      </c>
      <c r="K25" s="18">
        <f>'GIA CONG ACRYLIC'!M26</f>
        <v>0</v>
      </c>
    </row>
    <row r="26" spans="1:13" ht="21" customHeight="1" x14ac:dyDescent="0.25">
      <c r="A26" s="10">
        <f>'GIA CONG ACRYLIC'!A27</f>
        <v>13</v>
      </c>
      <c r="B26" s="14">
        <f>'GIA CONG ACRYLIC'!C27</f>
        <v>0</v>
      </c>
      <c r="C26" s="80">
        <f>'GIA CONG ACRYLIC'!D27</f>
        <v>735</v>
      </c>
      <c r="D26" s="80">
        <f>'GIA CONG ACRYLIC'!E27</f>
        <v>422</v>
      </c>
      <c r="E26" s="80">
        <f>'GIA CONG ACRYLIC'!F27</f>
        <v>1</v>
      </c>
      <c r="F26" s="66">
        <f>'GIA CONG ACRYLIC'!G27</f>
        <v>0</v>
      </c>
      <c r="G26" s="66">
        <f>'GIA CONG ACRYLIC'!H27</f>
        <v>0</v>
      </c>
      <c r="H26" s="99">
        <f t="shared" si="1"/>
        <v>1.8920000000000001</v>
      </c>
      <c r="I26" s="99">
        <f>'GIA CONG ACRYLIC'!N27*E26/1000</f>
        <v>0.42199999999999999</v>
      </c>
      <c r="J26" s="99">
        <f t="shared" si="2"/>
        <v>0.31017</v>
      </c>
      <c r="K26" s="18">
        <f>'GIA CONG ACRYLIC'!M27</f>
        <v>0</v>
      </c>
    </row>
    <row r="27" spans="1:13" ht="21" customHeight="1" x14ac:dyDescent="0.25">
      <c r="A27" s="10">
        <f>'GIA CONG ACRYLIC'!A28</f>
        <v>14</v>
      </c>
      <c r="B27" s="14">
        <f>'GIA CONG ACRYLIC'!C28</f>
        <v>0</v>
      </c>
      <c r="C27" s="80">
        <f>'GIA CONG ACRYLIC'!D28</f>
        <v>735</v>
      </c>
      <c r="D27" s="80">
        <f>'GIA CONG ACRYLIC'!E28</f>
        <v>302</v>
      </c>
      <c r="E27" s="80">
        <f>'GIA CONG ACRYLIC'!F28</f>
        <v>1</v>
      </c>
      <c r="F27" s="66">
        <f>'GIA CONG ACRYLIC'!G28</f>
        <v>0</v>
      </c>
      <c r="G27" s="66">
        <f>'GIA CONG ACRYLIC'!H28</f>
        <v>0</v>
      </c>
      <c r="H27" s="99">
        <f t="shared" si="1"/>
        <v>1.7719999999999998</v>
      </c>
      <c r="I27" s="99">
        <f>'GIA CONG ACRYLIC'!N28*E27/1000</f>
        <v>0.30199999999999999</v>
      </c>
      <c r="J27" s="99">
        <f t="shared" si="2"/>
        <v>0.22197</v>
      </c>
      <c r="K27" s="18">
        <f>'GIA CONG ACRYLIC'!M28</f>
        <v>0</v>
      </c>
    </row>
    <row r="28" spans="1:13" ht="21" customHeight="1" x14ac:dyDescent="0.25">
      <c r="A28" s="10">
        <f>'GIA CONG ACRYLIC'!A29</f>
        <v>15</v>
      </c>
      <c r="B28" s="14">
        <f>'GIA CONG ACRYLIC'!C29</f>
        <v>0</v>
      </c>
      <c r="C28" s="80">
        <f>'GIA CONG ACRYLIC'!D29</f>
        <v>665</v>
      </c>
      <c r="D28" s="80">
        <f>'GIA CONG ACRYLIC'!E29</f>
        <v>353</v>
      </c>
      <c r="E28" s="80">
        <f>'GIA CONG ACRYLIC'!F29</f>
        <v>2</v>
      </c>
      <c r="F28" s="66">
        <f>'GIA CONG ACRYLIC'!G29</f>
        <v>0</v>
      </c>
      <c r="G28" s="66">
        <f>'GIA CONG ACRYLIC'!H29</f>
        <v>0</v>
      </c>
      <c r="H28" s="99">
        <f t="shared" si="1"/>
        <v>3.3660000000000001</v>
      </c>
      <c r="I28" s="99">
        <f>'GIA CONG ACRYLIC'!N29*E28/1000</f>
        <v>0.70599999999999996</v>
      </c>
      <c r="J28" s="99">
        <f t="shared" si="2"/>
        <v>0.46949000000000002</v>
      </c>
      <c r="K28" s="18">
        <f>'GIA CONG ACRYLIC'!M29</f>
        <v>0</v>
      </c>
    </row>
    <row r="29" spans="1:13" ht="21" customHeight="1" x14ac:dyDescent="0.25">
      <c r="A29" s="10">
        <f>'GIA CONG ACRYLIC'!A30</f>
        <v>16</v>
      </c>
      <c r="B29" s="14">
        <f>'GIA CONG ACRYLIC'!C30</f>
        <v>0</v>
      </c>
      <c r="C29" s="80">
        <f>'GIA CONG ACRYLIC'!D30</f>
        <v>735</v>
      </c>
      <c r="D29" s="80">
        <f>'GIA CONG ACRYLIC'!E30</f>
        <v>333</v>
      </c>
      <c r="E29" s="80">
        <f>'GIA CONG ACRYLIC'!F30</f>
        <v>2</v>
      </c>
      <c r="F29" s="66">
        <f>'GIA CONG ACRYLIC'!G30</f>
        <v>0</v>
      </c>
      <c r="G29" s="66">
        <f>'GIA CONG ACRYLIC'!H30</f>
        <v>0</v>
      </c>
      <c r="H29" s="99">
        <f t="shared" si="1"/>
        <v>3.6060000000000003</v>
      </c>
      <c r="I29" s="99">
        <f>'GIA CONG ACRYLIC'!N30*E29/1000</f>
        <v>0.66600000000000004</v>
      </c>
      <c r="J29" s="99">
        <f t="shared" si="2"/>
        <v>0.48951</v>
      </c>
      <c r="K29" s="18">
        <f>'GIA CONG ACRYLIC'!M30</f>
        <v>0</v>
      </c>
    </row>
    <row r="30" spans="1:13" ht="21" customHeight="1" x14ac:dyDescent="0.25">
      <c r="A30" s="10">
        <f>'GIA CONG ACRYLIC'!A31</f>
        <v>17</v>
      </c>
      <c r="B30" s="14">
        <f>'GIA CONG ACRYLIC'!C31</f>
        <v>0</v>
      </c>
      <c r="C30" s="80">
        <f>'GIA CONG ACRYLIC'!D31</f>
        <v>735</v>
      </c>
      <c r="D30" s="80">
        <f>'GIA CONG ACRYLIC'!E31</f>
        <v>336</v>
      </c>
      <c r="E30" s="80">
        <f>'GIA CONG ACRYLIC'!F31</f>
        <v>1</v>
      </c>
      <c r="F30" s="66">
        <f>'GIA CONG ACRYLIC'!G31</f>
        <v>0</v>
      </c>
      <c r="G30" s="66">
        <f>'GIA CONG ACRYLIC'!H31</f>
        <v>0</v>
      </c>
      <c r="H30" s="99">
        <f t="shared" si="1"/>
        <v>1.8059999999999998</v>
      </c>
      <c r="I30" s="99">
        <f>'GIA CONG ACRYLIC'!N31*E30/1000</f>
        <v>0.33600000000000002</v>
      </c>
      <c r="J30" s="99">
        <f t="shared" si="2"/>
        <v>0.24696000000000001</v>
      </c>
      <c r="K30" s="18">
        <f>'GIA CONG ACRYLIC'!M31</f>
        <v>0</v>
      </c>
    </row>
    <row r="31" spans="1:13" ht="21" customHeight="1" x14ac:dyDescent="0.25">
      <c r="A31" s="10">
        <f>'GIA CONG ACRYLIC'!A32</f>
        <v>18</v>
      </c>
      <c r="B31" s="14">
        <f>'GIA CONG ACRYLIC'!C32</f>
        <v>0</v>
      </c>
      <c r="C31" s="80">
        <f>'GIA CONG ACRYLIC'!D32</f>
        <v>807</v>
      </c>
      <c r="D31" s="80">
        <f>'GIA CONG ACRYLIC'!E32</f>
        <v>370</v>
      </c>
      <c r="E31" s="80">
        <f>'GIA CONG ACRYLIC'!F32</f>
        <v>1</v>
      </c>
      <c r="F31" s="66">
        <f>'GIA CONG ACRYLIC'!G32</f>
        <v>0</v>
      </c>
      <c r="G31" s="66">
        <f>'GIA CONG ACRYLIC'!H32</f>
        <v>0</v>
      </c>
      <c r="H31" s="99">
        <f t="shared" si="1"/>
        <v>1.984</v>
      </c>
      <c r="I31" s="99">
        <f>'GIA CONG ACRYLIC'!N32*E31/1000</f>
        <v>0.37</v>
      </c>
      <c r="J31" s="99">
        <f t="shared" si="2"/>
        <v>0.29859000000000002</v>
      </c>
      <c r="K31" s="18">
        <f>'GIA CONG ACRYLIC'!M32</f>
        <v>0</v>
      </c>
    </row>
    <row r="32" spans="1:13" ht="21" customHeight="1" x14ac:dyDescent="0.25">
      <c r="A32" s="10">
        <f>'GIA CONG ACRYLIC'!A33</f>
        <v>19</v>
      </c>
      <c r="B32" s="14">
        <f>'GIA CONG ACRYLIC'!C33</f>
        <v>0</v>
      </c>
      <c r="C32" s="80">
        <f>'GIA CONG ACRYLIC'!D33</f>
        <v>807</v>
      </c>
      <c r="D32" s="80">
        <f>'GIA CONG ACRYLIC'!E33</f>
        <v>367</v>
      </c>
      <c r="E32" s="80">
        <f>'GIA CONG ACRYLIC'!F33</f>
        <v>1</v>
      </c>
      <c r="F32" s="66">
        <f>'GIA CONG ACRYLIC'!G33</f>
        <v>0</v>
      </c>
      <c r="G32" s="66">
        <f>'GIA CONG ACRYLIC'!H33</f>
        <v>0</v>
      </c>
      <c r="H32" s="99">
        <f t="shared" si="1"/>
        <v>1.9809999999999999</v>
      </c>
      <c r="I32" s="99">
        <f>'GIA CONG ACRYLIC'!N33*E32/1000</f>
        <v>0.36699999999999999</v>
      </c>
      <c r="J32" s="99">
        <f t="shared" si="2"/>
        <v>0.29616900000000002</v>
      </c>
      <c r="K32" s="18">
        <f>'GIA CONG ACRYLIC'!M33</f>
        <v>0</v>
      </c>
    </row>
    <row r="33" spans="1:11" ht="21" customHeight="1" x14ac:dyDescent="0.25">
      <c r="A33" s="10">
        <f>'GIA CONG ACRYLIC'!A34</f>
        <v>20</v>
      </c>
      <c r="B33" s="14">
        <f>'GIA CONG ACRYLIC'!C34</f>
        <v>0</v>
      </c>
      <c r="C33" s="80">
        <f>'GIA CONG ACRYLIC'!D34</f>
        <v>1686</v>
      </c>
      <c r="D33" s="80">
        <f>'GIA CONG ACRYLIC'!E34</f>
        <v>70</v>
      </c>
      <c r="E33" s="80">
        <f>'GIA CONG ACRYLIC'!F34</f>
        <v>1</v>
      </c>
      <c r="F33" s="66">
        <f>'GIA CONG ACRYLIC'!G34</f>
        <v>0</v>
      </c>
      <c r="G33" s="66">
        <f>'GIA CONG ACRYLIC'!H34</f>
        <v>0</v>
      </c>
      <c r="H33" s="99">
        <f t="shared" ref="H33:H34" si="3">(C33+D33)*2*E33/1000-I33</f>
        <v>3.4420000000000002</v>
      </c>
      <c r="I33" s="99">
        <f>'GIA CONG ACRYLIC'!N34*E33/1000</f>
        <v>7.0000000000000007E-2</v>
      </c>
      <c r="J33" s="99">
        <f t="shared" ref="J33:J34" si="4">C33*D33*E33/1000000</f>
        <v>0.11802</v>
      </c>
      <c r="K33" s="18">
        <f>'GIA CONG ACRYLIC'!M34</f>
        <v>0</v>
      </c>
    </row>
    <row r="34" spans="1:11" ht="21" customHeight="1" x14ac:dyDescent="0.25">
      <c r="A34" s="10">
        <f>'GIA CONG ACRYLIC'!A35</f>
        <v>21</v>
      </c>
      <c r="B34" s="14">
        <f>'GIA CONG ACRYLIC'!C35</f>
        <v>0</v>
      </c>
      <c r="C34" s="80">
        <f>'GIA CONG ACRYLIC'!D35</f>
        <v>2077</v>
      </c>
      <c r="D34" s="80">
        <f>'GIA CONG ACRYLIC'!E35</f>
        <v>70</v>
      </c>
      <c r="E34" s="80">
        <f>'GIA CONG ACRYLIC'!F35</f>
        <v>1</v>
      </c>
      <c r="F34" s="66">
        <f>'GIA CONG ACRYLIC'!G35</f>
        <v>0</v>
      </c>
      <c r="G34" s="66">
        <f>'GIA CONG ACRYLIC'!H35</f>
        <v>0</v>
      </c>
      <c r="H34" s="99">
        <f t="shared" si="3"/>
        <v>4.2239999999999993</v>
      </c>
      <c r="I34" s="99">
        <f>'GIA CONG ACRYLIC'!N35*E34/1000</f>
        <v>7.0000000000000007E-2</v>
      </c>
      <c r="J34" s="99">
        <f t="shared" si="4"/>
        <v>0.14538999999999999</v>
      </c>
      <c r="K34" s="18">
        <f>'GIA CONG ACRYLIC'!M35</f>
        <v>0</v>
      </c>
    </row>
    <row r="35" spans="1:11" ht="21" customHeight="1" x14ac:dyDescent="0.25">
      <c r="A35" s="6" t="str">
        <f>'GIA CONG ACRYLIC'!A38</f>
        <v>II</v>
      </c>
      <c r="B35" s="162" t="str">
        <f>'GIA CONG ACRYLIC'!C38</f>
        <v>Acrylic màu 2</v>
      </c>
      <c r="C35" s="163"/>
      <c r="D35" s="163"/>
      <c r="E35" s="163">
        <f>'GIA CONG ACRYLIC'!F38</f>
        <v>6</v>
      </c>
      <c r="F35" s="164"/>
      <c r="G35" s="164"/>
      <c r="H35" s="166">
        <f>SUM(H36:H41)</f>
        <v>13.935000000000002</v>
      </c>
      <c r="I35" s="166">
        <f t="shared" ref="I35:J35" si="5">SUM(I36:I41)</f>
        <v>1.7969999999999999</v>
      </c>
      <c r="J35" s="166">
        <f t="shared" si="5"/>
        <v>1.4262400000000002</v>
      </c>
      <c r="K35" s="165">
        <f>'GIA CONG ACRYLIC'!M38</f>
        <v>0</v>
      </c>
    </row>
    <row r="36" spans="1:11" ht="47.25" customHeight="1" x14ac:dyDescent="0.25">
      <c r="A36" s="10">
        <f>'GIA CONG ACRYLIC'!A39</f>
        <v>1</v>
      </c>
      <c r="B36" s="14" t="str">
        <f>'GIA CONG ACRYLIC'!C39</f>
        <v>Cốt nhựa 17mm, 1 mặt Acrylic GV108 nhũ chống xước cao, 1 mặt acrylic chống cong vênh trắng bóng</v>
      </c>
      <c r="C36" s="80">
        <f>'GIA CONG ACRYLIC'!D39</f>
        <v>680</v>
      </c>
      <c r="D36" s="80">
        <f>'GIA CONG ACRYLIC'!E39</f>
        <v>415</v>
      </c>
      <c r="E36" s="80">
        <f>'GIA CONG ACRYLIC'!F39</f>
        <v>2</v>
      </c>
      <c r="F36" s="66" t="str">
        <f>'GIA CONG ACRYLIC'!G39</f>
        <v>Vát 415</v>
      </c>
      <c r="G36" s="66">
        <f>'GIA CONG ACRYLIC'!H39</f>
        <v>0</v>
      </c>
      <c r="H36" s="99">
        <f t="shared" si="1"/>
        <v>3.55</v>
      </c>
      <c r="I36" s="99">
        <f>'GIA CONG ACRYLIC'!N39*E36/1000</f>
        <v>0.83</v>
      </c>
      <c r="J36" s="99">
        <f t="shared" si="2"/>
        <v>0.56440000000000001</v>
      </c>
      <c r="K36" s="18">
        <f>'GIA CONG ACRYLIC'!M39</f>
        <v>0</v>
      </c>
    </row>
    <row r="37" spans="1:11" ht="21" customHeight="1" x14ac:dyDescent="0.25">
      <c r="A37" s="10">
        <f>'GIA CONG ACRYLIC'!A40</f>
        <v>2</v>
      </c>
      <c r="B37" s="14">
        <f>'GIA CONG ACRYLIC'!C40</f>
        <v>0</v>
      </c>
      <c r="C37" s="80">
        <f>'GIA CONG ACRYLIC'!D40</f>
        <v>1860</v>
      </c>
      <c r="D37" s="80">
        <f>'GIA CONG ACRYLIC'!E40</f>
        <v>80</v>
      </c>
      <c r="E37" s="80">
        <f>'GIA CONG ACRYLIC'!F40</f>
        <v>1</v>
      </c>
      <c r="F37" s="66">
        <f>'GIA CONG ACRYLIC'!G40</f>
        <v>0</v>
      </c>
      <c r="G37" s="66">
        <f>'GIA CONG ACRYLIC'!H40</f>
        <v>0</v>
      </c>
      <c r="H37" s="99">
        <f t="shared" si="1"/>
        <v>3.8</v>
      </c>
      <c r="I37" s="99">
        <f>'GIA CONG ACRYLIC'!N40*E37/1000</f>
        <v>0.08</v>
      </c>
      <c r="J37" s="99">
        <f t="shared" si="2"/>
        <v>0.14879999999999999</v>
      </c>
      <c r="K37" s="18">
        <f>'GIA CONG ACRYLIC'!M40</f>
        <v>0</v>
      </c>
    </row>
    <row r="38" spans="1:11" ht="21" customHeight="1" x14ac:dyDescent="0.25">
      <c r="A38" s="10">
        <f>'GIA CONG ACRYLIC'!A41</f>
        <v>3</v>
      </c>
      <c r="B38" s="14">
        <f>'GIA CONG ACRYLIC'!C41</f>
        <v>0</v>
      </c>
      <c r="C38" s="80">
        <f>'GIA CONG ACRYLIC'!D41</f>
        <v>650</v>
      </c>
      <c r="D38" s="80">
        <f>'GIA CONG ACRYLIC'!E41</f>
        <v>80</v>
      </c>
      <c r="E38" s="80">
        <f>'GIA CONG ACRYLIC'!F41</f>
        <v>1</v>
      </c>
      <c r="F38" s="66">
        <f>'GIA CONG ACRYLIC'!G41</f>
        <v>0</v>
      </c>
      <c r="G38" s="66">
        <f>'GIA CONG ACRYLIC'!H41</f>
        <v>0</v>
      </c>
      <c r="H38" s="99">
        <f t="shared" si="1"/>
        <v>1.38</v>
      </c>
      <c r="I38" s="99">
        <f>'GIA CONG ACRYLIC'!N41*E38/1000</f>
        <v>0.08</v>
      </c>
      <c r="J38" s="99">
        <f t="shared" si="2"/>
        <v>5.1999999999999998E-2</v>
      </c>
      <c r="K38" s="18">
        <f>'GIA CONG ACRYLIC'!M41</f>
        <v>0</v>
      </c>
    </row>
    <row r="39" spans="1:11" ht="21" customHeight="1" x14ac:dyDescent="0.25">
      <c r="A39" s="10">
        <f>'GIA CONG ACRYLIC'!A42</f>
        <v>4</v>
      </c>
      <c r="B39" s="14">
        <f>'GIA CONG ACRYLIC'!C42</f>
        <v>0</v>
      </c>
      <c r="C39" s="80">
        <f>'GIA CONG ACRYLIC'!D42</f>
        <v>604</v>
      </c>
      <c r="D39" s="80">
        <f>'GIA CONG ACRYLIC'!E42</f>
        <v>80</v>
      </c>
      <c r="E39" s="80">
        <f>'GIA CONG ACRYLIC'!F42</f>
        <v>1</v>
      </c>
      <c r="F39" s="66">
        <f>'GIA CONG ACRYLIC'!G42</f>
        <v>0</v>
      </c>
      <c r="G39" s="66">
        <f>'GIA CONG ACRYLIC'!H42</f>
        <v>0</v>
      </c>
      <c r="H39" s="99">
        <f t="shared" si="1"/>
        <v>1.288</v>
      </c>
      <c r="I39" s="99">
        <f>'GIA CONG ACRYLIC'!N42*E39/1000</f>
        <v>0.08</v>
      </c>
      <c r="J39" s="99">
        <f t="shared" si="2"/>
        <v>4.8320000000000002E-2</v>
      </c>
      <c r="K39" s="18">
        <f>'GIA CONG ACRYLIC'!M42</f>
        <v>0</v>
      </c>
    </row>
    <row r="40" spans="1:11" ht="21" customHeight="1" x14ac:dyDescent="0.25">
      <c r="A40" s="10">
        <f>'GIA CONG ACRYLIC'!A43</f>
        <v>5</v>
      </c>
      <c r="B40" s="14">
        <f>'GIA CONG ACRYLIC'!C43</f>
        <v>0</v>
      </c>
      <c r="C40" s="80">
        <f>'GIA CONG ACRYLIC'!D43</f>
        <v>735</v>
      </c>
      <c r="D40" s="80">
        <f>'GIA CONG ACRYLIC'!E43</f>
        <v>100</v>
      </c>
      <c r="E40" s="80">
        <f>'GIA CONG ACRYLIC'!F43</f>
        <v>1</v>
      </c>
      <c r="F40" s="66">
        <f>'GIA CONG ACRYLIC'!G43</f>
        <v>0</v>
      </c>
      <c r="G40" s="66">
        <f>'GIA CONG ACRYLIC'!H43</f>
        <v>0</v>
      </c>
      <c r="H40" s="99">
        <f t="shared" si="1"/>
        <v>1.5699999999999998</v>
      </c>
      <c r="I40" s="99">
        <f>'GIA CONG ACRYLIC'!N43*E40/1000</f>
        <v>0.1</v>
      </c>
      <c r="J40" s="99">
        <f t="shared" si="2"/>
        <v>7.3499999999999996E-2</v>
      </c>
      <c r="K40" s="18">
        <f>'GIA CONG ACRYLIC'!M43</f>
        <v>0</v>
      </c>
    </row>
    <row r="41" spans="1:11" ht="21" customHeight="1" x14ac:dyDescent="0.25">
      <c r="A41" s="10">
        <f>'GIA CONG ACRYLIC'!A36</f>
        <v>22</v>
      </c>
      <c r="B41" s="14">
        <f>'GIA CONG ACRYLIC'!C36</f>
        <v>0</v>
      </c>
      <c r="C41" s="80">
        <f>'GIA CONG ACRYLIC'!D36</f>
        <v>860</v>
      </c>
      <c r="D41" s="80">
        <f>'GIA CONG ACRYLIC'!E36</f>
        <v>627</v>
      </c>
      <c r="E41" s="80">
        <f>'GIA CONG ACRYLIC'!F36</f>
        <v>1</v>
      </c>
      <c r="F41" s="66">
        <f>'GIA CONG ACRYLIC'!G36</f>
        <v>0</v>
      </c>
      <c r="G41" s="66">
        <f>'GIA CONG ACRYLIC'!H36</f>
        <v>0</v>
      </c>
      <c r="H41" s="99">
        <f t="shared" si="1"/>
        <v>2.3470000000000004</v>
      </c>
      <c r="I41" s="99">
        <f>'GIA CONG ACRYLIC'!N36*E41/1000</f>
        <v>0.627</v>
      </c>
      <c r="J41" s="99">
        <f t="shared" si="2"/>
        <v>0.53922000000000003</v>
      </c>
      <c r="K41" s="18" t="str">
        <f>'GIA CONG ACRYLIC'!M36</f>
        <v>Tấm giả dày</v>
      </c>
    </row>
    <row r="43" spans="1:11" s="40" customFormat="1" ht="18.75" x14ac:dyDescent="0.25">
      <c r="A43" s="41"/>
      <c r="B43" s="56" t="s">
        <v>43</v>
      </c>
      <c r="D43" s="58" t="s">
        <v>44</v>
      </c>
      <c r="E43" s="58"/>
      <c r="F43" s="58"/>
      <c r="G43" s="100" t="s">
        <v>45</v>
      </c>
      <c r="I43" s="100"/>
      <c r="J43" s="101"/>
      <c r="K43" s="58" t="s">
        <v>46</v>
      </c>
    </row>
    <row r="44" spans="1:11" s="40" customFormat="1" ht="15.75" x14ac:dyDescent="0.25">
      <c r="A44" s="41"/>
      <c r="B44" s="57" t="s">
        <v>47</v>
      </c>
      <c r="C44" s="200" t="s">
        <v>4</v>
      </c>
      <c r="D44" s="200"/>
      <c r="E44" s="200"/>
      <c r="F44" s="59"/>
      <c r="G44" s="102" t="s">
        <v>4</v>
      </c>
      <c r="I44" s="102"/>
      <c r="J44" s="101"/>
      <c r="K44" s="59" t="s">
        <v>4</v>
      </c>
    </row>
  </sheetData>
  <mergeCells count="12">
    <mergeCell ref="I5:K9"/>
    <mergeCell ref="C44:E44"/>
    <mergeCell ref="A11:A12"/>
    <mergeCell ref="B11:B12"/>
    <mergeCell ref="E11:E12"/>
    <mergeCell ref="F11:F12"/>
    <mergeCell ref="H11:H12"/>
    <mergeCell ref="I11:I12"/>
    <mergeCell ref="J11:J12"/>
    <mergeCell ref="K11:K12"/>
    <mergeCell ref="C11:D11"/>
    <mergeCell ref="G11:G12"/>
  </mergeCells>
  <conditionalFormatting sqref="A11:K41">
    <cfRule type="expression" dxfId="1" priority="13">
      <formula>"""=OR(ROW()=CELL(""row""),COLUMN()=CELL(""col""))"</formula>
    </cfRule>
  </conditionalFormatting>
  <pageMargins left="0.45" right="0.2" top="0.5" bottom="0.5" header="0.3" footer="0.3"/>
  <pageSetup paperSize="9" scale="97"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79"/>
  <sheetViews>
    <sheetView workbookViewId="0">
      <pane ySplit="1" topLeftCell="A5" activePane="bottomLeft" state="frozen"/>
      <selection pane="bottomLeft" activeCell="C23" sqref="C23"/>
    </sheetView>
  </sheetViews>
  <sheetFormatPr defaultColWidth="9" defaultRowHeight="15.75" x14ac:dyDescent="0.25"/>
  <cols>
    <col min="1" max="1" width="5.375" style="2" customWidth="1"/>
    <col min="2" max="2" width="14.625" style="2" customWidth="1"/>
    <col min="3" max="3" width="36.375" style="5" customWidth="1"/>
    <col min="4" max="4" width="15.125" style="3" customWidth="1"/>
    <col min="5" max="5" width="12.125" style="3" customWidth="1"/>
    <col min="6" max="6" width="11.375" style="2" customWidth="1"/>
    <col min="7" max="7" width="10.5" style="3" customWidth="1"/>
    <col min="8" max="8" width="11.125" style="3" bestFit="1" customWidth="1"/>
    <col min="9" max="9" width="9.875" style="4" bestFit="1" customWidth="1"/>
    <col min="10" max="10" width="14.75" style="4" bestFit="1" customWidth="1"/>
    <col min="11" max="11" width="17.25" style="15" bestFit="1" customWidth="1"/>
    <col min="12" max="12" width="11.625" style="15" bestFit="1" customWidth="1"/>
    <col min="13" max="13" width="18.625" style="3" customWidth="1"/>
    <col min="14" max="14" width="15.625" bestFit="1" customWidth="1"/>
    <col min="15" max="15" width="14.25" customWidth="1"/>
    <col min="16" max="16" width="18" style="3" bestFit="1" customWidth="1"/>
    <col min="17" max="17" width="15.25" style="3" bestFit="1" customWidth="1"/>
    <col min="18" max="18" width="19.375" style="3" bestFit="1" customWidth="1"/>
    <col min="19" max="19" width="15.25" style="3" customWidth="1"/>
    <col min="20" max="20" width="21" style="3" bestFit="1" customWidth="1"/>
    <col min="21" max="21" width="15" style="3" bestFit="1" customWidth="1"/>
    <col min="22" max="23" width="17.5" style="3" bestFit="1" customWidth="1"/>
    <col min="24" max="24" width="10.25" style="3" bestFit="1" customWidth="1"/>
    <col min="25" max="25" width="18.625" style="3" bestFit="1" customWidth="1"/>
    <col min="26" max="26" width="11.25" style="3" bestFit="1" customWidth="1"/>
    <col min="27" max="27" width="12.5" style="3" bestFit="1" customWidth="1"/>
    <col min="28" max="28" width="20.625" style="3" bestFit="1" customWidth="1"/>
    <col min="29" max="29" width="17.625" style="3" bestFit="1" customWidth="1"/>
    <col min="30" max="16384" width="9" style="3"/>
  </cols>
  <sheetData>
    <row r="1" spans="1:29" ht="37.5" customHeight="1" x14ac:dyDescent="0.25">
      <c r="A1" s="82" t="s">
        <v>0</v>
      </c>
      <c r="B1" s="11" t="s">
        <v>51</v>
      </c>
      <c r="C1" s="10" t="s">
        <v>52</v>
      </c>
      <c r="D1" s="10" t="s">
        <v>53</v>
      </c>
      <c r="E1" s="10" t="s">
        <v>54</v>
      </c>
      <c r="F1" s="10" t="s">
        <v>55</v>
      </c>
      <c r="G1" s="82" t="s">
        <v>56</v>
      </c>
      <c r="H1" s="82" t="s">
        <v>57</v>
      </c>
      <c r="I1" s="91" t="s">
        <v>58</v>
      </c>
      <c r="J1" s="91" t="s">
        <v>59</v>
      </c>
      <c r="K1" s="88" t="s">
        <v>61</v>
      </c>
      <c r="L1" s="90" t="s">
        <v>62</v>
      </c>
      <c r="M1" s="82" t="s">
        <v>63</v>
      </c>
      <c r="N1" s="11" t="s">
        <v>50</v>
      </c>
      <c r="O1" s="87" t="s">
        <v>60</v>
      </c>
      <c r="P1" s="85" t="s">
        <v>66</v>
      </c>
      <c r="Q1" s="85" t="s">
        <v>67</v>
      </c>
      <c r="R1" s="11" t="s">
        <v>88</v>
      </c>
      <c r="S1" s="11" t="s">
        <v>87</v>
      </c>
      <c r="T1" s="11" t="s">
        <v>89</v>
      </c>
      <c r="U1" s="85" t="s">
        <v>73</v>
      </c>
      <c r="V1" s="85" t="s">
        <v>74</v>
      </c>
      <c r="W1" s="85" t="s">
        <v>75</v>
      </c>
      <c r="X1" s="86" t="s">
        <v>76</v>
      </c>
      <c r="Y1" s="86" t="s">
        <v>77</v>
      </c>
      <c r="Z1" s="86" t="s">
        <v>78</v>
      </c>
      <c r="AA1" s="89" t="s">
        <v>81</v>
      </c>
      <c r="AB1" s="83" t="s">
        <v>64</v>
      </c>
      <c r="AC1" s="83" t="s">
        <v>65</v>
      </c>
    </row>
    <row r="2" spans="1:29" s="21" customFormat="1" ht="37.5" customHeight="1" x14ac:dyDescent="0.25">
      <c r="A2" s="19"/>
      <c r="B2" s="19"/>
      <c r="C2" s="24"/>
      <c r="F2" s="19"/>
      <c r="I2" s="22"/>
      <c r="J2" s="22"/>
      <c r="K2" s="23"/>
      <c r="L2" s="23"/>
    </row>
    <row r="3" spans="1:29" s="21" customFormat="1" ht="37.5" customHeight="1" x14ac:dyDescent="0.25">
      <c r="A3" s="19"/>
      <c r="B3" s="19"/>
      <c r="C3" s="24"/>
      <c r="F3" s="19"/>
      <c r="I3" s="22"/>
      <c r="J3" s="22"/>
      <c r="K3" s="23"/>
      <c r="L3" s="23"/>
    </row>
    <row r="4" spans="1:29" ht="11.25" customHeight="1" x14ac:dyDescent="0.25">
      <c r="N4" s="3"/>
      <c r="O4" s="3"/>
    </row>
    <row r="5" spans="1:29" s="21" customFormat="1" ht="22.5" x14ac:dyDescent="0.25">
      <c r="A5" s="19"/>
      <c r="B5" s="19"/>
      <c r="C5" s="20"/>
      <c r="D5" s="25"/>
      <c r="E5" s="25"/>
      <c r="F5" s="19"/>
      <c r="G5" s="26" t="s">
        <v>8</v>
      </c>
      <c r="H5" s="26"/>
      <c r="I5" s="27"/>
      <c r="J5" s="27"/>
      <c r="K5" s="28"/>
      <c r="L5" s="28"/>
    </row>
    <row r="6" spans="1:29" ht="15" x14ac:dyDescent="0.25">
      <c r="G6" s="2" t="s">
        <v>70</v>
      </c>
      <c r="H6" s="2"/>
      <c r="N6" s="3"/>
      <c r="O6" s="3"/>
    </row>
    <row r="7" spans="1:29" ht="15" x14ac:dyDescent="0.25">
      <c r="G7" s="2" t="s">
        <v>41</v>
      </c>
      <c r="H7" s="2"/>
      <c r="N7" s="3"/>
      <c r="O7" s="3"/>
    </row>
    <row r="8" spans="1:29" ht="15" x14ac:dyDescent="0.25">
      <c r="C8" s="84" t="s">
        <v>72</v>
      </c>
      <c r="G8" s="2"/>
      <c r="H8" s="2"/>
      <c r="N8" s="3"/>
      <c r="O8" s="3"/>
    </row>
    <row r="9" spans="1:29" ht="15" x14ac:dyDescent="0.25">
      <c r="C9" s="84" t="s">
        <v>71</v>
      </c>
      <c r="G9" s="2"/>
      <c r="H9" s="2"/>
      <c r="N9" s="3"/>
      <c r="O9" s="3"/>
    </row>
    <row r="10" spans="1:29" s="21" customFormat="1" ht="15" x14ac:dyDescent="0.25">
      <c r="A10" s="19"/>
      <c r="B10" s="19"/>
      <c r="C10" s="24" t="s">
        <v>9</v>
      </c>
      <c r="F10" s="19"/>
      <c r="I10" s="22"/>
      <c r="J10" s="22"/>
      <c r="K10" s="23"/>
      <c r="L10" s="23"/>
    </row>
    <row r="11" spans="1:29" s="19" customFormat="1" ht="24" customHeight="1" x14ac:dyDescent="0.25">
      <c r="A11" s="181" t="s">
        <v>20</v>
      </c>
      <c r="B11" s="189" t="s">
        <v>80</v>
      </c>
      <c r="C11" s="181" t="s">
        <v>21</v>
      </c>
      <c r="D11" s="186" t="s">
        <v>22</v>
      </c>
      <c r="E11" s="186"/>
      <c r="F11" s="186" t="s">
        <v>16</v>
      </c>
      <c r="G11" s="187" t="s">
        <v>33</v>
      </c>
      <c r="H11" s="187" t="s">
        <v>35</v>
      </c>
      <c r="I11" s="185" t="s">
        <v>28</v>
      </c>
      <c r="J11" s="185" t="s">
        <v>27</v>
      </c>
      <c r="K11" s="182" t="s">
        <v>37</v>
      </c>
      <c r="L11" s="182" t="s">
        <v>38</v>
      </c>
      <c r="M11" s="180" t="s">
        <v>1</v>
      </c>
      <c r="N11" s="190" t="s">
        <v>68</v>
      </c>
      <c r="O11" s="190" t="s">
        <v>69</v>
      </c>
      <c r="P11" s="205" t="s">
        <v>13</v>
      </c>
      <c r="Q11" s="205" t="s">
        <v>18</v>
      </c>
      <c r="R11" s="203" t="s">
        <v>84</v>
      </c>
      <c r="S11" s="203" t="s">
        <v>85</v>
      </c>
      <c r="T11" s="203" t="s">
        <v>86</v>
      </c>
    </row>
    <row r="12" spans="1:29" s="19" customFormat="1" ht="49.5" customHeight="1" x14ac:dyDescent="0.25">
      <c r="A12" s="181"/>
      <c r="B12" s="190"/>
      <c r="C12" s="181"/>
      <c r="D12" s="29" t="s">
        <v>40</v>
      </c>
      <c r="E12" s="64" t="s">
        <v>42</v>
      </c>
      <c r="F12" s="186"/>
      <c r="G12" s="188"/>
      <c r="H12" s="188"/>
      <c r="I12" s="185"/>
      <c r="J12" s="185"/>
      <c r="K12" s="182"/>
      <c r="L12" s="182"/>
      <c r="M12" s="180"/>
      <c r="N12" s="190"/>
      <c r="O12" s="190"/>
      <c r="P12" s="206"/>
      <c r="Q12" s="206"/>
      <c r="R12" s="204"/>
      <c r="S12" s="204"/>
      <c r="T12" s="204"/>
    </row>
    <row r="13" spans="1:29" x14ac:dyDescent="0.25">
      <c r="A13" s="2" t="str">
        <f>IF('GIA CONG ACRYLIC'!A14="","",'GIA CONG ACRYLIC'!A14)</f>
        <v>I</v>
      </c>
      <c r="B13" s="2" t="str">
        <f>IF('GIA CONG ACRYLIC'!B14="","",'GIA CONG ACRYLIC'!B14)</f>
        <v/>
      </c>
      <c r="C13" s="2" t="str">
        <f>IF('GIA CONG ACRYLIC'!C14="","",'GIA CONG ACRYLIC'!C14)</f>
        <v>Acrylic màu 1</v>
      </c>
      <c r="D13" s="2" t="str">
        <f>IF('GIA CONG ACRYLIC'!D14="","",'GIA CONG ACRYLIC'!D14)</f>
        <v/>
      </c>
      <c r="E13" s="2" t="str">
        <f>IF('GIA CONG ACRYLIC'!E14="","",'GIA CONG ACRYLIC'!E14)</f>
        <v/>
      </c>
      <c r="F13" s="2">
        <f>IF('GIA CONG ACRYLIC'!F14="","",'GIA CONG ACRYLIC'!F14)</f>
        <v>27</v>
      </c>
      <c r="G13" s="2" t="str">
        <f>IF('GIA CONG ACRYLIC'!G14="","",'GIA CONG ACRYLIC'!G14)</f>
        <v/>
      </c>
      <c r="H13" s="2" t="str">
        <f>IF('GIA CONG ACRYLIC'!H14="","",'GIA CONG ACRYLIC'!H14)</f>
        <v/>
      </c>
      <c r="I13" s="2">
        <f>IF('GIA CONG ACRYLIC'!I14="","",'GIA CONG ACRYLIC'!I14)</f>
        <v>5.8819569999999999</v>
      </c>
      <c r="J13" s="2">
        <f>IF('GIA CONG ACRYLIC'!J14="","",'GIA CONG ACRYLIC'!J14)</f>
        <v>0.68</v>
      </c>
      <c r="K13" s="2" t="str">
        <f>IF('GIA CONG ACRYLIC'!K14="","",'GIA CONG ACRYLIC'!K14)</f>
        <v/>
      </c>
      <c r="L13" s="2" t="str">
        <f>IF('GIA CONG ACRYLIC'!L14="","",'GIA CONG ACRYLIC'!L14)</f>
        <v/>
      </c>
      <c r="M13" s="2" t="str">
        <f>IF('GIA CONG ACRYLIC'!M14="","",'GIA CONG ACRYLIC'!M14)</f>
        <v/>
      </c>
      <c r="N13" s="3" t="str">
        <f>'GIA CONG ACRYLIC'!$H$7</f>
        <v>L2345</v>
      </c>
      <c r="O13" s="2">
        <f>IF('GIA CONG ACRYLIC'!I14+'GIA CONG ACRYLIC'!J14="","",'GIA CONG ACRYLIC'!I14+'GIA CONG ACRYLIC'!J14)</f>
        <v>6.5619569999999996</v>
      </c>
      <c r="P13" s="3">
        <f>IF('LENH GIA CONG TAM'!H13="","",'LENH GIA CONG TAM'!H13)</f>
        <v>53.871999999999993</v>
      </c>
      <c r="Q13" s="3">
        <f>IF('LENH GIA CONG TAM'!I13="","",'LENH GIA CONG TAM'!I13)</f>
        <v>8.5740000000000016</v>
      </c>
      <c r="R13" s="107">
        <f>'GIA CONG ACRYLIC'!$M$6</f>
        <v>46147.447916666664</v>
      </c>
      <c r="S13" s="3">
        <f>'GIA CONG ACRYLIC'!$M$7</f>
        <v>3</v>
      </c>
      <c r="T13" s="107">
        <f>'GIA CONG ACRYLIC'!$M$8</f>
        <v>46150.447916666664</v>
      </c>
    </row>
    <row r="14" spans="1:29" x14ac:dyDescent="0.25">
      <c r="A14" s="2">
        <f>IF('GIA CONG ACRYLIC'!A15="","",'GIA CONG ACRYLIC'!A15)</f>
        <v>1</v>
      </c>
      <c r="B14" s="2" t="str">
        <f>IF('GIA CONG ACRYLIC'!B15="","",'GIA CONG ACRYLIC'!B15)</f>
        <v>GV108.TP</v>
      </c>
      <c r="C14" s="2" t="str">
        <f>IF('GIA CONG ACRYLIC'!C15="","",'GIA CONG ACRYLIC'!C15)</f>
        <v>Cốt MDF chống ẩm 17mm, 1 mặt Acrylic GV108 nhũ chống xước cao, 1 mặt acrylic chống cong vênh trắng bóng</v>
      </c>
      <c r="D14" s="2">
        <f>IF('GIA CONG ACRYLIC'!D15="","",'GIA CONG ACRYLIC'!D15)</f>
        <v>805</v>
      </c>
      <c r="E14" s="2">
        <f>IF('GIA CONG ACRYLIC'!E15="","",'GIA CONG ACRYLIC'!E15)</f>
        <v>588</v>
      </c>
      <c r="F14" s="2">
        <f>IF('GIA CONG ACRYLIC'!F15="","",'GIA CONG ACRYLIC'!F15)</f>
        <v>1</v>
      </c>
      <c r="G14" s="2" t="e">
        <f>IF('GIA CONG ACRYLIC'!#REF!="","",'GIA CONG ACRYLIC'!#REF!)</f>
        <v>#REF!</v>
      </c>
      <c r="H14" s="2" t="str">
        <f>IF('GIA CONG ACRYLIC'!H15="","",'GIA CONG ACRYLIC'!H15)</f>
        <v/>
      </c>
      <c r="I14" s="2">
        <f>IF('GIA CONG ACRYLIC'!I15="","",'GIA CONG ACRYLIC'!I15)</f>
        <v>0.47333999999999998</v>
      </c>
      <c r="J14" s="2" t="str">
        <f>IF('GIA CONG ACRYLIC'!J15="","",'GIA CONG ACRYLIC'!J15)</f>
        <v/>
      </c>
      <c r="K14" s="2">
        <f>IF('GIA CONG ACRYLIC'!K15="","",'GIA CONG ACRYLIC'!K15)</f>
        <v>1330000</v>
      </c>
      <c r="L14" s="2">
        <f>IF('GIA CONG ACRYLIC'!L15="","",'GIA CONG ACRYLIC'!L15)</f>
        <v>629542</v>
      </c>
      <c r="M14" s="2" t="str">
        <f>IF('GIA CONG ACRYLIC'!M15="","",'GIA CONG ACRYLIC'!M15)</f>
        <v/>
      </c>
      <c r="N14" s="3" t="str">
        <f>'GIA CONG ACRYLIC'!$H$7</f>
        <v>L2345</v>
      </c>
      <c r="O14" s="2">
        <f>IF('GIA CONG ACRYLIC'!I15+'GIA CONG ACRYLIC'!J15="","",'GIA CONG ACRYLIC'!I15+'GIA CONG ACRYLIC'!J15)</f>
        <v>0.47333999999999998</v>
      </c>
      <c r="P14" s="3">
        <f>IF('LENH GIA CONG TAM'!H14="","",'LENH GIA CONG TAM'!H14)</f>
        <v>2.198</v>
      </c>
      <c r="Q14" s="3">
        <f>IF('LENH GIA CONG TAM'!I14="","",'LENH GIA CONG TAM'!I14)</f>
        <v>0.58799999999999997</v>
      </c>
      <c r="R14" s="107">
        <f>'GIA CONG ACRYLIC'!$M$6</f>
        <v>46147.447916666664</v>
      </c>
      <c r="S14" s="3">
        <f>'GIA CONG ACRYLIC'!$M$7</f>
        <v>3</v>
      </c>
      <c r="T14" s="107">
        <f>'GIA CONG ACRYLIC'!$M$8</f>
        <v>46150.447916666664</v>
      </c>
    </row>
    <row r="15" spans="1:29" x14ac:dyDescent="0.25">
      <c r="A15" s="2" t="e">
        <f>IF('GIA CONG ACRYLIC'!#REF!="","",'GIA CONG ACRYLIC'!#REF!)</f>
        <v>#REF!</v>
      </c>
      <c r="B15" s="2" t="e">
        <f>IF('GIA CONG ACRYLIC'!#REF!="","",'GIA CONG ACRYLIC'!#REF!)</f>
        <v>#REF!</v>
      </c>
      <c r="C15" s="2" t="e">
        <f>IF('GIA CONG ACRYLIC'!#REF!="","",'GIA CONG ACRYLIC'!#REF!)</f>
        <v>#REF!</v>
      </c>
      <c r="D15" s="2" t="e">
        <f>IF('GIA CONG ACRYLIC'!#REF!="","",'GIA CONG ACRYLIC'!#REF!)</f>
        <v>#REF!</v>
      </c>
      <c r="E15" s="2" t="e">
        <f>IF('GIA CONG ACRYLIC'!#REF!="","",'GIA CONG ACRYLIC'!#REF!)</f>
        <v>#REF!</v>
      </c>
      <c r="F15" s="2" t="e">
        <f>IF('GIA CONG ACRYLIC'!#REF!="","",'GIA CONG ACRYLIC'!#REF!)</f>
        <v>#REF!</v>
      </c>
      <c r="G15" s="2" t="e">
        <f>IF('GIA CONG ACRYLIC'!#REF!="","",'GIA CONG ACRYLIC'!#REF!)</f>
        <v>#REF!</v>
      </c>
      <c r="H15" s="2" t="e">
        <f>IF('GIA CONG ACRYLIC'!#REF!="","",'GIA CONG ACRYLIC'!#REF!)</f>
        <v>#REF!</v>
      </c>
      <c r="I15" s="2" t="e">
        <f>IF('GIA CONG ACRYLIC'!#REF!="","",'GIA CONG ACRYLIC'!#REF!)</f>
        <v>#REF!</v>
      </c>
      <c r="J15" s="2" t="e">
        <f>IF('GIA CONG ACRYLIC'!#REF!="","",'GIA CONG ACRYLIC'!#REF!)</f>
        <v>#REF!</v>
      </c>
      <c r="K15" s="2" t="e">
        <f>IF('GIA CONG ACRYLIC'!#REF!="","",'GIA CONG ACRYLIC'!#REF!)</f>
        <v>#REF!</v>
      </c>
      <c r="L15" s="2" t="e">
        <f>IF('GIA CONG ACRYLIC'!#REF!="","",'GIA CONG ACRYLIC'!#REF!)</f>
        <v>#REF!</v>
      </c>
      <c r="M15" s="2" t="e">
        <f>IF('GIA CONG ACRYLIC'!#REF!="","",'GIA CONG ACRYLIC'!#REF!)</f>
        <v>#REF!</v>
      </c>
      <c r="N15" s="3" t="str">
        <f>'GIA CONG ACRYLIC'!$H$7</f>
        <v>L2345</v>
      </c>
      <c r="O15" s="2" t="e">
        <f>IF('GIA CONG ACRYLIC'!#REF!+'GIA CONG ACRYLIC'!#REF!="","",'GIA CONG ACRYLIC'!#REF!+'GIA CONG ACRYLIC'!#REF!)</f>
        <v>#REF!</v>
      </c>
      <c r="P15" s="3">
        <f>IF('LENH GIA CONG TAM'!H15="","",'LENH GIA CONG TAM'!H15)</f>
        <v>3.3220000000000001</v>
      </c>
      <c r="Q15" s="3">
        <f>IF('LENH GIA CONG TAM'!I15="","",'LENH GIA CONG TAM'!I15)</f>
        <v>0.60199999999999998</v>
      </c>
      <c r="R15" s="107">
        <f>'GIA CONG ACRYLIC'!$M$6</f>
        <v>46147.447916666664</v>
      </c>
      <c r="S15" s="3">
        <f>'GIA CONG ACRYLIC'!$M$7</f>
        <v>3</v>
      </c>
      <c r="T15" s="107">
        <f>'GIA CONG ACRYLIC'!$M$8</f>
        <v>46150.447916666664</v>
      </c>
    </row>
    <row r="16" spans="1:29" x14ac:dyDescent="0.25">
      <c r="A16" s="2" t="e">
        <f>IF('GIA CONG ACRYLIC'!#REF!="","",'GIA CONG ACRYLIC'!#REF!)</f>
        <v>#REF!</v>
      </c>
      <c r="B16" s="2" t="e">
        <f>IF('GIA CONG ACRYLIC'!#REF!="","",'GIA CONG ACRYLIC'!#REF!)</f>
        <v>#REF!</v>
      </c>
      <c r="C16" s="2" t="e">
        <f>IF('GIA CONG ACRYLIC'!#REF!="","",'GIA CONG ACRYLIC'!#REF!)</f>
        <v>#REF!</v>
      </c>
      <c r="D16" s="2" t="e">
        <f>IF('GIA CONG ACRYLIC'!#REF!="","",'GIA CONG ACRYLIC'!#REF!)</f>
        <v>#REF!</v>
      </c>
      <c r="E16" s="2" t="e">
        <f>IF('GIA CONG ACRYLIC'!#REF!="","",'GIA CONG ACRYLIC'!#REF!)</f>
        <v>#REF!</v>
      </c>
      <c r="F16" s="2" t="e">
        <f>IF('GIA CONG ACRYLIC'!#REF!="","",'GIA CONG ACRYLIC'!#REF!)</f>
        <v>#REF!</v>
      </c>
      <c r="G16" s="2" t="e">
        <f>IF('GIA CONG ACRYLIC'!#REF!="","",'GIA CONG ACRYLIC'!#REF!)</f>
        <v>#REF!</v>
      </c>
      <c r="H16" s="2" t="e">
        <f>IF('GIA CONG ACRYLIC'!#REF!="","",'GIA CONG ACRYLIC'!#REF!)</f>
        <v>#REF!</v>
      </c>
      <c r="I16" s="2" t="e">
        <f>IF('GIA CONG ACRYLIC'!#REF!="","",'GIA CONG ACRYLIC'!#REF!)</f>
        <v>#REF!</v>
      </c>
      <c r="J16" s="2" t="e">
        <f>IF('GIA CONG ACRYLIC'!#REF!="","",'GIA CONG ACRYLIC'!#REF!)</f>
        <v>#REF!</v>
      </c>
      <c r="K16" s="2" t="e">
        <f>IF('GIA CONG ACRYLIC'!#REF!="","",'GIA CONG ACRYLIC'!#REF!)</f>
        <v>#REF!</v>
      </c>
      <c r="L16" s="2" t="e">
        <f>IF('GIA CONG ACRYLIC'!#REF!="","",'GIA CONG ACRYLIC'!#REF!)</f>
        <v>#REF!</v>
      </c>
      <c r="M16" s="2" t="e">
        <f>IF('GIA CONG ACRYLIC'!#REF!="","",'GIA CONG ACRYLIC'!#REF!)</f>
        <v>#REF!</v>
      </c>
      <c r="N16" s="3" t="str">
        <f>'GIA CONG ACRYLIC'!$H$7</f>
        <v>L2345</v>
      </c>
      <c r="O16" s="2" t="e">
        <f>IF('GIA CONG ACRYLIC'!#REF!+'GIA CONG ACRYLIC'!#REF!="","",'GIA CONG ACRYLIC'!#REF!+'GIA CONG ACRYLIC'!#REF!)</f>
        <v>#REF!</v>
      </c>
      <c r="P16" s="3" t="e">
        <f>IF('LENH GIA CONG TAM'!#REF!="","",'LENH GIA CONG TAM'!#REF!)</f>
        <v>#REF!</v>
      </c>
      <c r="Q16" s="3" t="e">
        <f>IF('LENH GIA CONG TAM'!#REF!="","",'LENH GIA CONG TAM'!#REF!)</f>
        <v>#REF!</v>
      </c>
      <c r="R16" s="107">
        <f>'GIA CONG ACRYLIC'!$M$6</f>
        <v>46147.447916666664</v>
      </c>
      <c r="S16" s="3">
        <f>'GIA CONG ACRYLIC'!$M$7</f>
        <v>3</v>
      </c>
      <c r="T16" s="107">
        <f>'GIA CONG ACRYLIC'!$M$8</f>
        <v>46150.447916666664</v>
      </c>
    </row>
    <row r="17" spans="1:20" x14ac:dyDescent="0.25">
      <c r="A17" s="2" t="e">
        <f>IF('GIA CONG ACRYLIC'!#REF!="","",'GIA CONG ACRYLIC'!#REF!)</f>
        <v>#REF!</v>
      </c>
      <c r="B17" s="2" t="e">
        <f>IF('GIA CONG ACRYLIC'!#REF!="","",'GIA CONG ACRYLIC'!#REF!)</f>
        <v>#REF!</v>
      </c>
      <c r="C17" s="2" t="e">
        <f>IF('GIA CONG ACRYLIC'!#REF!="","",'GIA CONG ACRYLIC'!#REF!)</f>
        <v>#REF!</v>
      </c>
      <c r="D17" s="2" t="e">
        <f>IF('GIA CONG ACRYLIC'!#REF!="","",'GIA CONG ACRYLIC'!#REF!)</f>
        <v>#REF!</v>
      </c>
      <c r="E17" s="2" t="e">
        <f>IF('GIA CONG ACRYLIC'!#REF!="","",'GIA CONG ACRYLIC'!#REF!)</f>
        <v>#REF!</v>
      </c>
      <c r="F17" s="2" t="e">
        <f>IF('GIA CONG ACRYLIC'!#REF!="","",'GIA CONG ACRYLIC'!#REF!)</f>
        <v>#REF!</v>
      </c>
      <c r="G17" s="2" t="e">
        <f>IF('GIA CONG ACRYLIC'!#REF!="","",'GIA CONG ACRYLIC'!#REF!)</f>
        <v>#REF!</v>
      </c>
      <c r="H17" s="2" t="e">
        <f>IF('GIA CONG ACRYLIC'!#REF!="","",'GIA CONG ACRYLIC'!#REF!)</f>
        <v>#REF!</v>
      </c>
      <c r="I17" s="2" t="e">
        <f>IF('GIA CONG ACRYLIC'!#REF!="","",'GIA CONG ACRYLIC'!#REF!)</f>
        <v>#REF!</v>
      </c>
      <c r="J17" s="2" t="e">
        <f>IF('GIA CONG ACRYLIC'!#REF!="","",'GIA CONG ACRYLIC'!#REF!)</f>
        <v>#REF!</v>
      </c>
      <c r="K17" s="2" t="e">
        <f>IF('GIA CONG ACRYLIC'!#REF!="","",'GIA CONG ACRYLIC'!#REF!)</f>
        <v>#REF!</v>
      </c>
      <c r="L17" s="2" t="e">
        <f>IF('GIA CONG ACRYLIC'!#REF!="","",'GIA CONG ACRYLIC'!#REF!)</f>
        <v>#REF!</v>
      </c>
      <c r="M17" s="2" t="e">
        <f>IF('GIA CONG ACRYLIC'!#REF!="","",'GIA CONG ACRYLIC'!#REF!)</f>
        <v>#REF!</v>
      </c>
      <c r="N17" s="3" t="str">
        <f>'GIA CONG ACRYLIC'!$H$7</f>
        <v>L2345</v>
      </c>
      <c r="O17" s="2" t="e">
        <f>IF('GIA CONG ACRYLIC'!#REF!+'GIA CONG ACRYLIC'!#REF!="","",'GIA CONG ACRYLIC'!#REF!+'GIA CONG ACRYLIC'!#REF!)</f>
        <v>#REF!</v>
      </c>
      <c r="P17" s="3" t="e">
        <f>IF('LENH GIA CONG TAM'!#REF!="","",'LENH GIA CONG TAM'!#REF!)</f>
        <v>#REF!</v>
      </c>
      <c r="Q17" s="3" t="e">
        <f>IF('LENH GIA CONG TAM'!#REF!="","",'LENH GIA CONG TAM'!#REF!)</f>
        <v>#REF!</v>
      </c>
      <c r="R17" s="107">
        <f>'GIA CONG ACRYLIC'!$M$6</f>
        <v>46147.447916666664</v>
      </c>
      <c r="S17" s="3">
        <f>'GIA CONG ACRYLIC'!$M$7</f>
        <v>3</v>
      </c>
      <c r="T17" s="107">
        <f>'GIA CONG ACRYLIC'!$M$8</f>
        <v>46150.447916666664</v>
      </c>
    </row>
    <row r="18" spans="1:20" x14ac:dyDescent="0.25">
      <c r="A18" s="2" t="e">
        <f>IF('GIA CONG ACRYLIC'!#REF!="","",'GIA CONG ACRYLIC'!#REF!)</f>
        <v>#REF!</v>
      </c>
      <c r="B18" s="2" t="e">
        <f>IF('GIA CONG ACRYLIC'!#REF!="","",'GIA CONG ACRYLIC'!#REF!)</f>
        <v>#REF!</v>
      </c>
      <c r="C18" s="2" t="e">
        <f>IF('GIA CONG ACRYLIC'!#REF!="","",'GIA CONG ACRYLIC'!#REF!)</f>
        <v>#REF!</v>
      </c>
      <c r="D18" s="2" t="e">
        <f>IF('GIA CONG ACRYLIC'!#REF!="","",'GIA CONG ACRYLIC'!#REF!)</f>
        <v>#REF!</v>
      </c>
      <c r="E18" s="2" t="e">
        <f>IF('GIA CONG ACRYLIC'!#REF!="","",'GIA CONG ACRYLIC'!#REF!)</f>
        <v>#REF!</v>
      </c>
      <c r="F18" s="2" t="e">
        <f>IF('GIA CONG ACRYLIC'!#REF!="","",'GIA CONG ACRYLIC'!#REF!)</f>
        <v>#REF!</v>
      </c>
      <c r="G18" s="2" t="e">
        <f>IF('GIA CONG ACRYLIC'!#REF!="","",'GIA CONG ACRYLIC'!#REF!)</f>
        <v>#REF!</v>
      </c>
      <c r="H18" s="2" t="e">
        <f>IF('GIA CONG ACRYLIC'!#REF!="","",'GIA CONG ACRYLIC'!#REF!)</f>
        <v>#REF!</v>
      </c>
      <c r="I18" s="2" t="e">
        <f>IF('GIA CONG ACRYLIC'!#REF!="","",'GIA CONG ACRYLIC'!#REF!)</f>
        <v>#REF!</v>
      </c>
      <c r="J18" s="2" t="e">
        <f>IF('GIA CONG ACRYLIC'!#REF!="","",'GIA CONG ACRYLIC'!#REF!)</f>
        <v>#REF!</v>
      </c>
      <c r="K18" s="2" t="e">
        <f>IF('GIA CONG ACRYLIC'!#REF!="","",'GIA CONG ACRYLIC'!#REF!)</f>
        <v>#REF!</v>
      </c>
      <c r="L18" s="2" t="e">
        <f>IF('GIA CONG ACRYLIC'!#REF!="","",'GIA CONG ACRYLIC'!#REF!)</f>
        <v>#REF!</v>
      </c>
      <c r="M18" s="2" t="e">
        <f>IF('GIA CONG ACRYLIC'!#REF!="","",'GIA CONG ACRYLIC'!#REF!)</f>
        <v>#REF!</v>
      </c>
      <c r="N18" s="3" t="str">
        <f>'GIA CONG ACRYLIC'!$H$7</f>
        <v>L2345</v>
      </c>
      <c r="O18" s="2" t="e">
        <f>IF('GIA CONG ACRYLIC'!#REF!+'GIA CONG ACRYLIC'!#REF!="","",'GIA CONG ACRYLIC'!#REF!+'GIA CONG ACRYLIC'!#REF!)</f>
        <v>#REF!</v>
      </c>
      <c r="P18" s="3" t="e">
        <f>IF('LENH GIA CONG TAM'!#REF!="","",'LENH GIA CONG TAM'!#REF!)</f>
        <v>#REF!</v>
      </c>
      <c r="Q18" s="3" t="e">
        <f>IF('LENH GIA CONG TAM'!#REF!="","",'LENH GIA CONG TAM'!#REF!)</f>
        <v>#REF!</v>
      </c>
      <c r="R18" s="107">
        <f>'GIA CONG ACRYLIC'!$M$6</f>
        <v>46147.447916666664</v>
      </c>
      <c r="S18" s="3">
        <f>'GIA CONG ACRYLIC'!$M$7</f>
        <v>3</v>
      </c>
      <c r="T18" s="107">
        <f>'GIA CONG ACRYLIC'!$M$8</f>
        <v>46150.447916666664</v>
      </c>
    </row>
    <row r="19" spans="1:20" x14ac:dyDescent="0.25">
      <c r="A19" s="2" t="e">
        <f>IF('GIA CONG ACRYLIC'!#REF!="","",'GIA CONG ACRYLIC'!#REF!)</f>
        <v>#REF!</v>
      </c>
      <c r="B19" s="2" t="e">
        <f>IF('GIA CONG ACRYLIC'!#REF!="","",'GIA CONG ACRYLIC'!#REF!)</f>
        <v>#REF!</v>
      </c>
      <c r="C19" s="2" t="e">
        <f>IF('GIA CONG ACRYLIC'!#REF!="","",'GIA CONG ACRYLIC'!#REF!)</f>
        <v>#REF!</v>
      </c>
      <c r="D19" s="2" t="e">
        <f>IF('GIA CONG ACRYLIC'!#REF!="","",'GIA CONG ACRYLIC'!#REF!)</f>
        <v>#REF!</v>
      </c>
      <c r="E19" s="2" t="e">
        <f>IF('GIA CONG ACRYLIC'!#REF!="","",'GIA CONG ACRYLIC'!#REF!)</f>
        <v>#REF!</v>
      </c>
      <c r="F19" s="2" t="e">
        <f>IF('GIA CONG ACRYLIC'!#REF!="","",'GIA CONG ACRYLIC'!#REF!)</f>
        <v>#REF!</v>
      </c>
      <c r="G19" s="2" t="e">
        <f>IF('GIA CONG ACRYLIC'!#REF!="","",'GIA CONG ACRYLIC'!#REF!)</f>
        <v>#REF!</v>
      </c>
      <c r="H19" s="2" t="e">
        <f>IF('GIA CONG ACRYLIC'!#REF!="","",'GIA CONG ACRYLIC'!#REF!)</f>
        <v>#REF!</v>
      </c>
      <c r="I19" s="2" t="e">
        <f>IF('GIA CONG ACRYLIC'!#REF!="","",'GIA CONG ACRYLIC'!#REF!)</f>
        <v>#REF!</v>
      </c>
      <c r="J19" s="2" t="e">
        <f>IF('GIA CONG ACRYLIC'!#REF!="","",'GIA CONG ACRYLIC'!#REF!)</f>
        <v>#REF!</v>
      </c>
      <c r="K19" s="2" t="e">
        <f>IF('GIA CONG ACRYLIC'!#REF!="","",'GIA CONG ACRYLIC'!#REF!)</f>
        <v>#REF!</v>
      </c>
      <c r="L19" s="2" t="e">
        <f>IF('GIA CONG ACRYLIC'!#REF!="","",'GIA CONG ACRYLIC'!#REF!)</f>
        <v>#REF!</v>
      </c>
      <c r="M19" s="2" t="e">
        <f>IF('GIA CONG ACRYLIC'!#REF!="","",'GIA CONG ACRYLIC'!#REF!)</f>
        <v>#REF!</v>
      </c>
      <c r="N19" s="3" t="str">
        <f>'GIA CONG ACRYLIC'!$H$7</f>
        <v>L2345</v>
      </c>
      <c r="O19" s="2" t="e">
        <f>IF('GIA CONG ACRYLIC'!#REF!+'GIA CONG ACRYLIC'!#REF!="","",'GIA CONG ACRYLIC'!#REF!+'GIA CONG ACRYLIC'!#REF!)</f>
        <v>#REF!</v>
      </c>
      <c r="P19" s="3" t="e">
        <f>IF('LENH GIA CONG TAM'!#REF!="","",'LENH GIA CONG TAM'!#REF!)</f>
        <v>#REF!</v>
      </c>
      <c r="Q19" s="3" t="e">
        <f>IF('LENH GIA CONG TAM'!#REF!="","",'LENH GIA CONG TAM'!#REF!)</f>
        <v>#REF!</v>
      </c>
      <c r="R19" s="107">
        <f>'GIA CONG ACRYLIC'!$M$6</f>
        <v>46147.447916666664</v>
      </c>
      <c r="S19" s="3">
        <f>'GIA CONG ACRYLIC'!$M$7</f>
        <v>3</v>
      </c>
      <c r="T19" s="107">
        <f>'GIA CONG ACRYLIC'!$M$8</f>
        <v>46150.447916666664</v>
      </c>
    </row>
    <row r="20" spans="1:20" x14ac:dyDescent="0.25">
      <c r="A20" s="2" t="e">
        <f>IF('GIA CONG ACRYLIC'!#REF!="","",'GIA CONG ACRYLIC'!#REF!)</f>
        <v>#REF!</v>
      </c>
      <c r="B20" s="2" t="e">
        <f>IF('GIA CONG ACRYLIC'!#REF!="","",'GIA CONG ACRYLIC'!#REF!)</f>
        <v>#REF!</v>
      </c>
      <c r="C20" s="2" t="e">
        <f>IF('GIA CONG ACRYLIC'!#REF!="","",'GIA CONG ACRYLIC'!#REF!)</f>
        <v>#REF!</v>
      </c>
      <c r="D20" s="2" t="e">
        <f>IF('GIA CONG ACRYLIC'!#REF!="","",'GIA CONG ACRYLIC'!#REF!)</f>
        <v>#REF!</v>
      </c>
      <c r="E20" s="2" t="e">
        <f>IF('GIA CONG ACRYLIC'!#REF!="","",'GIA CONG ACRYLIC'!#REF!)</f>
        <v>#REF!</v>
      </c>
      <c r="F20" s="2" t="e">
        <f>IF('GIA CONG ACRYLIC'!#REF!="","",'GIA CONG ACRYLIC'!#REF!)</f>
        <v>#REF!</v>
      </c>
      <c r="G20" s="2" t="e">
        <f>IF('GIA CONG ACRYLIC'!#REF!="","",'GIA CONG ACRYLIC'!#REF!)</f>
        <v>#REF!</v>
      </c>
      <c r="H20" s="2" t="e">
        <f>IF('GIA CONG ACRYLIC'!#REF!="","",'GIA CONG ACRYLIC'!#REF!)</f>
        <v>#REF!</v>
      </c>
      <c r="I20" s="2" t="e">
        <f>IF('GIA CONG ACRYLIC'!#REF!="","",'GIA CONG ACRYLIC'!#REF!)</f>
        <v>#REF!</v>
      </c>
      <c r="J20" s="2" t="e">
        <f>IF('GIA CONG ACRYLIC'!#REF!="","",'GIA CONG ACRYLIC'!#REF!)</f>
        <v>#REF!</v>
      </c>
      <c r="K20" s="2" t="e">
        <f>IF('GIA CONG ACRYLIC'!#REF!="","",'GIA CONG ACRYLIC'!#REF!)</f>
        <v>#REF!</v>
      </c>
      <c r="L20" s="2" t="e">
        <f>IF('GIA CONG ACRYLIC'!#REF!="","",'GIA CONG ACRYLIC'!#REF!)</f>
        <v>#REF!</v>
      </c>
      <c r="M20" s="2" t="e">
        <f>IF('GIA CONG ACRYLIC'!#REF!="","",'GIA CONG ACRYLIC'!#REF!)</f>
        <v>#REF!</v>
      </c>
      <c r="N20" s="3" t="str">
        <f>'GIA CONG ACRYLIC'!$H$7</f>
        <v>L2345</v>
      </c>
      <c r="O20" s="2" t="e">
        <f>IF('GIA CONG ACRYLIC'!#REF!+'GIA CONG ACRYLIC'!#REF!="","",'GIA CONG ACRYLIC'!#REF!+'GIA CONG ACRYLIC'!#REF!)</f>
        <v>#REF!</v>
      </c>
      <c r="P20" s="3" t="e">
        <f>IF('LENH GIA CONG TAM'!#REF!="","",'LENH GIA CONG TAM'!#REF!)</f>
        <v>#REF!</v>
      </c>
      <c r="Q20" s="3" t="e">
        <f>IF('LENH GIA CONG TAM'!#REF!="","",'LENH GIA CONG TAM'!#REF!)</f>
        <v>#REF!</v>
      </c>
      <c r="R20" s="107">
        <f>'GIA CONG ACRYLIC'!$M$6</f>
        <v>46147.447916666664</v>
      </c>
      <c r="S20" s="3">
        <f>'GIA CONG ACRYLIC'!$M$7</f>
        <v>3</v>
      </c>
      <c r="T20" s="107">
        <f>'GIA CONG ACRYLIC'!$M$8</f>
        <v>46150.447916666664</v>
      </c>
    </row>
    <row r="21" spans="1:20" x14ac:dyDescent="0.25">
      <c r="A21" s="2" t="e">
        <f>IF('GIA CONG ACRYLIC'!#REF!="","",'GIA CONG ACRYLIC'!#REF!)</f>
        <v>#REF!</v>
      </c>
      <c r="B21" s="2" t="e">
        <f>IF('GIA CONG ACRYLIC'!#REF!="","",'GIA CONG ACRYLIC'!#REF!)</f>
        <v>#REF!</v>
      </c>
      <c r="C21" s="2" t="e">
        <f>IF('GIA CONG ACRYLIC'!#REF!="","",'GIA CONG ACRYLIC'!#REF!)</f>
        <v>#REF!</v>
      </c>
      <c r="D21" s="2" t="e">
        <f>IF('GIA CONG ACRYLIC'!#REF!="","",'GIA CONG ACRYLIC'!#REF!)</f>
        <v>#REF!</v>
      </c>
      <c r="E21" s="2" t="e">
        <f>IF('GIA CONG ACRYLIC'!#REF!="","",'GIA CONG ACRYLIC'!#REF!)</f>
        <v>#REF!</v>
      </c>
      <c r="F21" s="2" t="e">
        <f>IF('GIA CONG ACRYLIC'!#REF!="","",'GIA CONG ACRYLIC'!#REF!)</f>
        <v>#REF!</v>
      </c>
      <c r="G21" s="2" t="e">
        <f>IF('GIA CONG ACRYLIC'!#REF!="","",'GIA CONG ACRYLIC'!#REF!)</f>
        <v>#REF!</v>
      </c>
      <c r="H21" s="2" t="e">
        <f>IF('GIA CONG ACRYLIC'!#REF!="","",'GIA CONG ACRYLIC'!#REF!)</f>
        <v>#REF!</v>
      </c>
      <c r="I21" s="2" t="e">
        <f>IF('GIA CONG ACRYLIC'!#REF!="","",'GIA CONG ACRYLIC'!#REF!)</f>
        <v>#REF!</v>
      </c>
      <c r="J21" s="2" t="e">
        <f>IF('GIA CONG ACRYLIC'!#REF!="","",'GIA CONG ACRYLIC'!#REF!)</f>
        <v>#REF!</v>
      </c>
      <c r="K21" s="2" t="e">
        <f>IF('GIA CONG ACRYLIC'!#REF!="","",'GIA CONG ACRYLIC'!#REF!)</f>
        <v>#REF!</v>
      </c>
      <c r="L21" s="2" t="e">
        <f>IF('GIA CONG ACRYLIC'!#REF!="","",'GIA CONG ACRYLIC'!#REF!)</f>
        <v>#REF!</v>
      </c>
      <c r="M21" s="2" t="e">
        <f>IF('GIA CONG ACRYLIC'!#REF!="","",'GIA CONG ACRYLIC'!#REF!)</f>
        <v>#REF!</v>
      </c>
      <c r="N21" s="3" t="str">
        <f>'GIA CONG ACRYLIC'!$H$7</f>
        <v>L2345</v>
      </c>
      <c r="O21" s="2" t="e">
        <f>IF('GIA CONG ACRYLIC'!#REF!+'GIA CONG ACRYLIC'!#REF!="","",'GIA CONG ACRYLIC'!#REF!+'GIA CONG ACRYLIC'!#REF!)</f>
        <v>#REF!</v>
      </c>
      <c r="P21" s="3" t="e">
        <f>IF('LENH GIA CONG TAM'!#REF!="","",'LENH GIA CONG TAM'!#REF!)</f>
        <v>#REF!</v>
      </c>
      <c r="Q21" s="3" t="e">
        <f>IF('LENH GIA CONG TAM'!#REF!="","",'LENH GIA CONG TAM'!#REF!)</f>
        <v>#REF!</v>
      </c>
      <c r="R21" s="107">
        <f>'GIA CONG ACRYLIC'!$M$6</f>
        <v>46147.447916666664</v>
      </c>
      <c r="S21" s="3">
        <f>'GIA CONG ACRYLIC'!$M$7</f>
        <v>3</v>
      </c>
      <c r="T21" s="107">
        <f>'GIA CONG ACRYLIC'!$M$8</f>
        <v>46150.447916666664</v>
      </c>
    </row>
    <row r="22" spans="1:20" x14ac:dyDescent="0.25">
      <c r="A22" s="2" t="e">
        <f>IF('GIA CONG ACRYLIC'!#REF!="","",'GIA CONG ACRYLIC'!#REF!)</f>
        <v>#REF!</v>
      </c>
      <c r="B22" s="2" t="e">
        <f>IF('GIA CONG ACRYLIC'!#REF!="","",'GIA CONG ACRYLIC'!#REF!)</f>
        <v>#REF!</v>
      </c>
      <c r="C22" s="2" t="e">
        <f>IF('GIA CONG ACRYLIC'!#REF!="","",'GIA CONG ACRYLIC'!#REF!)</f>
        <v>#REF!</v>
      </c>
      <c r="D22" s="2" t="e">
        <f>IF('GIA CONG ACRYLIC'!#REF!="","",'GIA CONG ACRYLIC'!#REF!)</f>
        <v>#REF!</v>
      </c>
      <c r="E22" s="2" t="e">
        <f>IF('GIA CONG ACRYLIC'!#REF!="","",'GIA CONG ACRYLIC'!#REF!)</f>
        <v>#REF!</v>
      </c>
      <c r="F22" s="2" t="e">
        <f>IF('GIA CONG ACRYLIC'!#REF!="","",'GIA CONG ACRYLIC'!#REF!)</f>
        <v>#REF!</v>
      </c>
      <c r="G22" s="2" t="e">
        <f>IF('GIA CONG ACRYLIC'!#REF!="","",'GIA CONG ACRYLIC'!#REF!)</f>
        <v>#REF!</v>
      </c>
      <c r="H22" s="2" t="e">
        <f>IF('GIA CONG ACRYLIC'!#REF!="","",'GIA CONG ACRYLIC'!#REF!)</f>
        <v>#REF!</v>
      </c>
      <c r="I22" s="2" t="e">
        <f>IF('GIA CONG ACRYLIC'!#REF!="","",'GIA CONG ACRYLIC'!#REF!)</f>
        <v>#REF!</v>
      </c>
      <c r="J22" s="2" t="e">
        <f>IF('GIA CONG ACRYLIC'!#REF!="","",'GIA CONG ACRYLIC'!#REF!)</f>
        <v>#REF!</v>
      </c>
      <c r="K22" s="2" t="e">
        <f>IF('GIA CONG ACRYLIC'!#REF!="","",'GIA CONG ACRYLIC'!#REF!)</f>
        <v>#REF!</v>
      </c>
      <c r="L22" s="2" t="e">
        <f>IF('GIA CONG ACRYLIC'!#REF!="","",'GIA CONG ACRYLIC'!#REF!)</f>
        <v>#REF!</v>
      </c>
      <c r="M22" s="2" t="e">
        <f>IF('GIA CONG ACRYLIC'!#REF!="","",'GIA CONG ACRYLIC'!#REF!)</f>
        <v>#REF!</v>
      </c>
      <c r="N22" s="3" t="str">
        <f>'GIA CONG ACRYLIC'!$H$7</f>
        <v>L2345</v>
      </c>
      <c r="O22" s="2" t="e">
        <f>IF('GIA CONG ACRYLIC'!#REF!+'GIA CONG ACRYLIC'!#REF!="","",'GIA CONG ACRYLIC'!#REF!+'GIA CONG ACRYLIC'!#REF!)</f>
        <v>#REF!</v>
      </c>
      <c r="P22" s="3" t="e">
        <f>IF('LENH GIA CONG TAM'!#REF!="","",'LENH GIA CONG TAM'!#REF!)</f>
        <v>#REF!</v>
      </c>
      <c r="Q22" s="3" t="e">
        <f>IF('LENH GIA CONG TAM'!#REF!="","",'LENH GIA CONG TAM'!#REF!)</f>
        <v>#REF!</v>
      </c>
      <c r="R22" s="107">
        <f>'GIA CONG ACRYLIC'!$M$6</f>
        <v>46147.447916666664</v>
      </c>
      <c r="S22" s="3">
        <f>'GIA CONG ACRYLIC'!$M$7</f>
        <v>3</v>
      </c>
      <c r="T22" s="107">
        <f>'GIA CONG ACRYLIC'!$M$8</f>
        <v>46150.447916666664</v>
      </c>
    </row>
    <row r="23" spans="1:20" x14ac:dyDescent="0.25">
      <c r="A23" s="2" t="e">
        <f>IF('GIA CONG ACRYLIC'!#REF!="","",'GIA CONG ACRYLIC'!#REF!)</f>
        <v>#REF!</v>
      </c>
      <c r="B23" s="2" t="e">
        <f>IF('GIA CONG ACRYLIC'!#REF!="","",'GIA CONG ACRYLIC'!#REF!)</f>
        <v>#REF!</v>
      </c>
      <c r="C23" s="2" t="e">
        <f>IF('GIA CONG ACRYLIC'!#REF!="","",'GIA CONG ACRYLIC'!#REF!)</f>
        <v>#REF!</v>
      </c>
      <c r="D23" s="2" t="e">
        <f>IF('GIA CONG ACRYLIC'!#REF!="","",'GIA CONG ACRYLIC'!#REF!)</f>
        <v>#REF!</v>
      </c>
      <c r="E23" s="2" t="e">
        <f>IF('GIA CONG ACRYLIC'!#REF!="","",'GIA CONG ACRYLIC'!#REF!)</f>
        <v>#REF!</v>
      </c>
      <c r="F23" s="2" t="e">
        <f>IF('GIA CONG ACRYLIC'!#REF!="","",'GIA CONG ACRYLIC'!#REF!)</f>
        <v>#REF!</v>
      </c>
      <c r="G23" s="2" t="e">
        <f>IF('GIA CONG ACRYLIC'!#REF!="","",'GIA CONG ACRYLIC'!#REF!)</f>
        <v>#REF!</v>
      </c>
      <c r="H23" s="2" t="e">
        <f>IF('GIA CONG ACRYLIC'!#REF!="","",'GIA CONG ACRYLIC'!#REF!)</f>
        <v>#REF!</v>
      </c>
      <c r="I23" s="2" t="e">
        <f>IF('GIA CONG ACRYLIC'!#REF!="","",'GIA CONG ACRYLIC'!#REF!)</f>
        <v>#REF!</v>
      </c>
      <c r="J23" s="2" t="e">
        <f>IF('GIA CONG ACRYLIC'!#REF!="","",'GIA CONG ACRYLIC'!#REF!)</f>
        <v>#REF!</v>
      </c>
      <c r="K23" s="2" t="e">
        <f>IF('GIA CONG ACRYLIC'!#REF!="","",'GIA CONG ACRYLIC'!#REF!)</f>
        <v>#REF!</v>
      </c>
      <c r="L23" s="2" t="e">
        <f>IF('GIA CONG ACRYLIC'!#REF!="","",'GIA CONG ACRYLIC'!#REF!)</f>
        <v>#REF!</v>
      </c>
      <c r="M23" s="2" t="e">
        <f>IF('GIA CONG ACRYLIC'!#REF!="","",'GIA CONG ACRYLIC'!#REF!)</f>
        <v>#REF!</v>
      </c>
      <c r="N23" s="3" t="str">
        <f>'GIA CONG ACRYLIC'!$H$7</f>
        <v>L2345</v>
      </c>
      <c r="O23" s="2" t="e">
        <f>IF('GIA CONG ACRYLIC'!#REF!+'GIA CONG ACRYLIC'!#REF!="","",'GIA CONG ACRYLIC'!#REF!+'GIA CONG ACRYLIC'!#REF!)</f>
        <v>#REF!</v>
      </c>
      <c r="P23" s="3" t="e">
        <f>IF('LENH GIA CONG TAM'!#REF!="","",'LENH GIA CONG TAM'!#REF!)</f>
        <v>#REF!</v>
      </c>
      <c r="Q23" s="3" t="e">
        <f>IF('LENH GIA CONG TAM'!#REF!="","",'LENH GIA CONG TAM'!#REF!)</f>
        <v>#REF!</v>
      </c>
      <c r="R23" s="107">
        <f>'GIA CONG ACRYLIC'!$M$6</f>
        <v>46147.447916666664</v>
      </c>
      <c r="S23" s="3">
        <f>'GIA CONG ACRYLIC'!$M$7</f>
        <v>3</v>
      </c>
      <c r="T23" s="107">
        <f>'GIA CONG ACRYLIC'!$M$8</f>
        <v>46150.447916666664</v>
      </c>
    </row>
    <row r="24" spans="1:20" x14ac:dyDescent="0.25">
      <c r="A24" s="2" t="e">
        <f>IF('GIA CONG ACRYLIC'!#REF!="","",'GIA CONG ACRYLIC'!#REF!)</f>
        <v>#REF!</v>
      </c>
      <c r="B24" s="2" t="e">
        <f>IF('GIA CONG ACRYLIC'!#REF!="","",'GIA CONG ACRYLIC'!#REF!)</f>
        <v>#REF!</v>
      </c>
      <c r="C24" s="2" t="e">
        <f>IF('GIA CONG ACRYLIC'!#REF!="","",'GIA CONG ACRYLIC'!#REF!)</f>
        <v>#REF!</v>
      </c>
      <c r="D24" s="2" t="e">
        <f>IF('GIA CONG ACRYLIC'!#REF!="","",'GIA CONG ACRYLIC'!#REF!)</f>
        <v>#REF!</v>
      </c>
      <c r="E24" s="2" t="e">
        <f>IF('GIA CONG ACRYLIC'!#REF!="","",'GIA CONG ACRYLIC'!#REF!)</f>
        <v>#REF!</v>
      </c>
      <c r="F24" s="2" t="e">
        <f>IF('GIA CONG ACRYLIC'!#REF!="","",'GIA CONG ACRYLIC'!#REF!)</f>
        <v>#REF!</v>
      </c>
      <c r="G24" s="2" t="e">
        <f>IF('GIA CONG ACRYLIC'!#REF!="","",'GIA CONG ACRYLIC'!#REF!)</f>
        <v>#REF!</v>
      </c>
      <c r="H24" s="2" t="e">
        <f>IF('GIA CONG ACRYLIC'!#REF!="","",'GIA CONG ACRYLIC'!#REF!)</f>
        <v>#REF!</v>
      </c>
      <c r="I24" s="2" t="e">
        <f>IF('GIA CONG ACRYLIC'!#REF!="","",'GIA CONG ACRYLIC'!#REF!)</f>
        <v>#REF!</v>
      </c>
      <c r="J24" s="2" t="e">
        <f>IF('GIA CONG ACRYLIC'!#REF!="","",'GIA CONG ACRYLIC'!#REF!)</f>
        <v>#REF!</v>
      </c>
      <c r="K24" s="2" t="e">
        <f>IF('GIA CONG ACRYLIC'!#REF!="","",'GIA CONG ACRYLIC'!#REF!)</f>
        <v>#REF!</v>
      </c>
      <c r="L24" s="2" t="e">
        <f>IF('GIA CONG ACRYLIC'!#REF!="","",'GIA CONG ACRYLIC'!#REF!)</f>
        <v>#REF!</v>
      </c>
      <c r="M24" s="2" t="e">
        <f>IF('GIA CONG ACRYLIC'!#REF!="","",'GIA CONG ACRYLIC'!#REF!)</f>
        <v>#REF!</v>
      </c>
      <c r="N24" s="3" t="str">
        <f>'GIA CONG ACRYLIC'!$H$7</f>
        <v>L2345</v>
      </c>
      <c r="O24" s="2" t="e">
        <f>IF('GIA CONG ACRYLIC'!#REF!+'GIA CONG ACRYLIC'!#REF!="","",'GIA CONG ACRYLIC'!#REF!+'GIA CONG ACRYLIC'!#REF!)</f>
        <v>#REF!</v>
      </c>
      <c r="P24" s="3" t="e">
        <f>IF('LENH GIA CONG TAM'!#REF!="","",'LENH GIA CONG TAM'!#REF!)</f>
        <v>#REF!</v>
      </c>
      <c r="Q24" s="3" t="e">
        <f>IF('LENH GIA CONG TAM'!#REF!="","",'LENH GIA CONG TAM'!#REF!)</f>
        <v>#REF!</v>
      </c>
      <c r="R24" s="107">
        <f>'GIA CONG ACRYLIC'!$M$6</f>
        <v>46147.447916666664</v>
      </c>
      <c r="S24" s="3">
        <f>'GIA CONG ACRYLIC'!$M$7</f>
        <v>3</v>
      </c>
      <c r="T24" s="107">
        <f>'GIA CONG ACRYLIC'!$M$8</f>
        <v>46150.447916666664</v>
      </c>
    </row>
    <row r="25" spans="1:20" x14ac:dyDescent="0.25">
      <c r="A25" s="2" t="e">
        <f>IF('GIA CONG ACRYLIC'!#REF!="","",'GIA CONG ACRYLIC'!#REF!)</f>
        <v>#REF!</v>
      </c>
      <c r="B25" s="2" t="e">
        <f>IF('GIA CONG ACRYLIC'!#REF!="","",'GIA CONG ACRYLIC'!#REF!)</f>
        <v>#REF!</v>
      </c>
      <c r="C25" s="2" t="e">
        <f>IF('GIA CONG ACRYLIC'!#REF!="","",'GIA CONG ACRYLIC'!#REF!)</f>
        <v>#REF!</v>
      </c>
      <c r="D25" s="2" t="e">
        <f>IF('GIA CONG ACRYLIC'!#REF!="","",'GIA CONG ACRYLIC'!#REF!)</f>
        <v>#REF!</v>
      </c>
      <c r="E25" s="2" t="e">
        <f>IF('GIA CONG ACRYLIC'!#REF!="","",'GIA CONG ACRYLIC'!#REF!)</f>
        <v>#REF!</v>
      </c>
      <c r="F25" s="2" t="e">
        <f>IF('GIA CONG ACRYLIC'!#REF!="","",'GIA CONG ACRYLIC'!#REF!)</f>
        <v>#REF!</v>
      </c>
      <c r="G25" s="2" t="e">
        <f>IF('GIA CONG ACRYLIC'!#REF!="","",'GIA CONG ACRYLIC'!#REF!)</f>
        <v>#REF!</v>
      </c>
      <c r="H25" s="2" t="e">
        <f>IF('GIA CONG ACRYLIC'!#REF!="","",'GIA CONG ACRYLIC'!#REF!)</f>
        <v>#REF!</v>
      </c>
      <c r="I25" s="2" t="e">
        <f>IF('GIA CONG ACRYLIC'!#REF!="","",'GIA CONG ACRYLIC'!#REF!)</f>
        <v>#REF!</v>
      </c>
      <c r="J25" s="2" t="e">
        <f>IF('GIA CONG ACRYLIC'!#REF!="","",'GIA CONG ACRYLIC'!#REF!)</f>
        <v>#REF!</v>
      </c>
      <c r="K25" s="2" t="e">
        <f>IF('GIA CONG ACRYLIC'!#REF!="","",'GIA CONG ACRYLIC'!#REF!)</f>
        <v>#REF!</v>
      </c>
      <c r="L25" s="2" t="e">
        <f>IF('GIA CONG ACRYLIC'!#REF!="","",'GIA CONG ACRYLIC'!#REF!)</f>
        <v>#REF!</v>
      </c>
      <c r="M25" s="2" t="e">
        <f>IF('GIA CONG ACRYLIC'!#REF!="","",'GIA CONG ACRYLIC'!#REF!)</f>
        <v>#REF!</v>
      </c>
      <c r="N25" s="3" t="str">
        <f>'GIA CONG ACRYLIC'!$H$7</f>
        <v>L2345</v>
      </c>
      <c r="O25" s="2" t="e">
        <f>IF('GIA CONG ACRYLIC'!#REF!+'GIA CONG ACRYLIC'!#REF!="","",'GIA CONG ACRYLIC'!#REF!+'GIA CONG ACRYLIC'!#REF!)</f>
        <v>#REF!</v>
      </c>
      <c r="P25" s="3" t="e">
        <f>IF('LENH GIA CONG TAM'!#REF!="","",'LENH GIA CONG TAM'!#REF!)</f>
        <v>#REF!</v>
      </c>
      <c r="Q25" s="3" t="e">
        <f>IF('LENH GIA CONG TAM'!#REF!="","",'LENH GIA CONG TAM'!#REF!)</f>
        <v>#REF!</v>
      </c>
      <c r="R25" s="107">
        <f>'GIA CONG ACRYLIC'!$M$6</f>
        <v>46147.447916666664</v>
      </c>
      <c r="S25" s="3">
        <f>'GIA CONG ACRYLIC'!$M$7</f>
        <v>3</v>
      </c>
      <c r="T25" s="107">
        <f>'GIA CONG ACRYLIC'!$M$8</f>
        <v>46150.447916666664</v>
      </c>
    </row>
    <row r="26" spans="1:20" x14ac:dyDescent="0.25">
      <c r="A26" s="2" t="e">
        <f>IF('GIA CONG ACRYLIC'!#REF!="","",'GIA CONG ACRYLIC'!#REF!)</f>
        <v>#REF!</v>
      </c>
      <c r="B26" s="2" t="e">
        <f>IF('GIA CONG ACRYLIC'!#REF!="","",'GIA CONG ACRYLIC'!#REF!)</f>
        <v>#REF!</v>
      </c>
      <c r="C26" s="2" t="e">
        <f>IF('GIA CONG ACRYLIC'!#REF!="","",'GIA CONG ACRYLIC'!#REF!)</f>
        <v>#REF!</v>
      </c>
      <c r="D26" s="2" t="e">
        <f>IF('GIA CONG ACRYLIC'!#REF!="","",'GIA CONG ACRYLIC'!#REF!)</f>
        <v>#REF!</v>
      </c>
      <c r="E26" s="2" t="e">
        <f>IF('GIA CONG ACRYLIC'!#REF!="","",'GIA CONG ACRYLIC'!#REF!)</f>
        <v>#REF!</v>
      </c>
      <c r="F26" s="2" t="e">
        <f>IF('GIA CONG ACRYLIC'!#REF!="","",'GIA CONG ACRYLIC'!#REF!)</f>
        <v>#REF!</v>
      </c>
      <c r="G26" s="2" t="e">
        <f>IF('GIA CONG ACRYLIC'!#REF!="","",'GIA CONG ACRYLIC'!#REF!)</f>
        <v>#REF!</v>
      </c>
      <c r="H26" s="2" t="e">
        <f>IF('GIA CONG ACRYLIC'!#REF!="","",'GIA CONG ACRYLIC'!#REF!)</f>
        <v>#REF!</v>
      </c>
      <c r="I26" s="2" t="e">
        <f>IF('GIA CONG ACRYLIC'!#REF!="","",'GIA CONG ACRYLIC'!#REF!)</f>
        <v>#REF!</v>
      </c>
      <c r="J26" s="2" t="e">
        <f>IF('GIA CONG ACRYLIC'!#REF!="","",'GIA CONG ACRYLIC'!#REF!)</f>
        <v>#REF!</v>
      </c>
      <c r="K26" s="2" t="e">
        <f>IF('GIA CONG ACRYLIC'!#REF!="","",'GIA CONG ACRYLIC'!#REF!)</f>
        <v>#REF!</v>
      </c>
      <c r="L26" s="2" t="e">
        <f>IF('GIA CONG ACRYLIC'!#REF!="","",'GIA CONG ACRYLIC'!#REF!)</f>
        <v>#REF!</v>
      </c>
      <c r="M26" s="2" t="e">
        <f>IF('GIA CONG ACRYLIC'!#REF!="","",'GIA CONG ACRYLIC'!#REF!)</f>
        <v>#REF!</v>
      </c>
      <c r="N26" s="3" t="str">
        <f>'GIA CONG ACRYLIC'!$H$7</f>
        <v>L2345</v>
      </c>
      <c r="O26" s="2" t="e">
        <f>IF('GIA CONG ACRYLIC'!#REF!+'GIA CONG ACRYLIC'!#REF!="","",'GIA CONG ACRYLIC'!#REF!+'GIA CONG ACRYLIC'!#REF!)</f>
        <v>#REF!</v>
      </c>
      <c r="P26" s="3" t="e">
        <f>IF('LENH GIA CONG TAM'!#REF!="","",'LENH GIA CONG TAM'!#REF!)</f>
        <v>#REF!</v>
      </c>
      <c r="Q26" s="3" t="e">
        <f>IF('LENH GIA CONG TAM'!#REF!="","",'LENH GIA CONG TAM'!#REF!)</f>
        <v>#REF!</v>
      </c>
      <c r="R26" s="107">
        <f>'GIA CONG ACRYLIC'!$M$6</f>
        <v>46147.447916666664</v>
      </c>
      <c r="S26" s="3">
        <f>'GIA CONG ACRYLIC'!$M$7</f>
        <v>3</v>
      </c>
      <c r="T26" s="107">
        <f>'GIA CONG ACRYLIC'!$M$8</f>
        <v>46150.447916666664</v>
      </c>
    </row>
    <row r="27" spans="1:20" x14ac:dyDescent="0.25">
      <c r="A27" s="2" t="e">
        <f>IF('GIA CONG ACRYLIC'!#REF!="","",'GIA CONG ACRYLIC'!#REF!)</f>
        <v>#REF!</v>
      </c>
      <c r="B27" s="2" t="e">
        <f>IF('GIA CONG ACRYLIC'!#REF!="","",'GIA CONG ACRYLIC'!#REF!)</f>
        <v>#REF!</v>
      </c>
      <c r="C27" s="2" t="e">
        <f>IF('GIA CONG ACRYLIC'!#REF!="","",'GIA CONG ACRYLIC'!#REF!)</f>
        <v>#REF!</v>
      </c>
      <c r="D27" s="2" t="e">
        <f>IF('GIA CONG ACRYLIC'!#REF!="","",'GIA CONG ACRYLIC'!#REF!)</f>
        <v>#REF!</v>
      </c>
      <c r="E27" s="2" t="e">
        <f>IF('GIA CONG ACRYLIC'!#REF!="","",'GIA CONG ACRYLIC'!#REF!)</f>
        <v>#REF!</v>
      </c>
      <c r="F27" s="2" t="e">
        <f>IF('GIA CONG ACRYLIC'!#REF!="","",'GIA CONG ACRYLIC'!#REF!)</f>
        <v>#REF!</v>
      </c>
      <c r="G27" s="2" t="e">
        <f>IF('GIA CONG ACRYLIC'!#REF!="","",'GIA CONG ACRYLIC'!#REF!)</f>
        <v>#REF!</v>
      </c>
      <c r="H27" s="2" t="e">
        <f>IF('GIA CONG ACRYLIC'!#REF!="","",'GIA CONG ACRYLIC'!#REF!)</f>
        <v>#REF!</v>
      </c>
      <c r="I27" s="2" t="e">
        <f>IF('GIA CONG ACRYLIC'!#REF!="","",'GIA CONG ACRYLIC'!#REF!)</f>
        <v>#REF!</v>
      </c>
      <c r="J27" s="2" t="e">
        <f>IF('GIA CONG ACRYLIC'!#REF!="","",'GIA CONG ACRYLIC'!#REF!)</f>
        <v>#REF!</v>
      </c>
      <c r="K27" s="2" t="e">
        <f>IF('GIA CONG ACRYLIC'!#REF!="","",'GIA CONG ACRYLIC'!#REF!)</f>
        <v>#REF!</v>
      </c>
      <c r="L27" s="2" t="e">
        <f>IF('GIA CONG ACRYLIC'!#REF!="","",'GIA CONG ACRYLIC'!#REF!)</f>
        <v>#REF!</v>
      </c>
      <c r="M27" s="2" t="e">
        <f>IF('GIA CONG ACRYLIC'!#REF!="","",'GIA CONG ACRYLIC'!#REF!)</f>
        <v>#REF!</v>
      </c>
      <c r="N27" s="3" t="str">
        <f>'GIA CONG ACRYLIC'!$H$7</f>
        <v>L2345</v>
      </c>
      <c r="O27" s="2" t="e">
        <f>IF('GIA CONG ACRYLIC'!#REF!+'GIA CONG ACRYLIC'!#REF!="","",'GIA CONG ACRYLIC'!#REF!+'GIA CONG ACRYLIC'!#REF!)</f>
        <v>#REF!</v>
      </c>
      <c r="P27" s="3" t="e">
        <f>IF('LENH GIA CONG TAM'!#REF!="","",'LENH GIA CONG TAM'!#REF!)</f>
        <v>#REF!</v>
      </c>
      <c r="Q27" s="3" t="e">
        <f>IF('LENH GIA CONG TAM'!#REF!="","",'LENH GIA CONG TAM'!#REF!)</f>
        <v>#REF!</v>
      </c>
      <c r="R27" s="107">
        <f>'GIA CONG ACRYLIC'!$M$6</f>
        <v>46147.447916666664</v>
      </c>
      <c r="S27" s="3">
        <f>'GIA CONG ACRYLIC'!$M$7</f>
        <v>3</v>
      </c>
      <c r="T27" s="107">
        <f>'GIA CONG ACRYLIC'!$M$8</f>
        <v>46150.447916666664</v>
      </c>
    </row>
    <row r="28" spans="1:20" x14ac:dyDescent="0.25">
      <c r="A28" s="2" t="e">
        <f>IF('GIA CONG ACRYLIC'!#REF!="","",'GIA CONG ACRYLIC'!#REF!)</f>
        <v>#REF!</v>
      </c>
      <c r="B28" s="2" t="e">
        <f>IF('GIA CONG ACRYLIC'!#REF!="","",'GIA CONG ACRYLIC'!#REF!)</f>
        <v>#REF!</v>
      </c>
      <c r="C28" s="2" t="e">
        <f>IF('GIA CONG ACRYLIC'!#REF!="","",'GIA CONG ACRYLIC'!#REF!)</f>
        <v>#REF!</v>
      </c>
      <c r="D28" s="2" t="e">
        <f>IF('GIA CONG ACRYLIC'!#REF!="","",'GIA CONG ACRYLIC'!#REF!)</f>
        <v>#REF!</v>
      </c>
      <c r="E28" s="2" t="e">
        <f>IF('GIA CONG ACRYLIC'!#REF!="","",'GIA CONG ACRYLIC'!#REF!)</f>
        <v>#REF!</v>
      </c>
      <c r="F28" s="2" t="e">
        <f>IF('GIA CONG ACRYLIC'!#REF!="","",'GIA CONG ACRYLIC'!#REF!)</f>
        <v>#REF!</v>
      </c>
      <c r="G28" s="2" t="e">
        <f>IF('GIA CONG ACRYLIC'!#REF!="","",'GIA CONG ACRYLIC'!#REF!)</f>
        <v>#REF!</v>
      </c>
      <c r="H28" s="2" t="e">
        <f>IF('GIA CONG ACRYLIC'!#REF!="","",'GIA CONG ACRYLIC'!#REF!)</f>
        <v>#REF!</v>
      </c>
      <c r="I28" s="2" t="e">
        <f>IF('GIA CONG ACRYLIC'!#REF!="","",'GIA CONG ACRYLIC'!#REF!)</f>
        <v>#REF!</v>
      </c>
      <c r="J28" s="2" t="e">
        <f>IF('GIA CONG ACRYLIC'!#REF!="","",'GIA CONG ACRYLIC'!#REF!)</f>
        <v>#REF!</v>
      </c>
      <c r="K28" s="2" t="e">
        <f>IF('GIA CONG ACRYLIC'!#REF!="","",'GIA CONG ACRYLIC'!#REF!)</f>
        <v>#REF!</v>
      </c>
      <c r="L28" s="2" t="e">
        <f>IF('GIA CONG ACRYLIC'!#REF!="","",'GIA CONG ACRYLIC'!#REF!)</f>
        <v>#REF!</v>
      </c>
      <c r="M28" s="2" t="e">
        <f>IF('GIA CONG ACRYLIC'!#REF!="","",'GIA CONG ACRYLIC'!#REF!)</f>
        <v>#REF!</v>
      </c>
      <c r="N28" s="3" t="str">
        <f>'GIA CONG ACRYLIC'!$H$7</f>
        <v>L2345</v>
      </c>
      <c r="O28" s="2" t="e">
        <f>IF('GIA CONG ACRYLIC'!#REF!+'GIA CONG ACRYLIC'!#REF!="","",'GIA CONG ACRYLIC'!#REF!+'GIA CONG ACRYLIC'!#REF!)</f>
        <v>#REF!</v>
      </c>
      <c r="P28" s="3" t="e">
        <f>IF('LENH GIA CONG TAM'!#REF!="","",'LENH GIA CONG TAM'!#REF!)</f>
        <v>#REF!</v>
      </c>
      <c r="Q28" s="3" t="e">
        <f>IF('LENH GIA CONG TAM'!#REF!="","",'LENH GIA CONG TAM'!#REF!)</f>
        <v>#REF!</v>
      </c>
      <c r="R28" s="107">
        <f>'GIA CONG ACRYLIC'!$M$6</f>
        <v>46147.447916666664</v>
      </c>
      <c r="S28" s="3">
        <f>'GIA CONG ACRYLIC'!$M$7</f>
        <v>3</v>
      </c>
      <c r="T28" s="107">
        <f>'GIA CONG ACRYLIC'!$M$8</f>
        <v>46150.447916666664</v>
      </c>
    </row>
    <row r="29" spans="1:20" x14ac:dyDescent="0.25">
      <c r="A29" s="2" t="e">
        <f>IF('GIA CONG ACRYLIC'!#REF!="","",'GIA CONG ACRYLIC'!#REF!)</f>
        <v>#REF!</v>
      </c>
      <c r="B29" s="2" t="e">
        <f>IF('GIA CONG ACRYLIC'!#REF!="","",'GIA CONG ACRYLIC'!#REF!)</f>
        <v>#REF!</v>
      </c>
      <c r="C29" s="2" t="e">
        <f>IF('GIA CONG ACRYLIC'!#REF!="","",'GIA CONG ACRYLIC'!#REF!)</f>
        <v>#REF!</v>
      </c>
      <c r="D29" s="2" t="e">
        <f>IF('GIA CONG ACRYLIC'!#REF!="","",'GIA CONG ACRYLIC'!#REF!)</f>
        <v>#REF!</v>
      </c>
      <c r="E29" s="2" t="e">
        <f>IF('GIA CONG ACRYLIC'!#REF!="","",'GIA CONG ACRYLIC'!#REF!)</f>
        <v>#REF!</v>
      </c>
      <c r="F29" s="2" t="e">
        <f>IF('GIA CONG ACRYLIC'!#REF!="","",'GIA CONG ACRYLIC'!#REF!)</f>
        <v>#REF!</v>
      </c>
      <c r="G29" s="2" t="e">
        <f>IF('GIA CONG ACRYLIC'!#REF!="","",'GIA CONG ACRYLIC'!#REF!)</f>
        <v>#REF!</v>
      </c>
      <c r="H29" s="2" t="e">
        <f>IF('GIA CONG ACRYLIC'!#REF!="","",'GIA CONG ACRYLIC'!#REF!)</f>
        <v>#REF!</v>
      </c>
      <c r="I29" s="2" t="e">
        <f>IF('GIA CONG ACRYLIC'!#REF!="","",'GIA CONG ACRYLIC'!#REF!)</f>
        <v>#REF!</v>
      </c>
      <c r="J29" s="2" t="e">
        <f>IF('GIA CONG ACRYLIC'!#REF!="","",'GIA CONG ACRYLIC'!#REF!)</f>
        <v>#REF!</v>
      </c>
      <c r="K29" s="2" t="e">
        <f>IF('GIA CONG ACRYLIC'!#REF!="","",'GIA CONG ACRYLIC'!#REF!)</f>
        <v>#REF!</v>
      </c>
      <c r="L29" s="2" t="e">
        <f>IF('GIA CONG ACRYLIC'!#REF!="","",'GIA CONG ACRYLIC'!#REF!)</f>
        <v>#REF!</v>
      </c>
      <c r="M29" s="2" t="e">
        <f>IF('GIA CONG ACRYLIC'!#REF!="","",'GIA CONG ACRYLIC'!#REF!)</f>
        <v>#REF!</v>
      </c>
      <c r="N29" s="3" t="str">
        <f>'GIA CONG ACRYLIC'!$H$7</f>
        <v>L2345</v>
      </c>
      <c r="O29" s="2" t="e">
        <f>IF('GIA CONG ACRYLIC'!#REF!+'GIA CONG ACRYLIC'!#REF!="","",'GIA CONG ACRYLIC'!#REF!+'GIA CONG ACRYLIC'!#REF!)</f>
        <v>#REF!</v>
      </c>
      <c r="P29" s="3" t="e">
        <f>IF('LENH GIA CONG TAM'!#REF!="","",'LENH GIA CONG TAM'!#REF!)</f>
        <v>#REF!</v>
      </c>
      <c r="Q29" s="3" t="e">
        <f>IF('LENH GIA CONG TAM'!#REF!="","",'LENH GIA CONG TAM'!#REF!)</f>
        <v>#REF!</v>
      </c>
      <c r="R29" s="107">
        <f>'GIA CONG ACRYLIC'!$M$6</f>
        <v>46147.447916666664</v>
      </c>
      <c r="S29" s="3">
        <f>'GIA CONG ACRYLIC'!$M$7</f>
        <v>3</v>
      </c>
      <c r="T29" s="107">
        <f>'GIA CONG ACRYLIC'!$M$8</f>
        <v>46150.447916666664</v>
      </c>
    </row>
    <row r="30" spans="1:20" x14ac:dyDescent="0.25">
      <c r="A30" s="2" t="e">
        <f>IF('GIA CONG ACRYLIC'!#REF!="","",'GIA CONG ACRYLIC'!#REF!)</f>
        <v>#REF!</v>
      </c>
      <c r="B30" s="2" t="e">
        <f>IF('GIA CONG ACRYLIC'!#REF!="","",'GIA CONG ACRYLIC'!#REF!)</f>
        <v>#REF!</v>
      </c>
      <c r="C30" s="2" t="e">
        <f>IF('GIA CONG ACRYLIC'!#REF!="","",'GIA CONG ACRYLIC'!#REF!)</f>
        <v>#REF!</v>
      </c>
      <c r="D30" s="2" t="e">
        <f>IF('GIA CONG ACRYLIC'!#REF!="","",'GIA CONG ACRYLIC'!#REF!)</f>
        <v>#REF!</v>
      </c>
      <c r="E30" s="2" t="e">
        <f>IF('GIA CONG ACRYLIC'!#REF!="","",'GIA CONG ACRYLIC'!#REF!)</f>
        <v>#REF!</v>
      </c>
      <c r="F30" s="2" t="e">
        <f>IF('GIA CONG ACRYLIC'!#REF!="","",'GIA CONG ACRYLIC'!#REF!)</f>
        <v>#REF!</v>
      </c>
      <c r="G30" s="2" t="e">
        <f>IF('GIA CONG ACRYLIC'!#REF!="","",'GIA CONG ACRYLIC'!#REF!)</f>
        <v>#REF!</v>
      </c>
      <c r="H30" s="2" t="e">
        <f>IF('GIA CONG ACRYLIC'!#REF!="","",'GIA CONG ACRYLIC'!#REF!)</f>
        <v>#REF!</v>
      </c>
      <c r="I30" s="2" t="e">
        <f>IF('GIA CONG ACRYLIC'!#REF!="","",'GIA CONG ACRYLIC'!#REF!)</f>
        <v>#REF!</v>
      </c>
      <c r="J30" s="2" t="e">
        <f>IF('GIA CONG ACRYLIC'!#REF!="","",'GIA CONG ACRYLIC'!#REF!)</f>
        <v>#REF!</v>
      </c>
      <c r="K30" s="2" t="e">
        <f>IF('GIA CONG ACRYLIC'!#REF!="","",'GIA CONG ACRYLIC'!#REF!)</f>
        <v>#REF!</v>
      </c>
      <c r="L30" s="2" t="e">
        <f>IF('GIA CONG ACRYLIC'!#REF!="","",'GIA CONG ACRYLIC'!#REF!)</f>
        <v>#REF!</v>
      </c>
      <c r="M30" s="2" t="e">
        <f>IF('GIA CONG ACRYLIC'!#REF!="","",'GIA CONG ACRYLIC'!#REF!)</f>
        <v>#REF!</v>
      </c>
      <c r="N30" s="3" t="str">
        <f>'GIA CONG ACRYLIC'!$H$7</f>
        <v>L2345</v>
      </c>
      <c r="O30" s="2" t="e">
        <f>IF('GIA CONG ACRYLIC'!#REF!+'GIA CONG ACRYLIC'!#REF!="","",'GIA CONG ACRYLIC'!#REF!+'GIA CONG ACRYLIC'!#REF!)</f>
        <v>#REF!</v>
      </c>
      <c r="P30" s="3" t="e">
        <f>IF('LENH GIA CONG TAM'!#REF!="","",'LENH GIA CONG TAM'!#REF!)</f>
        <v>#REF!</v>
      </c>
      <c r="Q30" s="3" t="e">
        <f>IF('LENH GIA CONG TAM'!#REF!="","",'LENH GIA CONG TAM'!#REF!)</f>
        <v>#REF!</v>
      </c>
      <c r="R30" s="107">
        <f>'GIA CONG ACRYLIC'!$M$6</f>
        <v>46147.447916666664</v>
      </c>
      <c r="S30" s="3">
        <f>'GIA CONG ACRYLIC'!$M$7</f>
        <v>3</v>
      </c>
      <c r="T30" s="107">
        <f>'GIA CONG ACRYLIC'!$M$8</f>
        <v>46150.447916666664</v>
      </c>
    </row>
    <row r="31" spans="1:20" x14ac:dyDescent="0.25">
      <c r="A31" s="2" t="e">
        <f>IF('GIA CONG ACRYLIC'!#REF!="","",'GIA CONG ACRYLIC'!#REF!)</f>
        <v>#REF!</v>
      </c>
      <c r="B31" s="2" t="e">
        <f>IF('GIA CONG ACRYLIC'!#REF!="","",'GIA CONG ACRYLIC'!#REF!)</f>
        <v>#REF!</v>
      </c>
      <c r="C31" s="2" t="e">
        <f>IF('GIA CONG ACRYLIC'!#REF!="","",'GIA CONG ACRYLIC'!#REF!)</f>
        <v>#REF!</v>
      </c>
      <c r="D31" s="2" t="e">
        <f>IF('GIA CONG ACRYLIC'!#REF!="","",'GIA CONG ACRYLIC'!#REF!)</f>
        <v>#REF!</v>
      </c>
      <c r="E31" s="2" t="e">
        <f>IF('GIA CONG ACRYLIC'!#REF!="","",'GIA CONG ACRYLIC'!#REF!)</f>
        <v>#REF!</v>
      </c>
      <c r="F31" s="2" t="e">
        <f>IF('GIA CONG ACRYLIC'!#REF!="","",'GIA CONG ACRYLIC'!#REF!)</f>
        <v>#REF!</v>
      </c>
      <c r="G31" s="2" t="e">
        <f>IF('GIA CONG ACRYLIC'!#REF!="","",'GIA CONG ACRYLIC'!#REF!)</f>
        <v>#REF!</v>
      </c>
      <c r="H31" s="2" t="e">
        <f>IF('GIA CONG ACRYLIC'!#REF!="","",'GIA CONG ACRYLIC'!#REF!)</f>
        <v>#REF!</v>
      </c>
      <c r="I31" s="2" t="e">
        <f>IF('GIA CONG ACRYLIC'!#REF!="","",'GIA CONG ACRYLIC'!#REF!)</f>
        <v>#REF!</v>
      </c>
      <c r="J31" s="2" t="e">
        <f>IF('GIA CONG ACRYLIC'!#REF!="","",'GIA CONG ACRYLIC'!#REF!)</f>
        <v>#REF!</v>
      </c>
      <c r="K31" s="2" t="e">
        <f>IF('GIA CONG ACRYLIC'!#REF!="","",'GIA CONG ACRYLIC'!#REF!)</f>
        <v>#REF!</v>
      </c>
      <c r="L31" s="2" t="e">
        <f>IF('GIA CONG ACRYLIC'!#REF!="","",'GIA CONG ACRYLIC'!#REF!)</f>
        <v>#REF!</v>
      </c>
      <c r="M31" s="2" t="e">
        <f>IF('GIA CONG ACRYLIC'!#REF!="","",'GIA CONG ACRYLIC'!#REF!)</f>
        <v>#REF!</v>
      </c>
      <c r="N31" s="3" t="str">
        <f>'GIA CONG ACRYLIC'!$H$7</f>
        <v>L2345</v>
      </c>
      <c r="O31" s="2" t="e">
        <f>IF('GIA CONG ACRYLIC'!#REF!+'GIA CONG ACRYLIC'!#REF!="","",'GIA CONG ACRYLIC'!#REF!+'GIA CONG ACRYLIC'!#REF!)</f>
        <v>#REF!</v>
      </c>
      <c r="P31" s="3" t="e">
        <f>IF('LENH GIA CONG TAM'!#REF!="","",'LENH GIA CONG TAM'!#REF!)</f>
        <v>#REF!</v>
      </c>
      <c r="Q31" s="3" t="e">
        <f>IF('LENH GIA CONG TAM'!#REF!="","",'LENH GIA CONG TAM'!#REF!)</f>
        <v>#REF!</v>
      </c>
      <c r="R31" s="107">
        <f>'GIA CONG ACRYLIC'!$M$6</f>
        <v>46147.447916666664</v>
      </c>
      <c r="S31" s="3">
        <f>'GIA CONG ACRYLIC'!$M$7</f>
        <v>3</v>
      </c>
      <c r="T31" s="107">
        <f>'GIA CONG ACRYLIC'!$M$8</f>
        <v>46150.447916666664</v>
      </c>
    </row>
    <row r="32" spans="1:20" x14ac:dyDescent="0.25">
      <c r="A32" s="2" t="e">
        <f>IF('GIA CONG ACRYLIC'!#REF!="","",'GIA CONG ACRYLIC'!#REF!)</f>
        <v>#REF!</v>
      </c>
      <c r="B32" s="2" t="e">
        <f>IF('GIA CONG ACRYLIC'!#REF!="","",'GIA CONG ACRYLIC'!#REF!)</f>
        <v>#REF!</v>
      </c>
      <c r="C32" s="2" t="e">
        <f>IF('GIA CONG ACRYLIC'!#REF!="","",'GIA CONG ACRYLIC'!#REF!)</f>
        <v>#REF!</v>
      </c>
      <c r="D32" s="2" t="e">
        <f>IF('GIA CONG ACRYLIC'!#REF!="","",'GIA CONG ACRYLIC'!#REF!)</f>
        <v>#REF!</v>
      </c>
      <c r="E32" s="2" t="e">
        <f>IF('GIA CONG ACRYLIC'!#REF!="","",'GIA CONG ACRYLIC'!#REF!)</f>
        <v>#REF!</v>
      </c>
      <c r="F32" s="2" t="e">
        <f>IF('GIA CONG ACRYLIC'!#REF!="","",'GIA CONG ACRYLIC'!#REF!)</f>
        <v>#REF!</v>
      </c>
      <c r="G32" s="2" t="e">
        <f>IF('GIA CONG ACRYLIC'!#REF!="","",'GIA CONG ACRYLIC'!#REF!)</f>
        <v>#REF!</v>
      </c>
      <c r="H32" s="2" t="e">
        <f>IF('GIA CONG ACRYLIC'!#REF!="","",'GIA CONG ACRYLIC'!#REF!)</f>
        <v>#REF!</v>
      </c>
      <c r="I32" s="2" t="e">
        <f>IF('GIA CONG ACRYLIC'!#REF!="","",'GIA CONG ACRYLIC'!#REF!)</f>
        <v>#REF!</v>
      </c>
      <c r="J32" s="2" t="e">
        <f>IF('GIA CONG ACRYLIC'!#REF!="","",'GIA CONG ACRYLIC'!#REF!)</f>
        <v>#REF!</v>
      </c>
      <c r="K32" s="2" t="e">
        <f>IF('GIA CONG ACRYLIC'!#REF!="","",'GIA CONG ACRYLIC'!#REF!)</f>
        <v>#REF!</v>
      </c>
      <c r="L32" s="2" t="e">
        <f>IF('GIA CONG ACRYLIC'!#REF!="","",'GIA CONG ACRYLIC'!#REF!)</f>
        <v>#REF!</v>
      </c>
      <c r="M32" s="2" t="e">
        <f>IF('GIA CONG ACRYLIC'!#REF!="","",'GIA CONG ACRYLIC'!#REF!)</f>
        <v>#REF!</v>
      </c>
      <c r="N32" s="3" t="str">
        <f>'GIA CONG ACRYLIC'!$H$7</f>
        <v>L2345</v>
      </c>
      <c r="O32" s="2" t="e">
        <f>IF('GIA CONG ACRYLIC'!#REF!+'GIA CONG ACRYLIC'!#REF!="","",'GIA CONG ACRYLIC'!#REF!+'GIA CONG ACRYLIC'!#REF!)</f>
        <v>#REF!</v>
      </c>
      <c r="P32" s="3" t="e">
        <f>IF('LENH GIA CONG TAM'!#REF!="","",'LENH GIA CONG TAM'!#REF!)</f>
        <v>#REF!</v>
      </c>
      <c r="Q32" s="3" t="e">
        <f>IF('LENH GIA CONG TAM'!#REF!="","",'LENH GIA CONG TAM'!#REF!)</f>
        <v>#REF!</v>
      </c>
      <c r="R32" s="107">
        <f>'GIA CONG ACRYLIC'!$M$6</f>
        <v>46147.447916666664</v>
      </c>
      <c r="S32" s="3">
        <f>'GIA CONG ACRYLIC'!$M$7</f>
        <v>3</v>
      </c>
      <c r="T32" s="107">
        <f>'GIA CONG ACRYLIC'!$M$8</f>
        <v>46150.447916666664</v>
      </c>
    </row>
    <row r="33" spans="1:20" x14ac:dyDescent="0.25">
      <c r="A33" s="2" t="e">
        <f>IF('GIA CONG ACRYLIC'!#REF!="","",'GIA CONG ACRYLIC'!#REF!)</f>
        <v>#REF!</v>
      </c>
      <c r="B33" s="2" t="e">
        <f>IF('GIA CONG ACRYLIC'!#REF!="","",'GIA CONG ACRYLIC'!#REF!)</f>
        <v>#REF!</v>
      </c>
      <c r="C33" s="2" t="e">
        <f>IF('GIA CONG ACRYLIC'!#REF!="","",'GIA CONG ACRYLIC'!#REF!)</f>
        <v>#REF!</v>
      </c>
      <c r="D33" s="2" t="e">
        <f>IF('GIA CONG ACRYLIC'!#REF!="","",'GIA CONG ACRYLIC'!#REF!)</f>
        <v>#REF!</v>
      </c>
      <c r="E33" s="2" t="e">
        <f>IF('GIA CONG ACRYLIC'!#REF!="","",'GIA CONG ACRYLIC'!#REF!)</f>
        <v>#REF!</v>
      </c>
      <c r="F33" s="2" t="e">
        <f>IF('GIA CONG ACRYLIC'!#REF!="","",'GIA CONG ACRYLIC'!#REF!)</f>
        <v>#REF!</v>
      </c>
      <c r="G33" s="2" t="e">
        <f>IF('GIA CONG ACRYLIC'!#REF!="","",'GIA CONG ACRYLIC'!#REF!)</f>
        <v>#REF!</v>
      </c>
      <c r="H33" s="2" t="e">
        <f>IF('GIA CONG ACRYLIC'!#REF!="","",'GIA CONG ACRYLIC'!#REF!)</f>
        <v>#REF!</v>
      </c>
      <c r="I33" s="2" t="e">
        <f>IF('GIA CONG ACRYLIC'!#REF!="","",'GIA CONG ACRYLIC'!#REF!)</f>
        <v>#REF!</v>
      </c>
      <c r="J33" s="2" t="e">
        <f>IF('GIA CONG ACRYLIC'!#REF!="","",'GIA CONG ACRYLIC'!#REF!)</f>
        <v>#REF!</v>
      </c>
      <c r="K33" s="2" t="e">
        <f>IF('GIA CONG ACRYLIC'!#REF!="","",'GIA CONG ACRYLIC'!#REF!)</f>
        <v>#REF!</v>
      </c>
      <c r="L33" s="2" t="e">
        <f>IF('GIA CONG ACRYLIC'!#REF!="","",'GIA CONG ACRYLIC'!#REF!)</f>
        <v>#REF!</v>
      </c>
      <c r="M33" s="2" t="e">
        <f>IF('GIA CONG ACRYLIC'!#REF!="","",'GIA CONG ACRYLIC'!#REF!)</f>
        <v>#REF!</v>
      </c>
      <c r="N33" s="3" t="str">
        <f>'GIA CONG ACRYLIC'!$H$7</f>
        <v>L2345</v>
      </c>
      <c r="O33" s="2" t="e">
        <f>IF('GIA CONG ACRYLIC'!#REF!+'GIA CONG ACRYLIC'!#REF!="","",'GIA CONG ACRYLIC'!#REF!+'GIA CONG ACRYLIC'!#REF!)</f>
        <v>#REF!</v>
      </c>
      <c r="P33" s="3" t="e">
        <f>IF('LENH GIA CONG TAM'!#REF!="","",'LENH GIA CONG TAM'!#REF!)</f>
        <v>#REF!</v>
      </c>
      <c r="Q33" s="3" t="e">
        <f>IF('LENH GIA CONG TAM'!#REF!="","",'LENH GIA CONG TAM'!#REF!)</f>
        <v>#REF!</v>
      </c>
      <c r="R33" s="107">
        <f>'GIA CONG ACRYLIC'!$M$6</f>
        <v>46147.447916666664</v>
      </c>
      <c r="S33" s="3">
        <f>'GIA CONG ACRYLIC'!$M$7</f>
        <v>3</v>
      </c>
      <c r="T33" s="107">
        <f>'GIA CONG ACRYLIC'!$M$8</f>
        <v>46150.447916666664</v>
      </c>
    </row>
    <row r="34" spans="1:20" x14ac:dyDescent="0.25">
      <c r="A34" s="2" t="e">
        <f>IF('GIA CONG ACRYLIC'!#REF!="","",'GIA CONG ACRYLIC'!#REF!)</f>
        <v>#REF!</v>
      </c>
      <c r="B34" s="2" t="e">
        <f>IF('GIA CONG ACRYLIC'!#REF!="","",'GIA CONG ACRYLIC'!#REF!)</f>
        <v>#REF!</v>
      </c>
      <c r="C34" s="2" t="e">
        <f>IF('GIA CONG ACRYLIC'!#REF!="","",'GIA CONG ACRYLIC'!#REF!)</f>
        <v>#REF!</v>
      </c>
      <c r="D34" s="2" t="e">
        <f>IF('GIA CONG ACRYLIC'!#REF!="","",'GIA CONG ACRYLIC'!#REF!)</f>
        <v>#REF!</v>
      </c>
      <c r="E34" s="2" t="e">
        <f>IF('GIA CONG ACRYLIC'!#REF!="","",'GIA CONG ACRYLIC'!#REF!)</f>
        <v>#REF!</v>
      </c>
      <c r="F34" s="2" t="e">
        <f>IF('GIA CONG ACRYLIC'!#REF!="","",'GIA CONG ACRYLIC'!#REF!)</f>
        <v>#REF!</v>
      </c>
      <c r="G34" s="2" t="e">
        <f>IF('GIA CONG ACRYLIC'!#REF!="","",'GIA CONG ACRYLIC'!#REF!)</f>
        <v>#REF!</v>
      </c>
      <c r="H34" s="2" t="e">
        <f>IF('GIA CONG ACRYLIC'!#REF!="","",'GIA CONG ACRYLIC'!#REF!)</f>
        <v>#REF!</v>
      </c>
      <c r="I34" s="2" t="e">
        <f>IF('GIA CONG ACRYLIC'!#REF!="","",'GIA CONG ACRYLIC'!#REF!)</f>
        <v>#REF!</v>
      </c>
      <c r="J34" s="2" t="e">
        <f>IF('GIA CONG ACRYLIC'!#REF!="","",'GIA CONG ACRYLIC'!#REF!)</f>
        <v>#REF!</v>
      </c>
      <c r="K34" s="2" t="e">
        <f>IF('GIA CONG ACRYLIC'!#REF!="","",'GIA CONG ACRYLIC'!#REF!)</f>
        <v>#REF!</v>
      </c>
      <c r="L34" s="2" t="e">
        <f>IF('GIA CONG ACRYLIC'!#REF!="","",'GIA CONG ACRYLIC'!#REF!)</f>
        <v>#REF!</v>
      </c>
      <c r="M34" s="2" t="e">
        <f>IF('GIA CONG ACRYLIC'!#REF!="","",'GIA CONG ACRYLIC'!#REF!)</f>
        <v>#REF!</v>
      </c>
      <c r="N34" s="3" t="str">
        <f>'GIA CONG ACRYLIC'!$H$7</f>
        <v>L2345</v>
      </c>
      <c r="O34" s="2" t="e">
        <f>IF('GIA CONG ACRYLIC'!#REF!+'GIA CONG ACRYLIC'!#REF!="","",'GIA CONG ACRYLIC'!#REF!+'GIA CONG ACRYLIC'!#REF!)</f>
        <v>#REF!</v>
      </c>
      <c r="P34" s="3" t="e">
        <f>IF('LENH GIA CONG TAM'!#REF!="","",'LENH GIA CONG TAM'!#REF!)</f>
        <v>#REF!</v>
      </c>
      <c r="Q34" s="3" t="e">
        <f>IF('LENH GIA CONG TAM'!#REF!="","",'LENH GIA CONG TAM'!#REF!)</f>
        <v>#REF!</v>
      </c>
      <c r="R34" s="107">
        <f>'GIA CONG ACRYLIC'!$M$6</f>
        <v>46147.447916666664</v>
      </c>
      <c r="S34" s="3">
        <f>'GIA CONG ACRYLIC'!$M$7</f>
        <v>3</v>
      </c>
      <c r="T34" s="107">
        <f>'GIA CONG ACRYLIC'!$M$8</f>
        <v>46150.447916666664</v>
      </c>
    </row>
    <row r="35" spans="1:20" x14ac:dyDescent="0.25">
      <c r="A35" s="2" t="e">
        <f>IF('GIA CONG ACRYLIC'!#REF!="","",'GIA CONG ACRYLIC'!#REF!)</f>
        <v>#REF!</v>
      </c>
      <c r="B35" s="2" t="e">
        <f>IF('GIA CONG ACRYLIC'!#REF!="","",'GIA CONG ACRYLIC'!#REF!)</f>
        <v>#REF!</v>
      </c>
      <c r="C35" s="2" t="e">
        <f>IF('GIA CONG ACRYLIC'!#REF!="","",'GIA CONG ACRYLIC'!#REF!)</f>
        <v>#REF!</v>
      </c>
      <c r="D35" s="2" t="e">
        <f>IF('GIA CONG ACRYLIC'!#REF!="","",'GIA CONG ACRYLIC'!#REF!)</f>
        <v>#REF!</v>
      </c>
      <c r="E35" s="2" t="e">
        <f>IF('GIA CONG ACRYLIC'!#REF!="","",'GIA CONG ACRYLIC'!#REF!)</f>
        <v>#REF!</v>
      </c>
      <c r="F35" s="2" t="e">
        <f>IF('GIA CONG ACRYLIC'!#REF!="","",'GIA CONG ACRYLIC'!#REF!)</f>
        <v>#REF!</v>
      </c>
      <c r="G35" s="2" t="e">
        <f>IF('GIA CONG ACRYLIC'!#REF!="","",'GIA CONG ACRYLIC'!#REF!)</f>
        <v>#REF!</v>
      </c>
      <c r="H35" s="2" t="e">
        <f>IF('GIA CONG ACRYLIC'!#REF!="","",'GIA CONG ACRYLIC'!#REF!)</f>
        <v>#REF!</v>
      </c>
      <c r="I35" s="2" t="e">
        <f>IF('GIA CONG ACRYLIC'!#REF!="","",'GIA CONG ACRYLIC'!#REF!)</f>
        <v>#REF!</v>
      </c>
      <c r="J35" s="2" t="e">
        <f>IF('GIA CONG ACRYLIC'!#REF!="","",'GIA CONG ACRYLIC'!#REF!)</f>
        <v>#REF!</v>
      </c>
      <c r="K35" s="2" t="e">
        <f>IF('GIA CONG ACRYLIC'!#REF!="","",'GIA CONG ACRYLIC'!#REF!)</f>
        <v>#REF!</v>
      </c>
      <c r="L35" s="2" t="e">
        <f>IF('GIA CONG ACRYLIC'!#REF!="","",'GIA CONG ACRYLIC'!#REF!)</f>
        <v>#REF!</v>
      </c>
      <c r="M35" s="2" t="e">
        <f>IF('GIA CONG ACRYLIC'!#REF!="","",'GIA CONG ACRYLIC'!#REF!)</f>
        <v>#REF!</v>
      </c>
      <c r="N35" s="3" t="str">
        <f>'GIA CONG ACRYLIC'!$H$7</f>
        <v>L2345</v>
      </c>
      <c r="O35" s="2" t="e">
        <f>IF('GIA CONG ACRYLIC'!#REF!+'GIA CONG ACRYLIC'!#REF!="","",'GIA CONG ACRYLIC'!#REF!+'GIA CONG ACRYLIC'!#REF!)</f>
        <v>#REF!</v>
      </c>
      <c r="P35" s="3" t="e">
        <f>IF('LENH GIA CONG TAM'!#REF!="","",'LENH GIA CONG TAM'!#REF!)</f>
        <v>#REF!</v>
      </c>
      <c r="Q35" s="3" t="e">
        <f>IF('LENH GIA CONG TAM'!#REF!="","",'LENH GIA CONG TAM'!#REF!)</f>
        <v>#REF!</v>
      </c>
      <c r="R35" s="107">
        <f>'GIA CONG ACRYLIC'!$M$6</f>
        <v>46147.447916666664</v>
      </c>
      <c r="S35" s="3">
        <f>'GIA CONG ACRYLIC'!$M$7</f>
        <v>3</v>
      </c>
      <c r="T35" s="107">
        <f>'GIA CONG ACRYLIC'!$M$8</f>
        <v>46150.447916666664</v>
      </c>
    </row>
    <row r="36" spans="1:20" x14ac:dyDescent="0.25">
      <c r="A36" s="2" t="e">
        <f>IF('GIA CONG ACRYLIC'!#REF!="","",'GIA CONG ACRYLIC'!#REF!)</f>
        <v>#REF!</v>
      </c>
      <c r="B36" s="2" t="e">
        <f>IF('GIA CONG ACRYLIC'!#REF!="","",'GIA CONG ACRYLIC'!#REF!)</f>
        <v>#REF!</v>
      </c>
      <c r="C36" s="2" t="e">
        <f>IF('GIA CONG ACRYLIC'!#REF!="","",'GIA CONG ACRYLIC'!#REF!)</f>
        <v>#REF!</v>
      </c>
      <c r="D36" s="2" t="e">
        <f>IF('GIA CONG ACRYLIC'!#REF!="","",'GIA CONG ACRYLIC'!#REF!)</f>
        <v>#REF!</v>
      </c>
      <c r="E36" s="2" t="e">
        <f>IF('GIA CONG ACRYLIC'!#REF!="","",'GIA CONG ACRYLIC'!#REF!)</f>
        <v>#REF!</v>
      </c>
      <c r="F36" s="2" t="e">
        <f>IF('GIA CONG ACRYLIC'!#REF!="","",'GIA CONG ACRYLIC'!#REF!)</f>
        <v>#REF!</v>
      </c>
      <c r="G36" s="2" t="e">
        <f>IF('GIA CONG ACRYLIC'!#REF!="","",'GIA CONG ACRYLIC'!#REF!)</f>
        <v>#REF!</v>
      </c>
      <c r="H36" s="2" t="e">
        <f>IF('GIA CONG ACRYLIC'!#REF!="","",'GIA CONG ACRYLIC'!#REF!)</f>
        <v>#REF!</v>
      </c>
      <c r="I36" s="2" t="e">
        <f>IF('GIA CONG ACRYLIC'!#REF!="","",'GIA CONG ACRYLIC'!#REF!)</f>
        <v>#REF!</v>
      </c>
      <c r="J36" s="2" t="e">
        <f>IF('GIA CONG ACRYLIC'!#REF!="","",'GIA CONG ACRYLIC'!#REF!)</f>
        <v>#REF!</v>
      </c>
      <c r="K36" s="2" t="e">
        <f>IF('GIA CONG ACRYLIC'!#REF!="","",'GIA CONG ACRYLIC'!#REF!)</f>
        <v>#REF!</v>
      </c>
      <c r="L36" s="2" t="e">
        <f>IF('GIA CONG ACRYLIC'!#REF!="","",'GIA CONG ACRYLIC'!#REF!)</f>
        <v>#REF!</v>
      </c>
      <c r="M36" s="2" t="e">
        <f>IF('GIA CONG ACRYLIC'!#REF!="","",'GIA CONG ACRYLIC'!#REF!)</f>
        <v>#REF!</v>
      </c>
      <c r="N36" s="3" t="str">
        <f>'GIA CONG ACRYLIC'!$H$7</f>
        <v>L2345</v>
      </c>
      <c r="O36" s="2" t="e">
        <f>IF('GIA CONG ACRYLIC'!#REF!+'GIA CONG ACRYLIC'!#REF!="","",'GIA CONG ACRYLIC'!#REF!+'GIA CONG ACRYLIC'!#REF!)</f>
        <v>#REF!</v>
      </c>
      <c r="P36" s="3" t="e">
        <f>IF('LENH GIA CONG TAM'!#REF!="","",'LENH GIA CONG TAM'!#REF!)</f>
        <v>#REF!</v>
      </c>
      <c r="Q36" s="3" t="e">
        <f>IF('LENH GIA CONG TAM'!#REF!="","",'LENH GIA CONG TAM'!#REF!)</f>
        <v>#REF!</v>
      </c>
      <c r="R36" s="107">
        <f>'GIA CONG ACRYLIC'!$M$6</f>
        <v>46147.447916666664</v>
      </c>
      <c r="S36" s="3">
        <f>'GIA CONG ACRYLIC'!$M$7</f>
        <v>3</v>
      </c>
      <c r="T36" s="107">
        <f>'GIA CONG ACRYLIC'!$M$8</f>
        <v>46150.447916666664</v>
      </c>
    </row>
    <row r="37" spans="1:20" x14ac:dyDescent="0.25">
      <c r="A37" s="2" t="e">
        <f>IF('GIA CONG ACRYLIC'!#REF!="","",'GIA CONG ACRYLIC'!#REF!)</f>
        <v>#REF!</v>
      </c>
      <c r="B37" s="2" t="e">
        <f>IF('GIA CONG ACRYLIC'!#REF!="","",'GIA CONG ACRYLIC'!#REF!)</f>
        <v>#REF!</v>
      </c>
      <c r="C37" s="2" t="e">
        <f>IF('GIA CONG ACRYLIC'!#REF!="","",'GIA CONG ACRYLIC'!#REF!)</f>
        <v>#REF!</v>
      </c>
      <c r="D37" s="2" t="e">
        <f>IF('GIA CONG ACRYLIC'!#REF!="","",'GIA CONG ACRYLIC'!#REF!)</f>
        <v>#REF!</v>
      </c>
      <c r="E37" s="2" t="e">
        <f>IF('GIA CONG ACRYLIC'!#REF!="","",'GIA CONG ACRYLIC'!#REF!)</f>
        <v>#REF!</v>
      </c>
      <c r="F37" s="2" t="e">
        <f>IF('GIA CONG ACRYLIC'!#REF!="","",'GIA CONG ACRYLIC'!#REF!)</f>
        <v>#REF!</v>
      </c>
      <c r="G37" s="2" t="e">
        <f>IF('GIA CONG ACRYLIC'!#REF!="","",'GIA CONG ACRYLIC'!#REF!)</f>
        <v>#REF!</v>
      </c>
      <c r="H37" s="2" t="e">
        <f>IF('GIA CONG ACRYLIC'!#REF!="","",'GIA CONG ACRYLIC'!#REF!)</f>
        <v>#REF!</v>
      </c>
      <c r="I37" s="2" t="e">
        <f>IF('GIA CONG ACRYLIC'!#REF!="","",'GIA CONG ACRYLIC'!#REF!)</f>
        <v>#REF!</v>
      </c>
      <c r="J37" s="2" t="e">
        <f>IF('GIA CONG ACRYLIC'!#REF!="","",'GIA CONG ACRYLIC'!#REF!)</f>
        <v>#REF!</v>
      </c>
      <c r="K37" s="2" t="e">
        <f>IF('GIA CONG ACRYLIC'!#REF!="","",'GIA CONG ACRYLIC'!#REF!)</f>
        <v>#REF!</v>
      </c>
      <c r="L37" s="2" t="e">
        <f>IF('GIA CONG ACRYLIC'!#REF!="","",'GIA CONG ACRYLIC'!#REF!)</f>
        <v>#REF!</v>
      </c>
      <c r="M37" s="2" t="e">
        <f>IF('GIA CONG ACRYLIC'!#REF!="","",'GIA CONG ACRYLIC'!#REF!)</f>
        <v>#REF!</v>
      </c>
      <c r="N37" s="3" t="str">
        <f>'GIA CONG ACRYLIC'!$H$7</f>
        <v>L2345</v>
      </c>
      <c r="O37" s="2" t="e">
        <f>IF('GIA CONG ACRYLIC'!#REF!+'GIA CONG ACRYLIC'!#REF!="","",'GIA CONG ACRYLIC'!#REF!+'GIA CONG ACRYLIC'!#REF!)</f>
        <v>#REF!</v>
      </c>
      <c r="P37" s="3" t="e">
        <f>IF('LENH GIA CONG TAM'!#REF!="","",'LENH GIA CONG TAM'!#REF!)</f>
        <v>#REF!</v>
      </c>
      <c r="Q37" s="3" t="e">
        <f>IF('LENH GIA CONG TAM'!#REF!="","",'LENH GIA CONG TAM'!#REF!)</f>
        <v>#REF!</v>
      </c>
      <c r="R37" s="107">
        <f>'GIA CONG ACRYLIC'!$M$6</f>
        <v>46147.447916666664</v>
      </c>
      <c r="S37" s="3">
        <f>'GIA CONG ACRYLIC'!$M$7</f>
        <v>3</v>
      </c>
      <c r="T37" s="107">
        <f>'GIA CONG ACRYLIC'!$M$8</f>
        <v>46150.447916666664</v>
      </c>
    </row>
    <row r="38" spans="1:20" x14ac:dyDescent="0.25">
      <c r="A38" s="2" t="e">
        <f>IF('GIA CONG ACRYLIC'!#REF!="","",'GIA CONG ACRYLIC'!#REF!)</f>
        <v>#REF!</v>
      </c>
      <c r="B38" s="2" t="e">
        <f>IF('GIA CONG ACRYLIC'!#REF!="","",'GIA CONG ACRYLIC'!#REF!)</f>
        <v>#REF!</v>
      </c>
      <c r="C38" s="2" t="e">
        <f>IF('GIA CONG ACRYLIC'!#REF!="","",'GIA CONG ACRYLIC'!#REF!)</f>
        <v>#REF!</v>
      </c>
      <c r="D38" s="2" t="e">
        <f>IF('GIA CONG ACRYLIC'!#REF!="","",'GIA CONG ACRYLIC'!#REF!)</f>
        <v>#REF!</v>
      </c>
      <c r="E38" s="2" t="e">
        <f>IF('GIA CONG ACRYLIC'!#REF!="","",'GIA CONG ACRYLIC'!#REF!)</f>
        <v>#REF!</v>
      </c>
      <c r="F38" s="2" t="e">
        <f>IF('GIA CONG ACRYLIC'!#REF!="","",'GIA CONG ACRYLIC'!#REF!)</f>
        <v>#REF!</v>
      </c>
      <c r="G38" s="2" t="e">
        <f>IF('GIA CONG ACRYLIC'!#REF!="","",'GIA CONG ACRYLIC'!#REF!)</f>
        <v>#REF!</v>
      </c>
      <c r="H38" s="2" t="e">
        <f>IF('GIA CONG ACRYLIC'!#REF!="","",'GIA CONG ACRYLIC'!#REF!)</f>
        <v>#REF!</v>
      </c>
      <c r="I38" s="2" t="e">
        <f>IF('GIA CONG ACRYLIC'!#REF!="","",'GIA CONG ACRYLIC'!#REF!)</f>
        <v>#REF!</v>
      </c>
      <c r="J38" s="2" t="e">
        <f>IF('GIA CONG ACRYLIC'!#REF!="","",'GIA CONG ACRYLIC'!#REF!)</f>
        <v>#REF!</v>
      </c>
      <c r="K38" s="2" t="e">
        <f>IF('GIA CONG ACRYLIC'!#REF!="","",'GIA CONG ACRYLIC'!#REF!)</f>
        <v>#REF!</v>
      </c>
      <c r="L38" s="2" t="e">
        <f>IF('GIA CONG ACRYLIC'!#REF!="","",'GIA CONG ACRYLIC'!#REF!)</f>
        <v>#REF!</v>
      </c>
      <c r="M38" s="2" t="e">
        <f>IF('GIA CONG ACRYLIC'!#REF!="","",'GIA CONG ACRYLIC'!#REF!)</f>
        <v>#REF!</v>
      </c>
      <c r="N38" s="3" t="str">
        <f>'GIA CONG ACRYLIC'!$H$7</f>
        <v>L2345</v>
      </c>
      <c r="O38" s="2" t="e">
        <f>IF('GIA CONG ACRYLIC'!#REF!+'GIA CONG ACRYLIC'!#REF!="","",'GIA CONG ACRYLIC'!#REF!+'GIA CONG ACRYLIC'!#REF!)</f>
        <v>#REF!</v>
      </c>
      <c r="P38" s="3" t="e">
        <f>IF('LENH GIA CONG TAM'!#REF!="","",'LENH GIA CONG TAM'!#REF!)</f>
        <v>#REF!</v>
      </c>
      <c r="Q38" s="3" t="e">
        <f>IF('LENH GIA CONG TAM'!#REF!="","",'LENH GIA CONG TAM'!#REF!)</f>
        <v>#REF!</v>
      </c>
      <c r="R38" s="107">
        <f>'GIA CONG ACRYLIC'!$M$6</f>
        <v>46147.447916666664</v>
      </c>
      <c r="S38" s="3">
        <f>'GIA CONG ACRYLIC'!$M$7</f>
        <v>3</v>
      </c>
      <c r="T38" s="107">
        <f>'GIA CONG ACRYLIC'!$M$8</f>
        <v>46150.447916666664</v>
      </c>
    </row>
    <row r="39" spans="1:20" x14ac:dyDescent="0.25">
      <c r="A39" s="2" t="e">
        <f>IF('GIA CONG ACRYLIC'!#REF!="","",'GIA CONG ACRYLIC'!#REF!)</f>
        <v>#REF!</v>
      </c>
      <c r="B39" s="2" t="e">
        <f>IF('GIA CONG ACRYLIC'!#REF!="","",'GIA CONG ACRYLIC'!#REF!)</f>
        <v>#REF!</v>
      </c>
      <c r="C39" s="2" t="e">
        <f>IF('GIA CONG ACRYLIC'!#REF!="","",'GIA CONG ACRYLIC'!#REF!)</f>
        <v>#REF!</v>
      </c>
      <c r="D39" s="2" t="e">
        <f>IF('GIA CONG ACRYLIC'!#REF!="","",'GIA CONG ACRYLIC'!#REF!)</f>
        <v>#REF!</v>
      </c>
      <c r="E39" s="2" t="e">
        <f>IF('GIA CONG ACRYLIC'!#REF!="","",'GIA CONG ACRYLIC'!#REF!)</f>
        <v>#REF!</v>
      </c>
      <c r="F39" s="2" t="e">
        <f>IF('GIA CONG ACRYLIC'!#REF!="","",'GIA CONG ACRYLIC'!#REF!)</f>
        <v>#REF!</v>
      </c>
      <c r="G39" s="2" t="e">
        <f>IF('GIA CONG ACRYLIC'!#REF!="","",'GIA CONG ACRYLIC'!#REF!)</f>
        <v>#REF!</v>
      </c>
      <c r="H39" s="2" t="e">
        <f>IF('GIA CONG ACRYLIC'!#REF!="","",'GIA CONG ACRYLIC'!#REF!)</f>
        <v>#REF!</v>
      </c>
      <c r="I39" s="2" t="e">
        <f>IF('GIA CONG ACRYLIC'!#REF!="","",'GIA CONG ACRYLIC'!#REF!)</f>
        <v>#REF!</v>
      </c>
      <c r="J39" s="2" t="e">
        <f>IF('GIA CONG ACRYLIC'!#REF!="","",'GIA CONG ACRYLIC'!#REF!)</f>
        <v>#REF!</v>
      </c>
      <c r="K39" s="2" t="e">
        <f>IF('GIA CONG ACRYLIC'!#REF!="","",'GIA CONG ACRYLIC'!#REF!)</f>
        <v>#REF!</v>
      </c>
      <c r="L39" s="2" t="e">
        <f>IF('GIA CONG ACRYLIC'!#REF!="","",'GIA CONG ACRYLIC'!#REF!)</f>
        <v>#REF!</v>
      </c>
      <c r="M39" s="2" t="e">
        <f>IF('GIA CONG ACRYLIC'!#REF!="","",'GIA CONG ACRYLIC'!#REF!)</f>
        <v>#REF!</v>
      </c>
      <c r="N39" s="3" t="str">
        <f>'GIA CONG ACRYLIC'!$H$7</f>
        <v>L2345</v>
      </c>
      <c r="O39" s="2" t="e">
        <f>IF('GIA CONG ACRYLIC'!#REF!+'GIA CONG ACRYLIC'!#REF!="","",'GIA CONG ACRYLIC'!#REF!+'GIA CONG ACRYLIC'!#REF!)</f>
        <v>#REF!</v>
      </c>
      <c r="P39" s="3" t="e">
        <f>IF('LENH GIA CONG TAM'!#REF!="","",'LENH GIA CONG TAM'!#REF!)</f>
        <v>#REF!</v>
      </c>
      <c r="Q39" s="3" t="e">
        <f>IF('LENH GIA CONG TAM'!#REF!="","",'LENH GIA CONG TAM'!#REF!)</f>
        <v>#REF!</v>
      </c>
      <c r="R39" s="107">
        <f>'GIA CONG ACRYLIC'!$M$6</f>
        <v>46147.447916666664</v>
      </c>
      <c r="S39" s="3">
        <f>'GIA CONG ACRYLIC'!$M$7</f>
        <v>3</v>
      </c>
      <c r="T39" s="107">
        <f>'GIA CONG ACRYLIC'!$M$8</f>
        <v>46150.447916666664</v>
      </c>
    </row>
    <row r="40" spans="1:20" x14ac:dyDescent="0.25">
      <c r="A40" s="2" t="e">
        <f>IF('GIA CONG ACRYLIC'!#REF!="","",'GIA CONG ACRYLIC'!#REF!)</f>
        <v>#REF!</v>
      </c>
      <c r="B40" s="2" t="e">
        <f>IF('GIA CONG ACRYLIC'!#REF!="","",'GIA CONG ACRYLIC'!#REF!)</f>
        <v>#REF!</v>
      </c>
      <c r="C40" s="2" t="e">
        <f>IF('GIA CONG ACRYLIC'!#REF!="","",'GIA CONG ACRYLIC'!#REF!)</f>
        <v>#REF!</v>
      </c>
      <c r="D40" s="2" t="e">
        <f>IF('GIA CONG ACRYLIC'!#REF!="","",'GIA CONG ACRYLIC'!#REF!)</f>
        <v>#REF!</v>
      </c>
      <c r="E40" s="2" t="e">
        <f>IF('GIA CONG ACRYLIC'!#REF!="","",'GIA CONG ACRYLIC'!#REF!)</f>
        <v>#REF!</v>
      </c>
      <c r="F40" s="2" t="e">
        <f>IF('GIA CONG ACRYLIC'!#REF!="","",'GIA CONG ACRYLIC'!#REF!)</f>
        <v>#REF!</v>
      </c>
      <c r="G40" s="2" t="e">
        <f>IF('GIA CONG ACRYLIC'!#REF!="","",'GIA CONG ACRYLIC'!#REF!)</f>
        <v>#REF!</v>
      </c>
      <c r="H40" s="2" t="e">
        <f>IF('GIA CONG ACRYLIC'!#REF!="","",'GIA CONG ACRYLIC'!#REF!)</f>
        <v>#REF!</v>
      </c>
      <c r="I40" s="2" t="e">
        <f>IF('GIA CONG ACRYLIC'!#REF!="","",'GIA CONG ACRYLIC'!#REF!)</f>
        <v>#REF!</v>
      </c>
      <c r="J40" s="2" t="e">
        <f>IF('GIA CONG ACRYLIC'!#REF!="","",'GIA CONG ACRYLIC'!#REF!)</f>
        <v>#REF!</v>
      </c>
      <c r="K40" s="2" t="e">
        <f>IF('GIA CONG ACRYLIC'!#REF!="","",'GIA CONG ACRYLIC'!#REF!)</f>
        <v>#REF!</v>
      </c>
      <c r="L40" s="2" t="e">
        <f>IF('GIA CONG ACRYLIC'!#REF!="","",'GIA CONG ACRYLIC'!#REF!)</f>
        <v>#REF!</v>
      </c>
      <c r="M40" s="2" t="e">
        <f>IF('GIA CONG ACRYLIC'!#REF!="","",'GIA CONG ACRYLIC'!#REF!)</f>
        <v>#REF!</v>
      </c>
      <c r="N40" s="3" t="str">
        <f>'GIA CONG ACRYLIC'!$H$7</f>
        <v>L2345</v>
      </c>
      <c r="O40" s="2" t="e">
        <f>IF('GIA CONG ACRYLIC'!#REF!+'GIA CONG ACRYLIC'!#REF!="","",'GIA CONG ACRYLIC'!#REF!+'GIA CONG ACRYLIC'!#REF!)</f>
        <v>#REF!</v>
      </c>
      <c r="P40" s="3" t="e">
        <f>IF('LENH GIA CONG TAM'!#REF!="","",'LENH GIA CONG TAM'!#REF!)</f>
        <v>#REF!</v>
      </c>
      <c r="Q40" s="3" t="e">
        <f>IF('LENH GIA CONG TAM'!#REF!="","",'LENH GIA CONG TAM'!#REF!)</f>
        <v>#REF!</v>
      </c>
      <c r="R40" s="107">
        <f>'GIA CONG ACRYLIC'!$M$6</f>
        <v>46147.447916666664</v>
      </c>
      <c r="S40" s="3">
        <f>'GIA CONG ACRYLIC'!$M$7</f>
        <v>3</v>
      </c>
      <c r="T40" s="107">
        <f>'GIA CONG ACRYLIC'!$M$8</f>
        <v>46150.447916666664</v>
      </c>
    </row>
    <row r="41" spans="1:20" x14ac:dyDescent="0.25">
      <c r="A41" s="2" t="str">
        <f>IF('GIA CONG ACRYLIC'!A44="","",'GIA CONG ACRYLIC'!A44)</f>
        <v/>
      </c>
      <c r="B41" s="2" t="str">
        <f>IF('GIA CONG ACRYLIC'!B44="","",'GIA CONG ACRYLIC'!B44)</f>
        <v/>
      </c>
      <c r="C41" s="2" t="str">
        <f>IF('GIA CONG ACRYLIC'!C44="","",'GIA CONG ACRYLIC'!C44)</f>
        <v/>
      </c>
      <c r="D41" s="2" t="str">
        <f>IF('GIA CONG ACRYLIC'!D44="","",'GIA CONG ACRYLIC'!D44)</f>
        <v/>
      </c>
      <c r="E41" s="2" t="str">
        <f>IF('GIA CONG ACRYLIC'!E44="","",'GIA CONG ACRYLIC'!E44)</f>
        <v/>
      </c>
      <c r="F41" s="2">
        <f>IF('GIA CONG ACRYLIC'!F44="","",'GIA CONG ACRYLIC'!F44)</f>
        <v>33</v>
      </c>
      <c r="G41" s="2" t="str">
        <f>IF('GIA CONG ACRYLIC'!G44="","",'GIA CONG ACRYLIC'!G44)</f>
        <v/>
      </c>
      <c r="H41" s="2" t="str">
        <f>IF('GIA CONG ACRYLIC'!H44="","",'GIA CONG ACRYLIC'!H44)</f>
        <v/>
      </c>
      <c r="I41" s="2">
        <f>IF('GIA CONG ACRYLIC'!I44="","",'GIA CONG ACRYLIC'!I44)</f>
        <v>6.4463569999999999</v>
      </c>
      <c r="J41" s="2">
        <f>IF('GIA CONG ACRYLIC'!J44="","",'GIA CONG ACRYLIC'!J44)</f>
        <v>0.68</v>
      </c>
      <c r="K41" s="2" t="str">
        <f>IF('GIA CONG ACRYLIC'!K44="","",'GIA CONG ACRYLIC'!K44)</f>
        <v/>
      </c>
      <c r="L41" s="2" t="str">
        <f>IF('GIA CONG ACRYLIC'!L44="","",'GIA CONG ACRYLIC'!L44)</f>
        <v/>
      </c>
      <c r="M41" s="2" t="str">
        <f>IF('GIA CONG ACRYLIC'!M44="","",'GIA CONG ACRYLIC'!M44)</f>
        <v/>
      </c>
      <c r="N41" s="3" t="str">
        <f>'GIA CONG ACRYLIC'!$H$7</f>
        <v>L2345</v>
      </c>
      <c r="O41" s="2">
        <f>IF('GIA CONG ACRYLIC'!I44+'GIA CONG ACRYLIC'!J44="","",'GIA CONG ACRYLIC'!I44+'GIA CONG ACRYLIC'!J44)</f>
        <v>7.1263569999999996</v>
      </c>
      <c r="P41" s="3">
        <f>IF('LENH GIA CONG TAM'!H22="","",'LENH GIA CONG TAM'!H22)</f>
        <v>3.6829999999999998</v>
      </c>
      <c r="Q41" s="3">
        <f>IF('LENH GIA CONG TAM'!I22="","",'LENH GIA CONG TAM'!I22)</f>
        <v>6.7000000000000004E-2</v>
      </c>
      <c r="R41" s="107">
        <f>'GIA CONG ACRYLIC'!$M$6</f>
        <v>46147.447916666664</v>
      </c>
      <c r="S41" s="3">
        <f>'GIA CONG ACRYLIC'!$M$7</f>
        <v>3</v>
      </c>
      <c r="T41" s="107">
        <f>'GIA CONG ACRYLIC'!$M$8</f>
        <v>46150.447916666664</v>
      </c>
    </row>
    <row r="42" spans="1:20" x14ac:dyDescent="0.25">
      <c r="A42" s="2" t="e">
        <f>IF('GIA CONG ACRYLIC'!#REF!="","",'GIA CONG ACRYLIC'!#REF!)</f>
        <v>#REF!</v>
      </c>
      <c r="B42" s="2" t="e">
        <f>IF('GIA CONG ACRYLIC'!#REF!="","",'GIA CONG ACRYLIC'!#REF!)</f>
        <v>#REF!</v>
      </c>
      <c r="C42" s="2" t="e">
        <f>IF('GIA CONG ACRYLIC'!#REF!="","",'GIA CONG ACRYLIC'!#REF!)</f>
        <v>#REF!</v>
      </c>
      <c r="D42" s="2" t="e">
        <f>IF('GIA CONG ACRYLIC'!#REF!="","",'GIA CONG ACRYLIC'!#REF!)</f>
        <v>#REF!</v>
      </c>
      <c r="E42" s="2" t="e">
        <f>IF('GIA CONG ACRYLIC'!#REF!="","",'GIA CONG ACRYLIC'!#REF!)</f>
        <v>#REF!</v>
      </c>
      <c r="F42" s="2" t="e">
        <f>IF('GIA CONG ACRYLIC'!#REF!="","",'GIA CONG ACRYLIC'!#REF!)</f>
        <v>#REF!</v>
      </c>
      <c r="G42" s="2" t="e">
        <f>IF('GIA CONG ACRYLIC'!#REF!="","",'GIA CONG ACRYLIC'!#REF!)</f>
        <v>#REF!</v>
      </c>
      <c r="H42" s="2" t="e">
        <f>IF('GIA CONG ACRYLIC'!#REF!="","",'GIA CONG ACRYLIC'!#REF!)</f>
        <v>#REF!</v>
      </c>
      <c r="I42" s="2" t="e">
        <f>IF('GIA CONG ACRYLIC'!#REF!="","",'GIA CONG ACRYLIC'!#REF!)</f>
        <v>#REF!</v>
      </c>
      <c r="J42" s="2" t="e">
        <f>IF('GIA CONG ACRYLIC'!#REF!="","",'GIA CONG ACRYLIC'!#REF!)</f>
        <v>#REF!</v>
      </c>
      <c r="K42" s="2" t="e">
        <f>IF('GIA CONG ACRYLIC'!#REF!="","",'GIA CONG ACRYLIC'!#REF!)</f>
        <v>#REF!</v>
      </c>
      <c r="L42" s="2" t="e">
        <f>IF('GIA CONG ACRYLIC'!#REF!="","",'GIA CONG ACRYLIC'!#REF!)</f>
        <v>#REF!</v>
      </c>
      <c r="M42" s="2" t="e">
        <f>IF('GIA CONG ACRYLIC'!#REF!="","",'GIA CONG ACRYLIC'!#REF!)</f>
        <v>#REF!</v>
      </c>
      <c r="N42" s="3" t="str">
        <f>'GIA CONG ACRYLIC'!$H$7</f>
        <v>L2345</v>
      </c>
      <c r="O42" s="2" t="e">
        <f>IF('GIA CONG ACRYLIC'!#REF!+'GIA CONG ACRYLIC'!#REF!="","",'GIA CONG ACRYLIC'!#REF!+'GIA CONG ACRYLIC'!#REF!)</f>
        <v>#REF!</v>
      </c>
      <c r="P42" s="3" t="str">
        <f>IF('LENH GIA CONG TAM'!H43="","",'LENH GIA CONG TAM'!H43)</f>
        <v/>
      </c>
      <c r="Q42" s="3" t="str">
        <f>IF('LENH GIA CONG TAM'!I43="","",'LENH GIA CONG TAM'!I43)</f>
        <v/>
      </c>
      <c r="R42" s="107">
        <f>'GIA CONG ACRYLIC'!$M$6</f>
        <v>46147.447916666664</v>
      </c>
      <c r="S42" s="3">
        <f>'GIA CONG ACRYLIC'!$M$7</f>
        <v>3</v>
      </c>
      <c r="T42" s="107">
        <f>'GIA CONG ACRYLIC'!$M$8</f>
        <v>46150.447916666664</v>
      </c>
    </row>
    <row r="43" spans="1:20" x14ac:dyDescent="0.25">
      <c r="A43" s="2" t="str">
        <f>IF('GIA CONG ACRYLIC'!A46="","",'GIA CONG ACRYLIC'!A46)</f>
        <v/>
      </c>
      <c r="B43" s="2" t="str">
        <f>IF('GIA CONG ACRYLIC'!B46="","",'GIA CONG ACRYLIC'!B46)</f>
        <v/>
      </c>
      <c r="C43" s="2" t="str">
        <f>IF('GIA CONG ACRYLIC'!C46="","",'GIA CONG ACRYLIC'!C46)</f>
        <v/>
      </c>
      <c r="D43" s="2" t="str">
        <f>IF('GIA CONG ACRYLIC'!D46="","",'GIA CONG ACRYLIC'!D46)</f>
        <v/>
      </c>
      <c r="E43" s="2" t="str">
        <f>IF('GIA CONG ACRYLIC'!E46="","",'GIA CONG ACRYLIC'!E46)</f>
        <v/>
      </c>
      <c r="F43" s="2" t="str">
        <f>IF('GIA CONG ACRYLIC'!F46="","",'GIA CONG ACRYLIC'!F46)</f>
        <v/>
      </c>
      <c r="G43" s="2" t="str">
        <f>IF('GIA CONG ACRYLIC'!G46="","",'GIA CONG ACRYLIC'!G46)</f>
        <v/>
      </c>
      <c r="H43" s="2" t="str">
        <f>IF('GIA CONG ACRYLIC'!H46="","",'GIA CONG ACRYLIC'!H46)</f>
        <v/>
      </c>
      <c r="I43" s="2" t="str">
        <f>IF('GIA CONG ACRYLIC'!I46="","",'GIA CONG ACRYLIC'!I46)</f>
        <v/>
      </c>
      <c r="J43" s="2" t="str">
        <f>IF('GIA CONG ACRYLIC'!J46="","",'GIA CONG ACRYLIC'!J46)</f>
        <v/>
      </c>
      <c r="K43" s="2" t="str">
        <f>IF('GIA CONG ACRYLIC'!K46="","",'GIA CONG ACRYLIC'!K46)</f>
        <v>TỔNG TIỀN HÀNG:</v>
      </c>
      <c r="L43" s="2">
        <f>IF('GIA CONG ACRYLIC'!L46="","",'GIA CONG ACRYLIC'!L46)</f>
        <v>10096000</v>
      </c>
      <c r="M43" s="2" t="str">
        <f>IF('GIA CONG ACRYLIC'!M46="","",'GIA CONG ACRYLIC'!M46)</f>
        <v/>
      </c>
      <c r="N43" s="3" t="str">
        <f>'GIA CONG ACRYLIC'!$H$7</f>
        <v>L2345</v>
      </c>
      <c r="O43" s="2">
        <f>IF('GIA CONG ACRYLIC'!I46+'GIA CONG ACRYLIC'!J46="","",'GIA CONG ACRYLIC'!I46+'GIA CONG ACRYLIC'!J46)</f>
        <v>0</v>
      </c>
      <c r="P43" s="3" t="str">
        <f>IF('LENH GIA CONG TAM'!H44="","",'LENH GIA CONG TAM'!H44)</f>
        <v/>
      </c>
      <c r="Q43" s="3" t="str">
        <f>IF('LENH GIA CONG TAM'!I44="","",'LENH GIA CONG TAM'!I44)</f>
        <v/>
      </c>
      <c r="R43" s="107">
        <f>'GIA CONG ACRYLIC'!$M$6</f>
        <v>46147.447916666664</v>
      </c>
      <c r="S43" s="3">
        <f>'GIA CONG ACRYLIC'!$M$7</f>
        <v>3</v>
      </c>
      <c r="T43" s="107">
        <f>'GIA CONG ACRYLIC'!$M$8</f>
        <v>46150.447916666664</v>
      </c>
    </row>
    <row r="44" spans="1:20" x14ac:dyDescent="0.25">
      <c r="A44" s="2" t="e">
        <f>IF('GIA CONG ACRYLIC'!#REF!="","",'GIA CONG ACRYLIC'!#REF!)</f>
        <v>#REF!</v>
      </c>
      <c r="B44" s="2" t="e">
        <f>IF('GIA CONG ACRYLIC'!#REF!="","",'GIA CONG ACRYLIC'!#REF!)</f>
        <v>#REF!</v>
      </c>
      <c r="C44" s="2" t="e">
        <f>IF('GIA CONG ACRYLIC'!#REF!="","",'GIA CONG ACRYLIC'!#REF!)</f>
        <v>#REF!</v>
      </c>
      <c r="D44" s="2" t="e">
        <f>IF('GIA CONG ACRYLIC'!#REF!="","",'GIA CONG ACRYLIC'!#REF!)</f>
        <v>#REF!</v>
      </c>
      <c r="E44" s="2" t="e">
        <f>IF('GIA CONG ACRYLIC'!#REF!="","",'GIA CONG ACRYLIC'!#REF!)</f>
        <v>#REF!</v>
      </c>
      <c r="F44" s="2" t="e">
        <f>IF('GIA CONG ACRYLIC'!#REF!="","",'GIA CONG ACRYLIC'!#REF!)</f>
        <v>#REF!</v>
      </c>
      <c r="G44" s="2" t="e">
        <f>IF('GIA CONG ACRYLIC'!#REF!="","",'GIA CONG ACRYLIC'!#REF!)</f>
        <v>#REF!</v>
      </c>
      <c r="H44" s="2" t="e">
        <f>IF('GIA CONG ACRYLIC'!#REF!="","",'GIA CONG ACRYLIC'!#REF!)</f>
        <v>#REF!</v>
      </c>
      <c r="I44" s="2" t="e">
        <f>IF('GIA CONG ACRYLIC'!#REF!="","",'GIA CONG ACRYLIC'!#REF!)</f>
        <v>#REF!</v>
      </c>
      <c r="J44" s="2" t="e">
        <f>IF('GIA CONG ACRYLIC'!#REF!="","",'GIA CONG ACRYLIC'!#REF!)</f>
        <v>#REF!</v>
      </c>
      <c r="K44" s="2" t="e">
        <f>IF('GIA CONG ACRYLIC'!#REF!="","",'GIA CONG ACRYLIC'!#REF!)</f>
        <v>#REF!</v>
      </c>
      <c r="L44" s="2" t="e">
        <f>IF('GIA CONG ACRYLIC'!#REF!="","",'GIA CONG ACRYLIC'!#REF!)</f>
        <v>#REF!</v>
      </c>
      <c r="M44" s="2" t="e">
        <f>IF('GIA CONG ACRYLIC'!#REF!="","",'GIA CONG ACRYLIC'!#REF!)</f>
        <v>#REF!</v>
      </c>
      <c r="N44" s="3" t="str">
        <f>'GIA CONG ACRYLIC'!$H$7</f>
        <v>L2345</v>
      </c>
      <c r="O44" s="2" t="e">
        <f>IF('GIA CONG ACRYLIC'!#REF!+'GIA CONG ACRYLIC'!#REF!="","",'GIA CONG ACRYLIC'!#REF!+'GIA CONG ACRYLIC'!#REF!)</f>
        <v>#REF!</v>
      </c>
      <c r="P44" s="3">
        <f>IF('LENH GIA CONG TAM'!H25="","",'LENH GIA CONG TAM'!H25)</f>
        <v>1.8960000000000001</v>
      </c>
      <c r="Q44" s="3">
        <f>IF('LENH GIA CONG TAM'!I25="","",'LENH GIA CONG TAM'!I25)</f>
        <v>0.42599999999999999</v>
      </c>
      <c r="R44" s="107">
        <f>'GIA CONG ACRYLIC'!$M$6</f>
        <v>46147.447916666664</v>
      </c>
      <c r="S44" s="3">
        <f>'GIA CONG ACRYLIC'!$M$7</f>
        <v>3</v>
      </c>
      <c r="T44" s="107">
        <f>'GIA CONG ACRYLIC'!$M$8</f>
        <v>46150.447916666664</v>
      </c>
    </row>
    <row r="45" spans="1:20" x14ac:dyDescent="0.25">
      <c r="A45" s="2" t="str">
        <f>IF('GIA CONG ACRYLIC'!A48="","",'GIA CONG ACRYLIC'!A48)</f>
        <v/>
      </c>
      <c r="B45" s="2" t="str">
        <f>IF('GIA CONG ACRYLIC'!B48="","",'GIA CONG ACRYLIC'!B48)</f>
        <v/>
      </c>
      <c r="C45" s="2" t="str">
        <f>IF('GIA CONG ACRYLIC'!C48="","",'GIA CONG ACRYLIC'!C48)</f>
        <v/>
      </c>
      <c r="D45" s="2" t="str">
        <f>IF('GIA CONG ACRYLIC'!D48="","",'GIA CONG ACRYLIC'!D48)</f>
        <v/>
      </c>
      <c r="E45" s="2" t="str">
        <f>IF('GIA CONG ACRYLIC'!E48="","",'GIA CONG ACRYLIC'!E48)</f>
        <v/>
      </c>
      <c r="F45" s="2" t="str">
        <f>IF('GIA CONG ACRYLIC'!F48="","",'GIA CONG ACRYLIC'!F48)</f>
        <v/>
      </c>
      <c r="G45" s="2" t="str">
        <f>IF('GIA CONG ACRYLIC'!G48="","",'GIA CONG ACRYLIC'!G48)</f>
        <v/>
      </c>
      <c r="H45" s="2" t="str">
        <f>IF('GIA CONG ACRYLIC'!H48="","",'GIA CONG ACRYLIC'!H48)</f>
        <v/>
      </c>
      <c r="I45" s="2" t="str">
        <f>IF('GIA CONG ACRYLIC'!I48="","",'GIA CONG ACRYLIC'!I48)</f>
        <v/>
      </c>
      <c r="J45" s="2" t="str">
        <f>IF('GIA CONG ACRYLIC'!J48="","",'GIA CONG ACRYLIC'!J48)</f>
        <v/>
      </c>
      <c r="K45" s="2" t="str">
        <f>IF('GIA CONG ACRYLIC'!K48="","",'GIA CONG ACRYLIC'!K48)</f>
        <v>Đã CK:</v>
      </c>
      <c r="L45" s="2">
        <f>IF('GIA CONG ACRYLIC'!L48="","",'GIA CONG ACRYLIC'!L48)</f>
        <v>16014000</v>
      </c>
      <c r="M45" s="2" t="str">
        <f>IF('GIA CONG ACRYLIC'!M48="","",'GIA CONG ACRYLIC'!M48)</f>
        <v/>
      </c>
      <c r="N45" s="3" t="str">
        <f>'GIA CONG ACRYLIC'!$H$7</f>
        <v>L2345</v>
      </c>
      <c r="O45" s="2">
        <f>IF('GIA CONG ACRYLIC'!I48+'GIA CONG ACRYLIC'!J48="","",'GIA CONG ACRYLIC'!I48+'GIA CONG ACRYLIC'!J48)</f>
        <v>0</v>
      </c>
      <c r="P45" s="3">
        <f>IF('LENH GIA CONG TAM'!H26="","",'LENH GIA CONG TAM'!H26)</f>
        <v>1.8920000000000001</v>
      </c>
      <c r="Q45" s="3">
        <f>IF('LENH GIA CONG TAM'!I26="","",'LENH GIA CONG TAM'!I26)</f>
        <v>0.42199999999999999</v>
      </c>
      <c r="R45" s="107">
        <f>'GIA CONG ACRYLIC'!$M$6</f>
        <v>46147.447916666664</v>
      </c>
      <c r="S45" s="3">
        <f>'GIA CONG ACRYLIC'!$M$7</f>
        <v>3</v>
      </c>
      <c r="T45" s="107">
        <f>'GIA CONG ACRYLIC'!$M$8</f>
        <v>46150.447916666664</v>
      </c>
    </row>
    <row r="46" spans="1:20" x14ac:dyDescent="0.25">
      <c r="A46" s="2" t="str">
        <f>IF('GIA CONG ACRYLIC'!A49="","",'GIA CONG ACRYLIC'!A49)</f>
        <v/>
      </c>
      <c r="B46" s="2" t="str">
        <f>IF('GIA CONG ACRYLIC'!B49="","",'GIA CONG ACRYLIC'!B49)</f>
        <v/>
      </c>
      <c r="C46" s="2" t="str">
        <f>IF('GIA CONG ACRYLIC'!C49="","",'GIA CONG ACRYLIC'!C49)</f>
        <v/>
      </c>
      <c r="D46" s="2" t="str">
        <f>IF('GIA CONG ACRYLIC'!D49="","",'GIA CONG ACRYLIC'!D49)</f>
        <v/>
      </c>
      <c r="E46" s="2" t="str">
        <f>IF('GIA CONG ACRYLIC'!E49="","",'GIA CONG ACRYLIC'!E49)</f>
        <v/>
      </c>
      <c r="F46" s="2" t="str">
        <f>IF('GIA CONG ACRYLIC'!F49="","",'GIA CONG ACRYLIC'!F49)</f>
        <v/>
      </c>
      <c r="G46" s="2" t="str">
        <f>IF('GIA CONG ACRYLIC'!G49="","",'GIA CONG ACRYLIC'!G49)</f>
        <v/>
      </c>
      <c r="H46" s="2" t="str">
        <f>IF('GIA CONG ACRYLIC'!H49="","",'GIA CONG ACRYLIC'!H49)</f>
        <v/>
      </c>
      <c r="I46" s="2" t="str">
        <f>IF('GIA CONG ACRYLIC'!I49="","",'GIA CONG ACRYLIC'!I49)</f>
        <v/>
      </c>
      <c r="J46" s="2" t="str">
        <f>IF('GIA CONG ACRYLIC'!J49="","",'GIA CONG ACRYLIC'!J49)</f>
        <v/>
      </c>
      <c r="K46" s="2" t="str">
        <f>IF('GIA CONG ACRYLIC'!K49="","",'GIA CONG ACRYLIC'!K49)</f>
        <v>Còn lại:</v>
      </c>
      <c r="L46" s="2">
        <f>IF('GIA CONG ACRYLIC'!L49="","",'GIA CONG ACRYLIC'!L49)</f>
        <v>10096000</v>
      </c>
      <c r="M46" s="2" t="str">
        <f>IF('GIA CONG ACRYLIC'!M49="","",'GIA CONG ACRYLIC'!M49)</f>
        <v/>
      </c>
      <c r="N46" s="3" t="str">
        <f>'GIA CONG ACRYLIC'!$H$7</f>
        <v>L2345</v>
      </c>
      <c r="O46" s="2">
        <f>IF('GIA CONG ACRYLIC'!I49+'GIA CONG ACRYLIC'!J49="","",'GIA CONG ACRYLIC'!I49+'GIA CONG ACRYLIC'!J49)</f>
        <v>0</v>
      </c>
      <c r="P46" s="3">
        <f>IF('LENH GIA CONG TAM'!H27="","",'LENH GIA CONG TAM'!H27)</f>
        <v>1.7719999999999998</v>
      </c>
      <c r="Q46" s="3">
        <f>IF('LENH GIA CONG TAM'!I27="","",'LENH GIA CONG TAM'!I27)</f>
        <v>0.30199999999999999</v>
      </c>
      <c r="R46" s="107">
        <f>'GIA CONG ACRYLIC'!$M$6</f>
        <v>46147.447916666664</v>
      </c>
      <c r="S46" s="3">
        <f>'GIA CONG ACRYLIC'!$M$7</f>
        <v>3</v>
      </c>
      <c r="T46" s="107">
        <f>'GIA CONG ACRYLIC'!$M$8</f>
        <v>46150.447916666664</v>
      </c>
    </row>
    <row r="47" spans="1:20" x14ac:dyDescent="0.25">
      <c r="A47" s="2" t="str">
        <f>IF('GIA CONG ACRYLIC'!A50="","",'GIA CONG ACRYLIC'!A50)</f>
        <v>Lưu ý:</v>
      </c>
      <c r="B47" s="2" t="str">
        <f>IF('GIA CONG ACRYLIC'!B50="","",'GIA CONG ACRYLIC'!B50)</f>
        <v/>
      </c>
      <c r="C47" s="2" t="str">
        <f>IF('GIA CONG ACRYLIC'!C50="","",'GIA CONG ACRYLIC'!C50)</f>
        <v/>
      </c>
      <c r="D47" s="2" t="str">
        <f>IF('GIA CONG ACRYLIC'!D50="","",'GIA CONG ACRYLIC'!D50)</f>
        <v/>
      </c>
      <c r="E47" s="2" t="str">
        <f>IF('GIA CONG ACRYLIC'!E50="","",'GIA CONG ACRYLIC'!E50)</f>
        <v/>
      </c>
      <c r="F47" s="2" t="str">
        <f>IF('GIA CONG ACRYLIC'!F50="","",'GIA CONG ACRYLIC'!F50)</f>
        <v/>
      </c>
      <c r="G47" s="2" t="str">
        <f>IF('GIA CONG ACRYLIC'!G50="","",'GIA CONG ACRYLIC'!G50)</f>
        <v/>
      </c>
      <c r="H47" s="2" t="str">
        <f>IF('GIA CONG ACRYLIC'!H50="","",'GIA CONG ACRYLIC'!H50)</f>
        <v/>
      </c>
      <c r="I47" s="2" t="str">
        <f>IF('GIA CONG ACRYLIC'!I50="","",'GIA CONG ACRYLIC'!I50)</f>
        <v/>
      </c>
      <c r="J47" s="2" t="str">
        <f>IF('GIA CONG ACRYLIC'!J50="","",'GIA CONG ACRYLIC'!J50)</f>
        <v/>
      </c>
      <c r="K47" s="2" t="str">
        <f>IF('GIA CONG ACRYLIC'!K50="","",'GIA CONG ACRYLIC'!K50)</f>
        <v/>
      </c>
      <c r="L47" s="2" t="str">
        <f>IF('GIA CONG ACRYLIC'!L50="","",'GIA CONG ACRYLIC'!L50)</f>
        <v/>
      </c>
      <c r="M47" s="2" t="str">
        <f>IF('GIA CONG ACRYLIC'!M50="","",'GIA CONG ACRYLIC'!M50)</f>
        <v/>
      </c>
      <c r="N47" s="3" t="str">
        <f>'GIA CONG ACRYLIC'!$H$7</f>
        <v>L2345</v>
      </c>
      <c r="O47" s="2">
        <f>IF('GIA CONG ACRYLIC'!I50+'GIA CONG ACRYLIC'!J50="","",'GIA CONG ACRYLIC'!I50+'GIA CONG ACRYLIC'!J50)</f>
        <v>0</v>
      </c>
      <c r="P47" s="3">
        <f>IF('LENH GIA CONG TAM'!H28="","",'LENH GIA CONG TAM'!H28)</f>
        <v>3.3660000000000001</v>
      </c>
      <c r="Q47" s="3">
        <f>IF('LENH GIA CONG TAM'!I28="","",'LENH GIA CONG TAM'!I28)</f>
        <v>0.70599999999999996</v>
      </c>
      <c r="R47" s="107">
        <f>'GIA CONG ACRYLIC'!$M$6</f>
        <v>46147.447916666664</v>
      </c>
      <c r="S47" s="3">
        <f>'GIA CONG ACRYLIC'!$M$7</f>
        <v>3</v>
      </c>
      <c r="T47" s="107">
        <f>'GIA CONG ACRYLIC'!$M$8</f>
        <v>46150.447916666664</v>
      </c>
    </row>
    <row r="48" spans="1:20" x14ac:dyDescent="0.25">
      <c r="A48" s="2" t="str">
        <f>IF('GIA CONG ACRYLIC'!A51="","",'GIA CONG ACRYLIC'!A51)</f>
        <v/>
      </c>
      <c r="B48" s="2" t="str">
        <f>IF('GIA CONG ACRYLIC'!B51="","",'GIA CONG ACRYLIC'!B51)</f>
        <v/>
      </c>
      <c r="C48" s="2" t="str">
        <f>IF('GIA CONG ACRYLIC'!C51="","",'GIA CONG ACRYLIC'!C51)</f>
        <v>+ Khách hàng phải kiểm tra và xác nhận đã nhận đầy đủ số lượng, tình trạng bên ngoài của hàng như hàng không bị xước hoặc hư hỏng.</v>
      </c>
      <c r="D48" s="2" t="str">
        <f>IF('GIA CONG ACRYLIC'!D51="","",'GIA CONG ACRYLIC'!D51)</f>
        <v/>
      </c>
      <c r="E48" s="2" t="str">
        <f>IF('GIA CONG ACRYLIC'!E51="","",'GIA CONG ACRYLIC'!E51)</f>
        <v/>
      </c>
      <c r="F48" s="2" t="str">
        <f>IF('GIA CONG ACRYLIC'!F51="","",'GIA CONG ACRYLIC'!F51)</f>
        <v/>
      </c>
      <c r="G48" s="2" t="str">
        <f>IF('GIA CONG ACRYLIC'!G51="","",'GIA CONG ACRYLIC'!G51)</f>
        <v/>
      </c>
      <c r="H48" s="2" t="str">
        <f>IF('GIA CONG ACRYLIC'!H51="","",'GIA CONG ACRYLIC'!H51)</f>
        <v/>
      </c>
      <c r="I48" s="2" t="str">
        <f>IF('GIA CONG ACRYLIC'!I51="","",'GIA CONG ACRYLIC'!I51)</f>
        <v/>
      </c>
      <c r="J48" s="2" t="str">
        <f>IF('GIA CONG ACRYLIC'!J51="","",'GIA CONG ACRYLIC'!J51)</f>
        <v/>
      </c>
      <c r="K48" s="2" t="str">
        <f>IF('GIA CONG ACRYLIC'!K51="","",'GIA CONG ACRYLIC'!K51)</f>
        <v/>
      </c>
      <c r="L48" s="2" t="str">
        <f>IF('GIA CONG ACRYLIC'!L51="","",'GIA CONG ACRYLIC'!L51)</f>
        <v/>
      </c>
      <c r="M48" s="2" t="str">
        <f>IF('GIA CONG ACRYLIC'!M51="","",'GIA CONG ACRYLIC'!M51)</f>
        <v/>
      </c>
      <c r="N48" s="3" t="str">
        <f>'GIA CONG ACRYLIC'!$H$7</f>
        <v>L2345</v>
      </c>
      <c r="O48" s="2">
        <f>IF('GIA CONG ACRYLIC'!I51+'GIA CONG ACRYLIC'!J51="","",'GIA CONG ACRYLIC'!I51+'GIA CONG ACRYLIC'!J51)</f>
        <v>0</v>
      </c>
      <c r="P48" s="3">
        <f>IF('LENH GIA CONG TAM'!H29="","",'LENH GIA CONG TAM'!H29)</f>
        <v>3.6060000000000003</v>
      </c>
      <c r="Q48" s="3">
        <f>IF('LENH GIA CONG TAM'!I29="","",'LENH GIA CONG TAM'!I29)</f>
        <v>0.66600000000000004</v>
      </c>
      <c r="R48" s="107">
        <f>'GIA CONG ACRYLIC'!$M$6</f>
        <v>46147.447916666664</v>
      </c>
      <c r="S48" s="3">
        <f>'GIA CONG ACRYLIC'!$M$7</f>
        <v>3</v>
      </c>
      <c r="T48" s="107">
        <f>'GIA CONG ACRYLIC'!$M$8</f>
        <v>46150.447916666664</v>
      </c>
    </row>
    <row r="49" spans="1:20" x14ac:dyDescent="0.25">
      <c r="A49" s="2" t="str">
        <f>IF('GIA CONG ACRYLIC'!A52="","",'GIA CONG ACRYLIC'!A52)</f>
        <v/>
      </c>
      <c r="B49" s="2" t="str">
        <f>IF('GIA CONG ACRYLIC'!B52="","",'GIA CONG ACRYLIC'!B52)</f>
        <v/>
      </c>
      <c r="C49" s="2" t="str">
        <f>IF('GIA CONG ACRYLIC'!C52="","",'GIA CONG ACRYLIC'!C52)</f>
        <v>+ Nếu khách hàng nhận hàng mà không kiểm tra hoặc bỏ qua bước kiểm tra và ký nhận thì bên cung cấp hàng không chịu trách nhiệm về việc hư hỏng hay thiếu sót hàng tính từ thời điểm giao xong hàng.</v>
      </c>
      <c r="D49" s="2" t="str">
        <f>IF('GIA CONG ACRYLIC'!D52="","",'GIA CONG ACRYLIC'!D52)</f>
        <v/>
      </c>
      <c r="E49" s="2" t="str">
        <f>IF('GIA CONG ACRYLIC'!E52="","",'GIA CONG ACRYLIC'!E52)</f>
        <v/>
      </c>
      <c r="F49" s="2" t="str">
        <f>IF('GIA CONG ACRYLIC'!F52="","",'GIA CONG ACRYLIC'!F52)</f>
        <v/>
      </c>
      <c r="G49" s="2" t="str">
        <f>IF('GIA CONG ACRYLIC'!G52="","",'GIA CONG ACRYLIC'!G52)</f>
        <v/>
      </c>
      <c r="H49" s="2" t="str">
        <f>IF('GIA CONG ACRYLIC'!H52="","",'GIA CONG ACRYLIC'!H52)</f>
        <v/>
      </c>
      <c r="I49" s="2" t="str">
        <f>IF('GIA CONG ACRYLIC'!I52="","",'GIA CONG ACRYLIC'!I52)</f>
        <v/>
      </c>
      <c r="J49" s="2" t="str">
        <f>IF('GIA CONG ACRYLIC'!J52="","",'GIA CONG ACRYLIC'!J52)</f>
        <v/>
      </c>
      <c r="K49" s="2" t="str">
        <f>IF('GIA CONG ACRYLIC'!K52="","",'GIA CONG ACRYLIC'!K52)</f>
        <v/>
      </c>
      <c r="L49" s="2" t="str">
        <f>IF('GIA CONG ACRYLIC'!L52="","",'GIA CONG ACRYLIC'!L52)</f>
        <v/>
      </c>
      <c r="M49" s="2" t="str">
        <f>IF('GIA CONG ACRYLIC'!M52="","",'GIA CONG ACRYLIC'!M52)</f>
        <v/>
      </c>
      <c r="N49" s="3" t="str">
        <f>'GIA CONG ACRYLIC'!$H$7</f>
        <v>L2345</v>
      </c>
      <c r="O49" s="2">
        <f>IF('GIA CONG ACRYLIC'!I52+'GIA CONG ACRYLIC'!J52="","",'GIA CONG ACRYLIC'!I52+'GIA CONG ACRYLIC'!J52)</f>
        <v>0</v>
      </c>
      <c r="P49" s="3">
        <f>IF('LENH GIA CONG TAM'!H30="","",'LENH GIA CONG TAM'!H30)</f>
        <v>1.8059999999999998</v>
      </c>
      <c r="Q49" s="3">
        <f>IF('LENH GIA CONG TAM'!I30="","",'LENH GIA CONG TAM'!I30)</f>
        <v>0.33600000000000002</v>
      </c>
      <c r="R49" s="107">
        <f>'GIA CONG ACRYLIC'!$M$6</f>
        <v>46147.447916666664</v>
      </c>
      <c r="S49" s="3">
        <f>'GIA CONG ACRYLIC'!$M$7</f>
        <v>3</v>
      </c>
      <c r="T49" s="107">
        <f>'GIA CONG ACRYLIC'!$M$8</f>
        <v>46150.447916666664</v>
      </c>
    </row>
    <row r="50" spans="1:20" x14ac:dyDescent="0.25">
      <c r="A50" s="2" t="str">
        <f>IF('GIA CONG ACRYLIC'!A53="","",'GIA CONG ACRYLIC'!A53)</f>
        <v/>
      </c>
      <c r="B50" s="2" t="str">
        <f>IF('GIA CONG ACRYLIC'!B53="","",'GIA CONG ACRYLIC'!B53)</f>
        <v/>
      </c>
      <c r="C50" s="2" t="str">
        <f>IF('GIA CONG ACRYLIC'!C53="","",'GIA CONG ACRYLIC'!C53)</f>
        <v/>
      </c>
      <c r="D50" s="2" t="str">
        <f>IF('GIA CONG ACRYLIC'!D53="","",'GIA CONG ACRYLIC'!D53)</f>
        <v/>
      </c>
      <c r="E50" s="2" t="str">
        <f>IF('GIA CONG ACRYLIC'!E53="","",'GIA CONG ACRYLIC'!E53)</f>
        <v/>
      </c>
      <c r="F50" s="2" t="str">
        <f>IF('GIA CONG ACRYLIC'!F53="","",'GIA CONG ACRYLIC'!F53)</f>
        <v/>
      </c>
      <c r="G50" s="2" t="str">
        <f>IF('GIA CONG ACRYLIC'!G53="","",'GIA CONG ACRYLIC'!G53)</f>
        <v/>
      </c>
      <c r="H50" s="2" t="str">
        <f>IF('GIA CONG ACRYLIC'!H53="","",'GIA CONG ACRYLIC'!H53)</f>
        <v/>
      </c>
      <c r="I50" s="2" t="str">
        <f>IF('GIA CONG ACRYLIC'!I53="","",'GIA CONG ACRYLIC'!I53)</f>
        <v/>
      </c>
      <c r="J50" s="2" t="str">
        <f>IF('GIA CONG ACRYLIC'!J53="","",'GIA CONG ACRYLIC'!J53)</f>
        <v/>
      </c>
      <c r="K50" s="2" t="str">
        <f>IF('GIA CONG ACRYLIC'!K53="","",'GIA CONG ACRYLIC'!K53)</f>
        <v/>
      </c>
      <c r="L50" s="2" t="str">
        <f>IF('GIA CONG ACRYLIC'!L53="","",'GIA CONG ACRYLIC'!L53)</f>
        <v/>
      </c>
      <c r="M50" s="2" t="str">
        <f>IF('GIA CONG ACRYLIC'!M53="","",'GIA CONG ACRYLIC'!M53)</f>
        <v/>
      </c>
      <c r="N50" s="3" t="str">
        <f>'GIA CONG ACRYLIC'!$H$7</f>
        <v>L2345</v>
      </c>
      <c r="O50" s="2">
        <f>IF('GIA CONG ACRYLIC'!I53+'GIA CONG ACRYLIC'!J53="","",'GIA CONG ACRYLIC'!I53+'GIA CONG ACRYLIC'!J53)</f>
        <v>0</v>
      </c>
      <c r="P50" s="3">
        <f>IF('LENH GIA CONG TAM'!H31="","",'LENH GIA CONG TAM'!H31)</f>
        <v>1.984</v>
      </c>
      <c r="Q50" s="3">
        <f>IF('LENH GIA CONG TAM'!I31="","",'LENH GIA CONG TAM'!I31)</f>
        <v>0.37</v>
      </c>
      <c r="R50" s="107">
        <f>'GIA CONG ACRYLIC'!$M$6</f>
        <v>46147.447916666664</v>
      </c>
      <c r="S50" s="3">
        <f>'GIA CONG ACRYLIC'!$M$7</f>
        <v>3</v>
      </c>
      <c r="T50" s="107">
        <f>'GIA CONG ACRYLIC'!$M$8</f>
        <v>46150.447916666664</v>
      </c>
    </row>
    <row r="51" spans="1:20" x14ac:dyDescent="0.25">
      <c r="A51" s="2" t="str">
        <f>IF('GIA CONG ACRYLIC'!A54="","",'GIA CONG ACRYLIC'!A54)</f>
        <v/>
      </c>
      <c r="B51" s="2" t="str">
        <f>IF('GIA CONG ACRYLIC'!B54="","",'GIA CONG ACRYLIC'!B54)</f>
        <v/>
      </c>
      <c r="C51" s="2" t="str">
        <f>IF('GIA CONG ACRYLIC'!C54="","",'GIA CONG ACRYLIC'!C54)</f>
        <v>XÁC NHẬN BÊN MUA HÀNG</v>
      </c>
      <c r="D51" s="2" t="str">
        <f>IF('GIA CONG ACRYLIC'!D54="","",'GIA CONG ACRYLIC'!D54)</f>
        <v/>
      </c>
      <c r="E51" s="2" t="str">
        <f>IF('GIA CONG ACRYLIC'!E54="","",'GIA CONG ACRYLIC'!E54)</f>
        <v/>
      </c>
      <c r="F51" s="2" t="str">
        <f>IF('GIA CONG ACRYLIC'!F54="","",'GIA CONG ACRYLIC'!F54)</f>
        <v/>
      </c>
      <c r="G51" s="2" t="str">
        <f>IF('GIA CONG ACRYLIC'!G54="","",'GIA CONG ACRYLIC'!G54)</f>
        <v>NGƯỜI CHÀO GIÁ</v>
      </c>
      <c r="H51" s="2" t="str">
        <f>IF('GIA CONG ACRYLIC'!H54="","",'GIA CONG ACRYLIC'!H54)</f>
        <v/>
      </c>
      <c r="I51" s="2" t="str">
        <f>IF('GIA CONG ACRYLIC'!I54="","",'GIA CONG ACRYLIC'!I54)</f>
        <v/>
      </c>
      <c r="J51" s="2" t="str">
        <f>IF('GIA CONG ACRYLIC'!J54="","",'GIA CONG ACRYLIC'!J54)</f>
        <v/>
      </c>
      <c r="K51" s="2" t="str">
        <f>IF('GIA CONG ACRYLIC'!K54="","",'GIA CONG ACRYLIC'!K54)</f>
        <v>KẾ TOÁN XÁC NHẬN</v>
      </c>
      <c r="L51" s="2" t="str">
        <f>IF('GIA CONG ACRYLIC'!L54="","",'GIA CONG ACRYLIC'!L54)</f>
        <v/>
      </c>
      <c r="M51" s="2" t="str">
        <f>IF('GIA CONG ACRYLIC'!M54="","",'GIA CONG ACRYLIC'!M54)</f>
        <v/>
      </c>
      <c r="N51" s="3" t="str">
        <f>'GIA CONG ACRYLIC'!$H$7</f>
        <v>L2345</v>
      </c>
      <c r="O51" s="2">
        <f>IF('GIA CONG ACRYLIC'!I54+'GIA CONG ACRYLIC'!J54="","",'GIA CONG ACRYLIC'!I54+'GIA CONG ACRYLIC'!J54)</f>
        <v>0</v>
      </c>
      <c r="P51" s="3" t="e">
        <f>IF('LENH GIA CONG TAM'!#REF!="","",'LENH GIA CONG TAM'!#REF!)</f>
        <v>#REF!</v>
      </c>
      <c r="Q51" s="3" t="e">
        <f>IF('LENH GIA CONG TAM'!#REF!="","",'LENH GIA CONG TAM'!#REF!)</f>
        <v>#REF!</v>
      </c>
      <c r="R51" s="107">
        <f>'GIA CONG ACRYLIC'!$M$6</f>
        <v>46147.447916666664</v>
      </c>
      <c r="S51" s="3">
        <f>'GIA CONG ACRYLIC'!$M$7</f>
        <v>3</v>
      </c>
      <c r="T51" s="107">
        <f>'GIA CONG ACRYLIC'!$M$8</f>
        <v>46150.447916666664</v>
      </c>
    </row>
    <row r="52" spans="1:20" x14ac:dyDescent="0.25">
      <c r="A52" s="2" t="str">
        <f>IF('GIA CONG ACRYLIC'!A55="","",'GIA CONG ACRYLIC'!A55)</f>
        <v/>
      </c>
      <c r="B52" s="2" t="str">
        <f>IF('GIA CONG ACRYLIC'!B55="","",'GIA CONG ACRYLIC'!B55)</f>
        <v>Ngày………….đã nhận đủ số lượng và đã kiểm tra hàng không bị xước hoặc hư hỏng.</v>
      </c>
      <c r="C52" s="2" t="str">
        <f>IF('GIA CONG ACRYLIC'!C55="","",'GIA CONG ACRYLIC'!C55)</f>
        <v/>
      </c>
      <c r="D52" s="2" t="str">
        <f>IF('GIA CONG ACRYLIC'!D55="","",'GIA CONG ACRYLIC'!D55)</f>
        <v/>
      </c>
      <c r="E52" s="2" t="str">
        <f>IF('GIA CONG ACRYLIC'!E55="","",'GIA CONG ACRYLIC'!E55)</f>
        <v/>
      </c>
      <c r="F52" s="2" t="str">
        <f>IF('GIA CONG ACRYLIC'!F55="","",'GIA CONG ACRYLIC'!F55)</f>
        <v/>
      </c>
      <c r="G52" s="2" t="str">
        <f>IF('GIA CONG ACRYLIC'!G55="","",'GIA CONG ACRYLIC'!G55)</f>
        <v>(Ký, ghi rõ họ tên)</v>
      </c>
      <c r="H52" s="2" t="str">
        <f>IF('GIA CONG ACRYLIC'!H55="","",'GIA CONG ACRYLIC'!H55)</f>
        <v/>
      </c>
      <c r="I52" s="2" t="str">
        <f>IF('GIA CONG ACRYLIC'!I55="","",'GIA CONG ACRYLIC'!I55)</f>
        <v/>
      </c>
      <c r="J52" s="2" t="str">
        <f>IF('GIA CONG ACRYLIC'!J55="","",'GIA CONG ACRYLIC'!J55)</f>
        <v/>
      </c>
      <c r="K52" s="2" t="str">
        <f>IF('GIA CONG ACRYLIC'!K55="","",'GIA CONG ACRYLIC'!K55)</f>
        <v>(Ký, ghi rõ họ tên)</v>
      </c>
      <c r="L52" s="2" t="str">
        <f>IF('GIA CONG ACRYLIC'!L55="","",'GIA CONG ACRYLIC'!L55)</f>
        <v/>
      </c>
      <c r="M52" s="2" t="str">
        <f>IF('GIA CONG ACRYLIC'!M55="","",'GIA CONG ACRYLIC'!M55)</f>
        <v/>
      </c>
      <c r="N52" s="3" t="str">
        <f>'GIA CONG ACRYLIC'!$H$7</f>
        <v>L2345</v>
      </c>
      <c r="O52" s="2">
        <f>IF('GIA CONG ACRYLIC'!I55+'GIA CONG ACRYLIC'!J55="","",'GIA CONG ACRYLIC'!I55+'GIA CONG ACRYLIC'!J55)</f>
        <v>0</v>
      </c>
      <c r="P52" s="3" t="e">
        <f>IF('LENH GIA CONG TAM'!#REF!="","",'LENH GIA CONG TAM'!#REF!)</f>
        <v>#REF!</v>
      </c>
      <c r="Q52" s="3" t="e">
        <f>IF('LENH GIA CONG TAM'!#REF!="","",'LENH GIA CONG TAM'!#REF!)</f>
        <v>#REF!</v>
      </c>
      <c r="R52" s="107">
        <f>'GIA CONG ACRYLIC'!$M$6</f>
        <v>46147.447916666664</v>
      </c>
      <c r="S52" s="3">
        <f>'GIA CONG ACRYLIC'!$M$7</f>
        <v>3</v>
      </c>
      <c r="T52" s="107">
        <f>'GIA CONG ACRYLIC'!$M$8</f>
        <v>46150.447916666664</v>
      </c>
    </row>
    <row r="53" spans="1:20" x14ac:dyDescent="0.25">
      <c r="A53" s="2" t="str">
        <f>IF('GIA CONG ACRYLIC'!A56="","",'GIA CONG ACRYLIC'!A56)</f>
        <v/>
      </c>
      <c r="B53" s="2" t="str">
        <f>IF('GIA CONG ACRYLIC'!B56="","",'GIA CONG ACRYLIC'!B56)</f>
        <v/>
      </c>
      <c r="C53" s="2" t="str">
        <f>IF('GIA CONG ACRYLIC'!C56="","",'GIA CONG ACRYLIC'!C56)</f>
        <v>(Ký, ghi rõ họ tên)</v>
      </c>
      <c r="D53" s="2" t="str">
        <f>IF('GIA CONG ACRYLIC'!D56="","",'GIA CONG ACRYLIC'!D56)</f>
        <v/>
      </c>
      <c r="E53" s="2" t="str">
        <f>IF('GIA CONG ACRYLIC'!E56="","",'GIA CONG ACRYLIC'!E56)</f>
        <v/>
      </c>
      <c r="F53" s="2" t="str">
        <f>IF('GIA CONG ACRYLIC'!F56="","",'GIA CONG ACRYLIC'!F56)</f>
        <v/>
      </c>
      <c r="G53" s="2" t="str">
        <f>IF('GIA CONG ACRYLIC'!G56="","",'GIA CONG ACRYLIC'!G56)</f>
        <v/>
      </c>
      <c r="H53" s="2" t="str">
        <f>IF('GIA CONG ACRYLIC'!H56="","",'GIA CONG ACRYLIC'!H56)</f>
        <v/>
      </c>
      <c r="I53" s="2" t="str">
        <f>IF('GIA CONG ACRYLIC'!I56="","",'GIA CONG ACRYLIC'!I56)</f>
        <v/>
      </c>
      <c r="J53" s="2" t="str">
        <f>IF('GIA CONG ACRYLIC'!J56="","",'GIA CONG ACRYLIC'!J56)</f>
        <v/>
      </c>
      <c r="K53" s="2" t="str">
        <f>IF('GIA CONG ACRYLIC'!K56="","",'GIA CONG ACRYLIC'!K56)</f>
        <v/>
      </c>
      <c r="L53" s="2" t="str">
        <f>IF('GIA CONG ACRYLIC'!L56="","",'GIA CONG ACRYLIC'!L56)</f>
        <v/>
      </c>
      <c r="M53" s="2" t="str">
        <f>IF('GIA CONG ACRYLIC'!M56="","",'GIA CONG ACRYLIC'!M56)</f>
        <v/>
      </c>
      <c r="N53" s="3" t="str">
        <f>'GIA CONG ACRYLIC'!$H$7</f>
        <v>L2345</v>
      </c>
      <c r="O53" s="2">
        <f>IF('GIA CONG ACRYLIC'!I56+'GIA CONG ACRYLIC'!J56="","",'GIA CONG ACRYLIC'!I56+'GIA CONG ACRYLIC'!J56)</f>
        <v>0</v>
      </c>
      <c r="P53" s="3" t="e">
        <f>IF('LENH GIA CONG TAM'!#REF!="","",'LENH GIA CONG TAM'!#REF!)</f>
        <v>#REF!</v>
      </c>
      <c r="Q53" s="3" t="e">
        <f>IF('LENH GIA CONG TAM'!#REF!="","",'LENH GIA CONG TAM'!#REF!)</f>
        <v>#REF!</v>
      </c>
      <c r="R53" s="107">
        <f>'GIA CONG ACRYLIC'!$M$6</f>
        <v>46147.447916666664</v>
      </c>
      <c r="S53" s="3">
        <f>'GIA CONG ACRYLIC'!$M$7</f>
        <v>3</v>
      </c>
      <c r="T53" s="107">
        <f>'GIA CONG ACRYLIC'!$M$8</f>
        <v>46150.447916666664</v>
      </c>
    </row>
    <row r="54" spans="1:20" x14ac:dyDescent="0.25">
      <c r="A54" s="2" t="str">
        <f>IF('GIA CONG ACRYLIC'!A57="","",'GIA CONG ACRYLIC'!A57)</f>
        <v/>
      </c>
      <c r="B54" s="2" t="str">
        <f>IF('GIA CONG ACRYLIC'!B57="","",'GIA CONG ACRYLIC'!B57)</f>
        <v/>
      </c>
      <c r="C54" s="2" t="str">
        <f>IF('GIA CONG ACRYLIC'!C57="","",'GIA CONG ACRYLIC'!C57)</f>
        <v/>
      </c>
      <c r="D54" s="2" t="str">
        <f>IF('GIA CONG ACRYLIC'!D57="","",'GIA CONG ACRYLIC'!D57)</f>
        <v/>
      </c>
      <c r="E54" s="2" t="str">
        <f>IF('GIA CONG ACRYLIC'!E57="","",'GIA CONG ACRYLIC'!E57)</f>
        <v/>
      </c>
      <c r="F54" s="2" t="str">
        <f>IF('GIA CONG ACRYLIC'!F57="","",'GIA CONG ACRYLIC'!F57)</f>
        <v/>
      </c>
      <c r="G54" s="2" t="str">
        <f>IF('GIA CONG ACRYLIC'!G57="","",'GIA CONG ACRYLIC'!G57)</f>
        <v/>
      </c>
      <c r="H54" s="2" t="str">
        <f>IF('GIA CONG ACRYLIC'!H57="","",'GIA CONG ACRYLIC'!H57)</f>
        <v/>
      </c>
      <c r="I54" s="2" t="str">
        <f>IF('GIA CONG ACRYLIC'!I57="","",'GIA CONG ACRYLIC'!I57)</f>
        <v/>
      </c>
      <c r="J54" s="2" t="str">
        <f>IF('GIA CONG ACRYLIC'!J57="","",'GIA CONG ACRYLIC'!J57)</f>
        <v/>
      </c>
      <c r="K54" s="2" t="str">
        <f>IF('GIA CONG ACRYLIC'!K57="","",'GIA CONG ACRYLIC'!K57)</f>
        <v/>
      </c>
      <c r="L54" s="2" t="str">
        <f>IF('GIA CONG ACRYLIC'!L57="","",'GIA CONG ACRYLIC'!L57)</f>
        <v/>
      </c>
      <c r="M54" s="2" t="str">
        <f>IF('GIA CONG ACRYLIC'!M57="","",'GIA CONG ACRYLIC'!M57)</f>
        <v/>
      </c>
      <c r="N54" s="3" t="str">
        <f>'GIA CONG ACRYLIC'!$H$7</f>
        <v>L2345</v>
      </c>
      <c r="O54" s="2">
        <f>IF('GIA CONG ACRYLIC'!I57+'GIA CONG ACRYLIC'!J57="","",'GIA CONG ACRYLIC'!I57+'GIA CONG ACRYLIC'!J57)</f>
        <v>0</v>
      </c>
      <c r="P54" s="3" t="e">
        <f>IF('LENH GIA CONG TAM'!#REF!="","",'LENH GIA CONG TAM'!#REF!)</f>
        <v>#REF!</v>
      </c>
      <c r="Q54" s="3" t="e">
        <f>IF('LENH GIA CONG TAM'!#REF!="","",'LENH GIA CONG TAM'!#REF!)</f>
        <v>#REF!</v>
      </c>
      <c r="R54" s="107">
        <f>'GIA CONG ACRYLIC'!$M$6</f>
        <v>46147.447916666664</v>
      </c>
      <c r="S54" s="3">
        <f>'GIA CONG ACRYLIC'!$M$7</f>
        <v>3</v>
      </c>
      <c r="T54" s="107">
        <f>'GIA CONG ACRYLIC'!$M$8</f>
        <v>46150.447916666664</v>
      </c>
    </row>
    <row r="55" spans="1:20" x14ac:dyDescent="0.25">
      <c r="A55" s="2">
        <f>IF('GIA CONG ACRYLIC'!A58="","",'GIA CONG ACRYLIC'!A58)</f>
        <v>1</v>
      </c>
      <c r="B55" s="2" t="str">
        <f>IF('GIA CONG ACRYLIC'!B58="","",'GIA CONG ACRYLIC'!B58)</f>
        <v/>
      </c>
      <c r="C55" s="2" t="str">
        <f>IF('GIA CONG ACRYLIC'!C58="","",'GIA CONG ACRYLIC'!C58)</f>
        <v>Đơn giá trên chưa bao gồm VAT. Đúng sai ±1 mm.</v>
      </c>
      <c r="D55" s="2" t="str">
        <f>IF('GIA CONG ACRYLIC'!D58="","",'GIA CONG ACRYLIC'!D58)</f>
        <v/>
      </c>
      <c r="E55" s="2" t="str">
        <f>IF('GIA CONG ACRYLIC'!E58="","",'GIA CONG ACRYLIC'!E58)</f>
        <v/>
      </c>
      <c r="F55" s="2" t="str">
        <f>IF('GIA CONG ACRYLIC'!F58="","",'GIA CONG ACRYLIC'!F58)</f>
        <v/>
      </c>
      <c r="G55" s="2" t="str">
        <f>IF('GIA CONG ACRYLIC'!G58="","",'GIA CONG ACRYLIC'!G58)</f>
        <v/>
      </c>
      <c r="H55" s="2" t="str">
        <f>IF('GIA CONG ACRYLIC'!H58="","",'GIA CONG ACRYLIC'!H58)</f>
        <v/>
      </c>
      <c r="I55" s="2" t="str">
        <f>IF('GIA CONG ACRYLIC'!I58="","",'GIA CONG ACRYLIC'!I58)</f>
        <v/>
      </c>
      <c r="J55" s="2" t="str">
        <f>IF('GIA CONG ACRYLIC'!J58="","",'GIA CONG ACRYLIC'!J58)</f>
        <v/>
      </c>
      <c r="K55" s="2" t="str">
        <f>IF('GIA CONG ACRYLIC'!K58="","",'GIA CONG ACRYLIC'!K58)</f>
        <v/>
      </c>
      <c r="L55" s="2" t="str">
        <f>IF('GIA CONG ACRYLIC'!L58="","",'GIA CONG ACRYLIC'!L58)</f>
        <v/>
      </c>
      <c r="M55" s="2" t="str">
        <f>IF('GIA CONG ACRYLIC'!M58="","",'GIA CONG ACRYLIC'!M58)</f>
        <v/>
      </c>
      <c r="N55" s="3" t="str">
        <f>'GIA CONG ACRYLIC'!$H$7</f>
        <v>L2345</v>
      </c>
      <c r="O55" s="2">
        <f>IF('GIA CONG ACRYLIC'!I58+'GIA CONG ACRYLIC'!J58="","",'GIA CONG ACRYLIC'!I58+'GIA CONG ACRYLIC'!J58)</f>
        <v>0</v>
      </c>
      <c r="P55" s="3" t="e">
        <f>IF('LENH GIA CONG TAM'!#REF!="","",'LENH GIA CONG TAM'!#REF!)</f>
        <v>#REF!</v>
      </c>
      <c r="Q55" s="3" t="e">
        <f>IF('LENH GIA CONG TAM'!#REF!="","",'LENH GIA CONG TAM'!#REF!)</f>
        <v>#REF!</v>
      </c>
      <c r="R55" s="107">
        <f>'GIA CONG ACRYLIC'!$M$6</f>
        <v>46147.447916666664</v>
      </c>
      <c r="S55" s="3">
        <f>'GIA CONG ACRYLIC'!$M$7</f>
        <v>3</v>
      </c>
      <c r="T55" s="107">
        <f>'GIA CONG ACRYLIC'!$M$8</f>
        <v>46150.447916666664</v>
      </c>
    </row>
    <row r="56" spans="1:20" x14ac:dyDescent="0.25">
      <c r="A56" s="2">
        <f>IF('GIA CONG ACRYLIC'!A59="","",'GIA CONG ACRYLIC'!A59)</f>
        <v>2</v>
      </c>
      <c r="B56" s="2" t="str">
        <f>IF('GIA CONG ACRYLIC'!B59="","",'GIA CONG ACRYLIC'!B59)</f>
        <v/>
      </c>
      <c r="C56" s="2" t="str">
        <f>IF('GIA CONG ACRYLIC'!C59="","",'GIA CONG ACRYLIC'!C59)</f>
        <v xml:space="preserve">Ứng trước 50% tiền đơn hàng gia công, thanh toán 50% còn lại trước khi lấy hàng tại kho, giao hàng tại nhà máy bên bán sau 2 đến 3 ngày. </v>
      </c>
      <c r="D56" s="2" t="str">
        <f>IF('GIA CONG ACRYLIC'!D59="","",'GIA CONG ACRYLIC'!D59)</f>
        <v/>
      </c>
      <c r="E56" s="2" t="str">
        <f>IF('GIA CONG ACRYLIC'!E59="","",'GIA CONG ACRYLIC'!E59)</f>
        <v/>
      </c>
      <c r="F56" s="2" t="str">
        <f>IF('GIA CONG ACRYLIC'!F59="","",'GIA CONG ACRYLIC'!F59)</f>
        <v/>
      </c>
      <c r="G56" s="2" t="str">
        <f>IF('GIA CONG ACRYLIC'!G59="","",'GIA CONG ACRYLIC'!G59)</f>
        <v/>
      </c>
      <c r="H56" s="2" t="str">
        <f>IF('GIA CONG ACRYLIC'!H59="","",'GIA CONG ACRYLIC'!H59)</f>
        <v/>
      </c>
      <c r="I56" s="2" t="str">
        <f>IF('GIA CONG ACRYLIC'!I59="","",'GIA CONG ACRYLIC'!I59)</f>
        <v/>
      </c>
      <c r="J56" s="2" t="str">
        <f>IF('GIA CONG ACRYLIC'!J59="","",'GIA CONG ACRYLIC'!J59)</f>
        <v/>
      </c>
      <c r="K56" s="2" t="str">
        <f>IF('GIA CONG ACRYLIC'!K59="","",'GIA CONG ACRYLIC'!K59)</f>
        <v/>
      </c>
      <c r="L56" s="2" t="str">
        <f>IF('GIA CONG ACRYLIC'!L59="","",'GIA CONG ACRYLIC'!L59)</f>
        <v/>
      </c>
      <c r="M56" s="2" t="str">
        <f>IF('GIA CONG ACRYLIC'!M59="","",'GIA CONG ACRYLIC'!M59)</f>
        <v/>
      </c>
      <c r="N56" s="3" t="str">
        <f>'GIA CONG ACRYLIC'!$H$7</f>
        <v>L2345</v>
      </c>
      <c r="O56" s="2">
        <f>IF('GIA CONG ACRYLIC'!I59+'GIA CONG ACRYLIC'!J59="","",'GIA CONG ACRYLIC'!I59+'GIA CONG ACRYLIC'!J59)</f>
        <v>0</v>
      </c>
      <c r="P56" s="3" t="e">
        <f>IF('LENH GIA CONG TAM'!#REF!="","",'LENH GIA CONG TAM'!#REF!)</f>
        <v>#REF!</v>
      </c>
      <c r="Q56" s="3" t="e">
        <f>IF('LENH GIA CONG TAM'!#REF!="","",'LENH GIA CONG TAM'!#REF!)</f>
        <v>#REF!</v>
      </c>
      <c r="R56" s="107">
        <f>'GIA CONG ACRYLIC'!$M$6</f>
        <v>46147.447916666664</v>
      </c>
      <c r="S56" s="3">
        <f>'GIA CONG ACRYLIC'!$M$7</f>
        <v>3</v>
      </c>
      <c r="T56" s="107">
        <f>'GIA CONG ACRYLIC'!$M$8</f>
        <v>46150.447916666664</v>
      </c>
    </row>
    <row r="57" spans="1:20" x14ac:dyDescent="0.25">
      <c r="A57" s="2">
        <f>IF('GIA CONG ACRYLIC'!A60="","",'GIA CONG ACRYLIC'!A60)</f>
        <v>3</v>
      </c>
      <c r="B57" s="2" t="str">
        <f>IF('GIA CONG ACRYLIC'!B60="","",'GIA CONG ACRYLIC'!B60)</f>
        <v/>
      </c>
      <c r="C57" s="2" t="str">
        <f>IF('GIA CONG ACRYLIC'!C60="","",'GIA CONG ACRYLIC'!C60)</f>
        <v>Khi mua tấm Quý khách vui lòng thanh toán 100% tiền hàng trước khi chuyển hàng ra khỏi kho bên bán.</v>
      </c>
      <c r="D57" s="2" t="str">
        <f>IF('GIA CONG ACRYLIC'!D60="","",'GIA CONG ACRYLIC'!D60)</f>
        <v/>
      </c>
      <c r="E57" s="2" t="str">
        <f>IF('GIA CONG ACRYLIC'!E60="","",'GIA CONG ACRYLIC'!E60)</f>
        <v/>
      </c>
      <c r="F57" s="2" t="str">
        <f>IF('GIA CONG ACRYLIC'!F60="","",'GIA CONG ACRYLIC'!F60)</f>
        <v/>
      </c>
      <c r="G57" s="2" t="str">
        <f>IF('GIA CONG ACRYLIC'!G60="","",'GIA CONG ACRYLIC'!G60)</f>
        <v/>
      </c>
      <c r="H57" s="2" t="str">
        <f>IF('GIA CONG ACRYLIC'!H60="","",'GIA CONG ACRYLIC'!H60)</f>
        <v/>
      </c>
      <c r="I57" s="2" t="str">
        <f>IF('GIA CONG ACRYLIC'!I60="","",'GIA CONG ACRYLIC'!I60)</f>
        <v/>
      </c>
      <c r="J57" s="2" t="str">
        <f>IF('GIA CONG ACRYLIC'!J60="","",'GIA CONG ACRYLIC'!J60)</f>
        <v/>
      </c>
      <c r="K57" s="2" t="str">
        <f>IF('GIA CONG ACRYLIC'!K60="","",'GIA CONG ACRYLIC'!K60)</f>
        <v/>
      </c>
      <c r="L57" s="2" t="str">
        <f>IF('GIA CONG ACRYLIC'!L60="","",'GIA CONG ACRYLIC'!L60)</f>
        <v/>
      </c>
      <c r="M57" s="2" t="str">
        <f>IF('GIA CONG ACRYLIC'!M60="","",'GIA CONG ACRYLIC'!M60)</f>
        <v/>
      </c>
      <c r="N57" s="3" t="str">
        <f>'GIA CONG ACRYLIC'!$H$7</f>
        <v>L2345</v>
      </c>
      <c r="O57" s="2">
        <f>IF('GIA CONG ACRYLIC'!I60+'GIA CONG ACRYLIC'!J60="","",'GIA CONG ACRYLIC'!I60+'GIA CONG ACRYLIC'!J60)</f>
        <v>0</v>
      </c>
      <c r="P57" s="3" t="e">
        <f>IF('LENH GIA CONG TAM'!#REF!="","",'LENH GIA CONG TAM'!#REF!)</f>
        <v>#REF!</v>
      </c>
      <c r="Q57" s="3" t="e">
        <f>IF('LENH GIA CONG TAM'!#REF!="","",'LENH GIA CONG TAM'!#REF!)</f>
        <v>#REF!</v>
      </c>
      <c r="R57" s="107">
        <f>'GIA CONG ACRYLIC'!$M$6</f>
        <v>46147.447916666664</v>
      </c>
      <c r="S57" s="3">
        <f>'GIA CONG ACRYLIC'!$M$7</f>
        <v>3</v>
      </c>
      <c r="T57" s="107">
        <f>'GIA CONG ACRYLIC'!$M$8</f>
        <v>46150.447916666664</v>
      </c>
    </row>
    <row r="58" spans="1:20" x14ac:dyDescent="0.25">
      <c r="A58" s="2">
        <f>IF('GIA CONG ACRYLIC'!A61="","",'GIA CONG ACRYLIC'!A61)</f>
        <v>4</v>
      </c>
      <c r="B58" s="2" t="str">
        <f>IF('GIA CONG ACRYLIC'!B61="","",'GIA CONG ACRYLIC'!B61)</f>
        <v/>
      </c>
      <c r="C58" s="2" t="str">
        <f>IF('GIA CONG ACRYLIC'!C61="","",'GIA CONG ACRYLIC'!C61)</f>
        <v>Quý khách có thể thanh toán bằng tiền mặt hoặc chuyển khoản vào một trong các tài khoản sau:</v>
      </c>
      <c r="D58" s="2" t="str">
        <f>IF('GIA CONG ACRYLIC'!D61="","",'GIA CONG ACRYLIC'!D61)</f>
        <v/>
      </c>
      <c r="E58" s="2" t="str">
        <f>IF('GIA CONG ACRYLIC'!E61="","",'GIA CONG ACRYLIC'!E61)</f>
        <v/>
      </c>
      <c r="F58" s="2" t="str">
        <f>IF('GIA CONG ACRYLIC'!F61="","",'GIA CONG ACRYLIC'!F61)</f>
        <v/>
      </c>
      <c r="G58" s="2" t="str">
        <f>IF('GIA CONG ACRYLIC'!G61="","",'GIA CONG ACRYLIC'!G61)</f>
        <v/>
      </c>
      <c r="H58" s="2" t="str">
        <f>IF('GIA CONG ACRYLIC'!H61="","",'GIA CONG ACRYLIC'!H61)</f>
        <v/>
      </c>
      <c r="I58" s="2" t="str">
        <f>IF('GIA CONG ACRYLIC'!I61="","",'GIA CONG ACRYLIC'!I61)</f>
        <v/>
      </c>
      <c r="J58" s="2" t="str">
        <f>IF('GIA CONG ACRYLIC'!J61="","",'GIA CONG ACRYLIC'!J61)</f>
        <v/>
      </c>
      <c r="K58" s="2" t="str">
        <f>IF('GIA CONG ACRYLIC'!K61="","",'GIA CONG ACRYLIC'!K61)</f>
        <v/>
      </c>
      <c r="L58" s="2" t="str">
        <f>IF('GIA CONG ACRYLIC'!L61="","",'GIA CONG ACRYLIC'!L61)</f>
        <v/>
      </c>
      <c r="M58" s="2" t="str">
        <f>IF('GIA CONG ACRYLIC'!M61="","",'GIA CONG ACRYLIC'!M61)</f>
        <v/>
      </c>
      <c r="N58" s="3" t="str">
        <f>'GIA CONG ACRYLIC'!$H$7</f>
        <v>L2345</v>
      </c>
      <c r="O58" s="2">
        <f>IF('GIA CONG ACRYLIC'!I61+'GIA CONG ACRYLIC'!J61="","",'GIA CONG ACRYLIC'!I61+'GIA CONG ACRYLIC'!J61)</f>
        <v>0</v>
      </c>
      <c r="P58" s="3" t="e">
        <f>IF('LENH GIA CONG TAM'!#REF!="","",'LENH GIA CONG TAM'!#REF!)</f>
        <v>#REF!</v>
      </c>
      <c r="Q58" s="3" t="e">
        <f>IF('LENH GIA CONG TAM'!#REF!="","",'LENH GIA CONG TAM'!#REF!)</f>
        <v>#REF!</v>
      </c>
      <c r="R58" s="107">
        <f>'GIA CONG ACRYLIC'!$M$6</f>
        <v>46147.447916666664</v>
      </c>
      <c r="S58" s="3">
        <f>'GIA CONG ACRYLIC'!$M$7</f>
        <v>3</v>
      </c>
      <c r="T58" s="107">
        <f>'GIA CONG ACRYLIC'!$M$8</f>
        <v>46150.447916666664</v>
      </c>
    </row>
    <row r="59" spans="1:20" x14ac:dyDescent="0.25">
      <c r="A59" s="2">
        <f>IF('GIA CONG ACRYLIC'!A62="","",'GIA CONG ACRYLIC'!A62)</f>
        <v>5</v>
      </c>
      <c r="B59" s="2" t="str">
        <f>IF('GIA CONG ACRYLIC'!B62="","",'GIA CONG ACRYLIC'!B62)</f>
        <v/>
      </c>
      <c r="C59" s="2" t="str">
        <f>IF('GIA CONG ACRYLIC'!C62="","",'GIA CONG ACRYLIC'!C62)</f>
        <v>Bảo hành cong vênh, bong tróc 12 tháng, bảo trì vĩnh viễn. Không bảo hành mối và ngập nước.</v>
      </c>
      <c r="D59" s="2" t="str">
        <f>IF('GIA CONG ACRYLIC'!D62="","",'GIA CONG ACRYLIC'!D62)</f>
        <v/>
      </c>
      <c r="E59" s="2" t="str">
        <f>IF('GIA CONG ACRYLIC'!E62="","",'GIA CONG ACRYLIC'!E62)</f>
        <v/>
      </c>
      <c r="F59" s="2" t="str">
        <f>IF('GIA CONG ACRYLIC'!F62="","",'GIA CONG ACRYLIC'!F62)</f>
        <v/>
      </c>
      <c r="G59" s="2" t="str">
        <f>IF('GIA CONG ACRYLIC'!G62="","",'GIA CONG ACRYLIC'!G62)</f>
        <v/>
      </c>
      <c r="H59" s="2" t="str">
        <f>IF('GIA CONG ACRYLIC'!H62="","",'GIA CONG ACRYLIC'!H62)</f>
        <v/>
      </c>
      <c r="I59" s="2" t="str">
        <f>IF('GIA CONG ACRYLIC'!I62="","",'GIA CONG ACRYLIC'!I62)</f>
        <v/>
      </c>
      <c r="J59" s="2" t="str">
        <f>IF('GIA CONG ACRYLIC'!J62="","",'GIA CONG ACRYLIC'!J62)</f>
        <v/>
      </c>
      <c r="K59" s="2" t="str">
        <f>IF('GIA CONG ACRYLIC'!K62="","",'GIA CONG ACRYLIC'!K62)</f>
        <v/>
      </c>
      <c r="L59" s="2" t="str">
        <f>IF('GIA CONG ACRYLIC'!L62="","",'GIA CONG ACRYLIC'!L62)</f>
        <v/>
      </c>
      <c r="M59" s="2" t="str">
        <f>IF('GIA CONG ACRYLIC'!M62="","",'GIA CONG ACRYLIC'!M62)</f>
        <v/>
      </c>
      <c r="N59" s="3" t="str">
        <f>'GIA CONG ACRYLIC'!$H$7</f>
        <v>L2345</v>
      </c>
      <c r="O59" s="2">
        <f>IF('GIA CONG ACRYLIC'!I62+'GIA CONG ACRYLIC'!J62="","",'GIA CONG ACRYLIC'!I62+'GIA CONG ACRYLIC'!J62)</f>
        <v>0</v>
      </c>
      <c r="P59" s="3" t="e">
        <f>IF('LENH GIA CONG TAM'!#REF!="","",'LENH GIA CONG TAM'!#REF!)</f>
        <v>#REF!</v>
      </c>
      <c r="Q59" s="3" t="e">
        <f>IF('LENH GIA CONG TAM'!#REF!="","",'LENH GIA CONG TAM'!#REF!)</f>
        <v>#REF!</v>
      </c>
      <c r="R59" s="107">
        <f>'GIA CONG ACRYLIC'!$M$6</f>
        <v>46147.447916666664</v>
      </c>
      <c r="S59" s="3">
        <f>'GIA CONG ACRYLIC'!$M$7</f>
        <v>3</v>
      </c>
      <c r="T59" s="107">
        <f>'GIA CONG ACRYLIC'!$M$8</f>
        <v>46150.447916666664</v>
      </c>
    </row>
    <row r="60" spans="1:20" x14ac:dyDescent="0.25">
      <c r="A60" s="2" t="str">
        <f>IF('GIA CONG ACRYLIC'!A63="","",'GIA CONG ACRYLIC'!A63)</f>
        <v/>
      </c>
      <c r="B60" s="2" t="str">
        <f>IF('GIA CONG ACRYLIC'!B63="","",'GIA CONG ACRYLIC'!B63)</f>
        <v/>
      </c>
      <c r="C60" s="2" t="str">
        <f>IF('GIA CONG ACRYLIC'!C63="","",'GIA CONG ACRYLIC'!C63)</f>
        <v/>
      </c>
      <c r="D60" s="2" t="str">
        <f>IF('GIA CONG ACRYLIC'!D63="","",'GIA CONG ACRYLIC'!D63)</f>
        <v/>
      </c>
      <c r="E60" s="2" t="str">
        <f>IF('GIA CONG ACRYLIC'!E63="","",'GIA CONG ACRYLIC'!E63)</f>
        <v/>
      </c>
      <c r="F60" s="2" t="str">
        <f>IF('GIA CONG ACRYLIC'!F63="","",'GIA CONG ACRYLIC'!F63)</f>
        <v/>
      </c>
      <c r="G60" s="2" t="str">
        <f>IF('GIA CONG ACRYLIC'!G63="","",'GIA CONG ACRYLIC'!G63)</f>
        <v/>
      </c>
      <c r="H60" s="2" t="str">
        <f>IF('GIA CONG ACRYLIC'!H63="","",'GIA CONG ACRYLIC'!H63)</f>
        <v/>
      </c>
      <c r="I60" s="2" t="str">
        <f>IF('GIA CONG ACRYLIC'!I63="","",'GIA CONG ACRYLIC'!I63)</f>
        <v/>
      </c>
      <c r="J60" s="2" t="str">
        <f>IF('GIA CONG ACRYLIC'!J63="","",'GIA CONG ACRYLIC'!J63)</f>
        <v/>
      </c>
      <c r="K60" s="2" t="str">
        <f>IF('GIA CONG ACRYLIC'!K63="","",'GIA CONG ACRYLIC'!K63)</f>
        <v/>
      </c>
      <c r="L60" s="2" t="str">
        <f>IF('GIA CONG ACRYLIC'!L63="","",'GIA CONG ACRYLIC'!L63)</f>
        <v/>
      </c>
      <c r="M60" s="2" t="str">
        <f>IF('GIA CONG ACRYLIC'!M63="","",'GIA CONG ACRYLIC'!M63)</f>
        <v/>
      </c>
      <c r="N60" s="3" t="str">
        <f>'GIA CONG ACRYLIC'!$H$7</f>
        <v>L2345</v>
      </c>
      <c r="O60" s="2">
        <f>IF('GIA CONG ACRYLIC'!I63+'GIA CONG ACRYLIC'!J63="","",'GIA CONG ACRYLIC'!I63+'GIA CONG ACRYLIC'!J63)</f>
        <v>0</v>
      </c>
      <c r="P60" s="3" t="e">
        <f>IF('LENH GIA CONG TAM'!#REF!="","",'LENH GIA CONG TAM'!#REF!)</f>
        <v>#REF!</v>
      </c>
      <c r="Q60" s="3" t="e">
        <f>IF('LENH GIA CONG TAM'!#REF!="","",'LENH GIA CONG TAM'!#REF!)</f>
        <v>#REF!</v>
      </c>
      <c r="R60" s="107">
        <f>'GIA CONG ACRYLIC'!$M$6</f>
        <v>46147.447916666664</v>
      </c>
      <c r="S60" s="3">
        <f>'GIA CONG ACRYLIC'!$M$7</f>
        <v>3</v>
      </c>
      <c r="T60" s="107">
        <f>'GIA CONG ACRYLIC'!$M$8</f>
        <v>46150.447916666664</v>
      </c>
    </row>
    <row r="61" spans="1:20" x14ac:dyDescent="0.25">
      <c r="A61" s="2" t="str">
        <f>IF('GIA CONG ACRYLIC'!A64="","",'GIA CONG ACRYLIC'!A64)</f>
        <v/>
      </c>
      <c r="B61" s="2" t="str">
        <f>IF('GIA CONG ACRYLIC'!B64="","",'GIA CONG ACRYLIC'!B64)</f>
        <v/>
      </c>
      <c r="C61" s="2" t="str">
        <f>IF('GIA CONG ACRYLIC'!C64="","",'GIA CONG ACRYLIC'!C64)</f>
        <v/>
      </c>
      <c r="D61" s="2" t="str">
        <f>IF('GIA CONG ACRYLIC'!D64="","",'GIA CONG ACRYLIC'!D64)</f>
        <v/>
      </c>
      <c r="E61" s="2" t="str">
        <f>IF('GIA CONG ACRYLIC'!E64="","",'GIA CONG ACRYLIC'!E64)</f>
        <v/>
      </c>
      <c r="F61" s="2" t="str">
        <f>IF('GIA CONG ACRYLIC'!F64="","",'GIA CONG ACRYLIC'!F64)</f>
        <v/>
      </c>
      <c r="G61" s="2" t="str">
        <f>IF('GIA CONG ACRYLIC'!G64="","",'GIA CONG ACRYLIC'!G64)</f>
        <v/>
      </c>
      <c r="H61" s="2" t="str">
        <f>IF('GIA CONG ACRYLIC'!H64="","",'GIA CONG ACRYLIC'!H64)</f>
        <v/>
      </c>
      <c r="I61" s="2" t="str">
        <f>IF('GIA CONG ACRYLIC'!I64="","",'GIA CONG ACRYLIC'!I64)</f>
        <v/>
      </c>
      <c r="J61" s="2" t="str">
        <f>IF('GIA CONG ACRYLIC'!J64="","",'GIA CONG ACRYLIC'!J64)</f>
        <v/>
      </c>
      <c r="K61" s="2" t="str">
        <f>IF('GIA CONG ACRYLIC'!K64="","",'GIA CONG ACRYLIC'!K64)</f>
        <v/>
      </c>
      <c r="L61" s="2" t="str">
        <f>IF('GIA CONG ACRYLIC'!L64="","",'GIA CONG ACRYLIC'!L64)</f>
        <v/>
      </c>
      <c r="M61" s="2" t="str">
        <f>IF('GIA CONG ACRYLIC'!M64="","",'GIA CONG ACRYLIC'!M64)</f>
        <v/>
      </c>
      <c r="N61" s="3" t="str">
        <f>'GIA CONG ACRYLIC'!$H$7</f>
        <v>L2345</v>
      </c>
      <c r="O61" s="2">
        <f>IF('GIA CONG ACRYLIC'!I64+'GIA CONG ACRYLIC'!J64="","",'GIA CONG ACRYLIC'!I64+'GIA CONG ACRYLIC'!J64)</f>
        <v>0</v>
      </c>
      <c r="P61" s="3" t="e">
        <f>IF('LENH GIA CONG TAM'!#REF!="","",'LENH GIA CONG TAM'!#REF!)</f>
        <v>#REF!</v>
      </c>
      <c r="Q61" s="3" t="e">
        <f>IF('LENH GIA CONG TAM'!#REF!="","",'LENH GIA CONG TAM'!#REF!)</f>
        <v>#REF!</v>
      </c>
      <c r="R61" s="107">
        <f>'GIA CONG ACRYLIC'!$M$6</f>
        <v>46147.447916666664</v>
      </c>
      <c r="S61" s="3">
        <f>'GIA CONG ACRYLIC'!$M$7</f>
        <v>3</v>
      </c>
      <c r="T61" s="107">
        <f>'GIA CONG ACRYLIC'!$M$8</f>
        <v>46150.447916666664</v>
      </c>
    </row>
    <row r="62" spans="1:20" x14ac:dyDescent="0.25">
      <c r="A62" s="2" t="str">
        <f>IF('GIA CONG ACRYLIC'!A65="","",'GIA CONG ACRYLIC'!A65)</f>
        <v/>
      </c>
      <c r="B62" s="2" t="str">
        <f>IF('GIA CONG ACRYLIC'!B65="","",'GIA CONG ACRYLIC'!B65)</f>
        <v/>
      </c>
      <c r="C62" s="2" t="str">
        <f>IF('GIA CONG ACRYLIC'!C65="","",'GIA CONG ACRYLIC'!C65)</f>
        <v/>
      </c>
      <c r="D62" s="2" t="str">
        <f>IF('GIA CONG ACRYLIC'!D65="","",'GIA CONG ACRYLIC'!D65)</f>
        <v/>
      </c>
      <c r="E62" s="2" t="str">
        <f>IF('GIA CONG ACRYLIC'!E65="","",'GIA CONG ACRYLIC'!E65)</f>
        <v/>
      </c>
      <c r="F62" s="2" t="str">
        <f>IF('GIA CONG ACRYLIC'!F65="","",'GIA CONG ACRYLIC'!F65)</f>
        <v/>
      </c>
      <c r="G62" s="2" t="str">
        <f>IF('GIA CONG ACRYLIC'!G65="","",'GIA CONG ACRYLIC'!G65)</f>
        <v/>
      </c>
      <c r="H62" s="2" t="str">
        <f>IF('GIA CONG ACRYLIC'!H65="","",'GIA CONG ACRYLIC'!H65)</f>
        <v/>
      </c>
      <c r="I62" s="2" t="str">
        <f>IF('GIA CONG ACRYLIC'!I65="","",'GIA CONG ACRYLIC'!I65)</f>
        <v/>
      </c>
      <c r="J62" s="2" t="str">
        <f>IF('GIA CONG ACRYLIC'!J65="","",'GIA CONG ACRYLIC'!J65)</f>
        <v/>
      </c>
      <c r="K62" s="2" t="str">
        <f>IF('GIA CONG ACRYLIC'!K65="","",'GIA CONG ACRYLIC'!K65)</f>
        <v/>
      </c>
      <c r="L62" s="2" t="str">
        <f>IF('GIA CONG ACRYLIC'!L65="","",'GIA CONG ACRYLIC'!L65)</f>
        <v/>
      </c>
      <c r="M62" s="2" t="str">
        <f>IF('GIA CONG ACRYLIC'!M65="","",'GIA CONG ACRYLIC'!M65)</f>
        <v/>
      </c>
      <c r="N62" s="3" t="str">
        <f>'GIA CONG ACRYLIC'!$H$7</f>
        <v>L2345</v>
      </c>
      <c r="O62" s="2">
        <f>IF('GIA CONG ACRYLIC'!I65+'GIA CONG ACRYLIC'!J65="","",'GIA CONG ACRYLIC'!I65+'GIA CONG ACRYLIC'!J65)</f>
        <v>0</v>
      </c>
      <c r="P62" s="3" t="e">
        <f>IF('LENH GIA CONG TAM'!#REF!="","",'LENH GIA CONG TAM'!#REF!)</f>
        <v>#REF!</v>
      </c>
      <c r="Q62" s="3" t="e">
        <f>IF('LENH GIA CONG TAM'!#REF!="","",'LENH GIA CONG TAM'!#REF!)</f>
        <v>#REF!</v>
      </c>
      <c r="R62" s="107">
        <f>'GIA CONG ACRYLIC'!$M$6</f>
        <v>46147.447916666664</v>
      </c>
      <c r="S62" s="3">
        <f>'GIA CONG ACRYLIC'!$M$7</f>
        <v>3</v>
      </c>
      <c r="T62" s="107">
        <f>'GIA CONG ACRYLIC'!$M$8</f>
        <v>46150.447916666664</v>
      </c>
    </row>
    <row r="63" spans="1:20" x14ac:dyDescent="0.25">
      <c r="A63" s="2" t="str">
        <f>IF('GIA CONG ACRYLIC'!A66="","",'GIA CONG ACRYLIC'!A66)</f>
        <v/>
      </c>
      <c r="B63" s="2" t="str">
        <f>IF('GIA CONG ACRYLIC'!B66="","",'GIA CONG ACRYLIC'!B66)</f>
        <v/>
      </c>
      <c r="C63" s="2" t="str">
        <f>IF('GIA CONG ACRYLIC'!C66="","",'GIA CONG ACRYLIC'!C66)</f>
        <v/>
      </c>
      <c r="D63" s="2" t="str">
        <f>IF('GIA CONG ACRYLIC'!D66="","",'GIA CONG ACRYLIC'!D66)</f>
        <v/>
      </c>
      <c r="E63" s="2" t="str">
        <f>IF('GIA CONG ACRYLIC'!E66="","",'GIA CONG ACRYLIC'!E66)</f>
        <v/>
      </c>
      <c r="F63" s="2" t="str">
        <f>IF('GIA CONG ACRYLIC'!F66="","",'GIA CONG ACRYLIC'!F66)</f>
        <v/>
      </c>
      <c r="G63" s="2" t="str">
        <f>IF('GIA CONG ACRYLIC'!G66="","",'GIA CONG ACRYLIC'!G66)</f>
        <v/>
      </c>
      <c r="H63" s="2" t="str">
        <f>IF('GIA CONG ACRYLIC'!H66="","",'GIA CONG ACRYLIC'!H66)</f>
        <v/>
      </c>
      <c r="I63" s="2" t="str">
        <f>IF('GIA CONG ACRYLIC'!I66="","",'GIA CONG ACRYLIC'!I66)</f>
        <v/>
      </c>
      <c r="J63" s="2" t="str">
        <f>IF('GIA CONG ACRYLIC'!J66="","",'GIA CONG ACRYLIC'!J66)</f>
        <v/>
      </c>
      <c r="K63" s="2" t="str">
        <f>IF('GIA CONG ACRYLIC'!K66="","",'GIA CONG ACRYLIC'!K66)</f>
        <v/>
      </c>
      <c r="L63" s="2" t="str">
        <f>IF('GIA CONG ACRYLIC'!L66="","",'GIA CONG ACRYLIC'!L66)</f>
        <v/>
      </c>
      <c r="M63" s="2" t="str">
        <f>IF('GIA CONG ACRYLIC'!M66="","",'GIA CONG ACRYLIC'!M66)</f>
        <v/>
      </c>
      <c r="N63" s="3" t="str">
        <f>'GIA CONG ACRYLIC'!$H$7</f>
        <v>L2345</v>
      </c>
      <c r="O63" s="2">
        <f>IF('GIA CONG ACRYLIC'!I66+'GIA CONG ACRYLIC'!J66="","",'GIA CONG ACRYLIC'!I66+'GIA CONG ACRYLIC'!J66)</f>
        <v>0</v>
      </c>
      <c r="P63" s="3" t="e">
        <f>IF('LENH GIA CONG TAM'!#REF!="","",'LENH GIA CONG TAM'!#REF!)</f>
        <v>#REF!</v>
      </c>
      <c r="Q63" s="3" t="e">
        <f>IF('LENH GIA CONG TAM'!#REF!="","",'LENH GIA CONG TAM'!#REF!)</f>
        <v>#REF!</v>
      </c>
      <c r="R63" s="107">
        <f>'GIA CONG ACRYLIC'!$M$6</f>
        <v>46147.447916666664</v>
      </c>
      <c r="S63" s="3">
        <f>'GIA CONG ACRYLIC'!$M$7</f>
        <v>3</v>
      </c>
      <c r="T63" s="107">
        <f>'GIA CONG ACRYLIC'!$M$8</f>
        <v>46150.447916666664</v>
      </c>
    </row>
    <row r="64" spans="1:20" x14ac:dyDescent="0.25">
      <c r="A64" s="2" t="str">
        <f>IF('GIA CONG ACRYLIC'!A67="","",'GIA CONG ACRYLIC'!A67)</f>
        <v/>
      </c>
      <c r="B64" s="2" t="str">
        <f>IF('GIA CONG ACRYLIC'!B67="","",'GIA CONG ACRYLIC'!B67)</f>
        <v/>
      </c>
      <c r="C64" s="2" t="str">
        <f>IF('GIA CONG ACRYLIC'!C67="","",'GIA CONG ACRYLIC'!C67)</f>
        <v/>
      </c>
      <c r="D64" s="2" t="str">
        <f>IF('GIA CONG ACRYLIC'!D67="","",'GIA CONG ACRYLIC'!D67)</f>
        <v/>
      </c>
      <c r="E64" s="2" t="str">
        <f>IF('GIA CONG ACRYLIC'!E67="","",'GIA CONG ACRYLIC'!E67)</f>
        <v/>
      </c>
      <c r="F64" s="2" t="str">
        <f>IF('GIA CONG ACRYLIC'!F67="","",'GIA CONG ACRYLIC'!F67)</f>
        <v/>
      </c>
      <c r="G64" s="2" t="str">
        <f>IF('GIA CONG ACRYLIC'!G67="","",'GIA CONG ACRYLIC'!G67)</f>
        <v/>
      </c>
      <c r="H64" s="2" t="str">
        <f>IF('GIA CONG ACRYLIC'!H67="","",'GIA CONG ACRYLIC'!H67)</f>
        <v/>
      </c>
      <c r="I64" s="2" t="str">
        <f>IF('GIA CONG ACRYLIC'!I67="","",'GIA CONG ACRYLIC'!I67)</f>
        <v/>
      </c>
      <c r="J64" s="2" t="str">
        <f>IF('GIA CONG ACRYLIC'!J67="","",'GIA CONG ACRYLIC'!J67)</f>
        <v/>
      </c>
      <c r="K64" s="2" t="str">
        <f>IF('GIA CONG ACRYLIC'!K67="","",'GIA CONG ACRYLIC'!K67)</f>
        <v/>
      </c>
      <c r="L64" s="2" t="str">
        <f>IF('GIA CONG ACRYLIC'!L67="","",'GIA CONG ACRYLIC'!L67)</f>
        <v/>
      </c>
      <c r="M64" s="2" t="str">
        <f>IF('GIA CONG ACRYLIC'!M67="","",'GIA CONG ACRYLIC'!M67)</f>
        <v/>
      </c>
      <c r="N64" s="3" t="str">
        <f>'GIA CONG ACRYLIC'!$H$7</f>
        <v>L2345</v>
      </c>
      <c r="O64" s="2">
        <f>IF('GIA CONG ACRYLIC'!I67+'GIA CONG ACRYLIC'!J67="","",'GIA CONG ACRYLIC'!I67+'GIA CONG ACRYLIC'!J67)</f>
        <v>0</v>
      </c>
      <c r="P64" s="3" t="e">
        <f>IF('LENH GIA CONG TAM'!#REF!="","",'LENH GIA CONG TAM'!#REF!)</f>
        <v>#REF!</v>
      </c>
      <c r="Q64" s="3" t="e">
        <f>IF('LENH GIA CONG TAM'!#REF!="","",'LENH GIA CONG TAM'!#REF!)</f>
        <v>#REF!</v>
      </c>
      <c r="R64" s="107">
        <f>'GIA CONG ACRYLIC'!$M$6</f>
        <v>46147.447916666664</v>
      </c>
      <c r="S64" s="3">
        <f>'GIA CONG ACRYLIC'!$M$7</f>
        <v>3</v>
      </c>
      <c r="T64" s="107">
        <f>'GIA CONG ACRYLIC'!$M$8</f>
        <v>46150.447916666664</v>
      </c>
    </row>
    <row r="65" spans="1:20" x14ac:dyDescent="0.25">
      <c r="A65" s="2" t="str">
        <f>IF('GIA CONG ACRYLIC'!A68="","",'GIA CONG ACRYLIC'!A68)</f>
        <v/>
      </c>
      <c r="B65" s="2" t="str">
        <f>IF('GIA CONG ACRYLIC'!B68="","",'GIA CONG ACRYLIC'!B68)</f>
        <v/>
      </c>
      <c r="C65" s="2" t="str">
        <f>IF('GIA CONG ACRYLIC'!C68="","",'GIA CONG ACRYLIC'!C68)</f>
        <v/>
      </c>
      <c r="D65" s="2" t="str">
        <f>IF('GIA CONG ACRYLIC'!D68="","",'GIA CONG ACRYLIC'!D68)</f>
        <v/>
      </c>
      <c r="E65" s="2" t="str">
        <f>IF('GIA CONG ACRYLIC'!E68="","",'GIA CONG ACRYLIC'!E68)</f>
        <v/>
      </c>
      <c r="F65" s="2" t="str">
        <f>IF('GIA CONG ACRYLIC'!F68="","",'GIA CONG ACRYLIC'!F68)</f>
        <v/>
      </c>
      <c r="G65" s="2" t="str">
        <f>IF('GIA CONG ACRYLIC'!G68="","",'GIA CONG ACRYLIC'!G68)</f>
        <v/>
      </c>
      <c r="H65" s="2" t="str">
        <f>IF('GIA CONG ACRYLIC'!H68="","",'GIA CONG ACRYLIC'!H68)</f>
        <v/>
      </c>
      <c r="I65" s="2" t="str">
        <f>IF('GIA CONG ACRYLIC'!I68="","",'GIA CONG ACRYLIC'!I68)</f>
        <v/>
      </c>
      <c r="J65" s="2" t="str">
        <f>IF('GIA CONG ACRYLIC'!J68="","",'GIA CONG ACRYLIC'!J68)</f>
        <v/>
      </c>
      <c r="K65" s="2" t="str">
        <f>IF('GIA CONG ACRYLIC'!K68="","",'GIA CONG ACRYLIC'!K68)</f>
        <v/>
      </c>
      <c r="L65" s="2" t="str">
        <f>IF('GIA CONG ACRYLIC'!L68="","",'GIA CONG ACRYLIC'!L68)</f>
        <v/>
      </c>
      <c r="M65" s="2" t="str">
        <f>IF('GIA CONG ACRYLIC'!M68="","",'GIA CONG ACRYLIC'!M68)</f>
        <v/>
      </c>
      <c r="N65" s="3" t="str">
        <f>'GIA CONG ACRYLIC'!$H$7</f>
        <v>L2345</v>
      </c>
      <c r="O65" s="2">
        <f>IF('GIA CONG ACRYLIC'!I68+'GIA CONG ACRYLIC'!J68="","",'GIA CONG ACRYLIC'!I68+'GIA CONG ACRYLIC'!J68)</f>
        <v>0</v>
      </c>
      <c r="P65" s="3" t="e">
        <f>IF('LENH GIA CONG TAM'!#REF!="","",'LENH GIA CONG TAM'!#REF!)</f>
        <v>#REF!</v>
      </c>
      <c r="Q65" s="3" t="e">
        <f>IF('LENH GIA CONG TAM'!#REF!="","",'LENH GIA CONG TAM'!#REF!)</f>
        <v>#REF!</v>
      </c>
      <c r="R65" s="107">
        <f>'GIA CONG ACRYLIC'!$M$6</f>
        <v>46147.447916666664</v>
      </c>
      <c r="S65" s="3">
        <f>'GIA CONG ACRYLIC'!$M$7</f>
        <v>3</v>
      </c>
      <c r="T65" s="107">
        <f>'GIA CONG ACRYLIC'!$M$8</f>
        <v>46150.447916666664</v>
      </c>
    </row>
    <row r="66" spans="1:20" x14ac:dyDescent="0.25">
      <c r="A66" s="2" t="str">
        <f>IF('GIA CONG ACRYLIC'!A69="","",'GIA CONG ACRYLIC'!A69)</f>
        <v/>
      </c>
      <c r="B66" s="2" t="str">
        <f>IF('GIA CONG ACRYLIC'!B69="","",'GIA CONG ACRYLIC'!B69)</f>
        <v/>
      </c>
      <c r="C66" s="2" t="str">
        <f>IF('GIA CONG ACRYLIC'!C69="","",'GIA CONG ACRYLIC'!C69)</f>
        <v/>
      </c>
      <c r="D66" s="2" t="str">
        <f>IF('GIA CONG ACRYLIC'!D69="","",'GIA CONG ACRYLIC'!D69)</f>
        <v/>
      </c>
      <c r="E66" s="2" t="str">
        <f>IF('GIA CONG ACRYLIC'!E69="","",'GIA CONG ACRYLIC'!E69)</f>
        <v/>
      </c>
      <c r="F66" s="2" t="str">
        <f>IF('GIA CONG ACRYLIC'!F69="","",'GIA CONG ACRYLIC'!F69)</f>
        <v/>
      </c>
      <c r="G66" s="2" t="str">
        <f>IF('GIA CONG ACRYLIC'!G69="","",'GIA CONG ACRYLIC'!G69)</f>
        <v/>
      </c>
      <c r="H66" s="2" t="str">
        <f>IF('GIA CONG ACRYLIC'!H69="","",'GIA CONG ACRYLIC'!H69)</f>
        <v/>
      </c>
      <c r="I66" s="2" t="str">
        <f>IF('GIA CONG ACRYLIC'!I69="","",'GIA CONG ACRYLIC'!I69)</f>
        <v/>
      </c>
      <c r="J66" s="2" t="str">
        <f>IF('GIA CONG ACRYLIC'!J69="","",'GIA CONG ACRYLIC'!J69)</f>
        <v/>
      </c>
      <c r="K66" s="2" t="str">
        <f>IF('GIA CONG ACRYLIC'!K69="","",'GIA CONG ACRYLIC'!K69)</f>
        <v/>
      </c>
      <c r="L66" s="2" t="str">
        <f>IF('GIA CONG ACRYLIC'!L69="","",'GIA CONG ACRYLIC'!L69)</f>
        <v/>
      </c>
      <c r="M66" s="2" t="str">
        <f>IF('GIA CONG ACRYLIC'!M69="","",'GIA CONG ACRYLIC'!M69)</f>
        <v/>
      </c>
      <c r="N66" s="3" t="str">
        <f>'GIA CONG ACRYLIC'!$H$7</f>
        <v>L2345</v>
      </c>
      <c r="O66" s="2">
        <f>IF('GIA CONG ACRYLIC'!I69+'GIA CONG ACRYLIC'!J69="","",'GIA CONG ACRYLIC'!I69+'GIA CONG ACRYLIC'!J69)</f>
        <v>0</v>
      </c>
      <c r="P66" s="3" t="e">
        <f>IF('LENH GIA CONG TAM'!#REF!="","",'LENH GIA CONG TAM'!#REF!)</f>
        <v>#REF!</v>
      </c>
      <c r="Q66" s="3" t="e">
        <f>IF('LENH GIA CONG TAM'!#REF!="","",'LENH GIA CONG TAM'!#REF!)</f>
        <v>#REF!</v>
      </c>
      <c r="R66" s="107">
        <f>'GIA CONG ACRYLIC'!$M$6</f>
        <v>46147.447916666664</v>
      </c>
      <c r="S66" s="3">
        <f>'GIA CONG ACRYLIC'!$M$7</f>
        <v>3</v>
      </c>
      <c r="T66" s="107">
        <f>'GIA CONG ACRYLIC'!$M$8</f>
        <v>46150.447916666664</v>
      </c>
    </row>
    <row r="67" spans="1:20" x14ac:dyDescent="0.25">
      <c r="A67" s="2" t="str">
        <f>IF('GIA CONG ACRYLIC'!A70="","",'GIA CONG ACRYLIC'!A70)</f>
        <v/>
      </c>
      <c r="B67" s="2" t="str">
        <f>IF('GIA CONG ACRYLIC'!B70="","",'GIA CONG ACRYLIC'!B70)</f>
        <v/>
      </c>
      <c r="C67" s="2" t="str">
        <f>IF('GIA CONG ACRYLIC'!C70="","",'GIA CONG ACRYLIC'!C70)</f>
        <v/>
      </c>
      <c r="D67" s="2" t="str">
        <f>IF('GIA CONG ACRYLIC'!D70="","",'GIA CONG ACRYLIC'!D70)</f>
        <v/>
      </c>
      <c r="E67" s="2" t="str">
        <f>IF('GIA CONG ACRYLIC'!E70="","",'GIA CONG ACRYLIC'!E70)</f>
        <v/>
      </c>
      <c r="F67" s="2" t="str">
        <f>IF('GIA CONG ACRYLIC'!F70="","",'GIA CONG ACRYLIC'!F70)</f>
        <v/>
      </c>
      <c r="G67" s="2" t="str">
        <f>IF('GIA CONG ACRYLIC'!G70="","",'GIA CONG ACRYLIC'!G70)</f>
        <v/>
      </c>
      <c r="H67" s="2" t="str">
        <f>IF('GIA CONG ACRYLIC'!H70="","",'GIA CONG ACRYLIC'!H70)</f>
        <v/>
      </c>
      <c r="I67" s="2" t="str">
        <f>IF('GIA CONG ACRYLIC'!I70="","",'GIA CONG ACRYLIC'!I70)</f>
        <v/>
      </c>
      <c r="J67" s="2" t="str">
        <f>IF('GIA CONG ACRYLIC'!J70="","",'GIA CONG ACRYLIC'!J70)</f>
        <v/>
      </c>
      <c r="K67" s="2" t="str">
        <f>IF('GIA CONG ACRYLIC'!K70="","",'GIA CONG ACRYLIC'!K70)</f>
        <v/>
      </c>
      <c r="L67" s="2" t="str">
        <f>IF('GIA CONG ACRYLIC'!L70="","",'GIA CONG ACRYLIC'!L70)</f>
        <v/>
      </c>
      <c r="M67" s="2" t="str">
        <f>IF('GIA CONG ACRYLIC'!M70="","",'GIA CONG ACRYLIC'!M70)</f>
        <v/>
      </c>
      <c r="N67" s="3" t="str">
        <f>'GIA CONG ACRYLIC'!$H$7</f>
        <v>L2345</v>
      </c>
      <c r="O67" s="2">
        <f>IF('GIA CONG ACRYLIC'!I70+'GIA CONG ACRYLIC'!J70="","",'GIA CONG ACRYLIC'!I70+'GIA CONG ACRYLIC'!J70)</f>
        <v>0</v>
      </c>
      <c r="P67" s="3" t="e">
        <f>IF('LENH GIA CONG TAM'!#REF!="","",'LENH GIA CONG TAM'!#REF!)</f>
        <v>#REF!</v>
      </c>
      <c r="Q67" s="3" t="e">
        <f>IF('LENH GIA CONG TAM'!#REF!="","",'LENH GIA CONG TAM'!#REF!)</f>
        <v>#REF!</v>
      </c>
      <c r="R67" s="107">
        <f>'GIA CONG ACRYLIC'!$M$6</f>
        <v>46147.447916666664</v>
      </c>
      <c r="S67" s="3">
        <f>'GIA CONG ACRYLIC'!$M$7</f>
        <v>3</v>
      </c>
      <c r="T67" s="107">
        <f>'GIA CONG ACRYLIC'!$M$8</f>
        <v>46150.447916666664</v>
      </c>
    </row>
    <row r="68" spans="1:20" x14ac:dyDescent="0.25">
      <c r="A68" s="2" t="str">
        <f>IF('GIA CONG ACRYLIC'!A71="","",'GIA CONG ACRYLIC'!A71)</f>
        <v/>
      </c>
      <c r="B68" s="2" t="str">
        <f>IF('GIA CONG ACRYLIC'!B71="","",'GIA CONG ACRYLIC'!B71)</f>
        <v/>
      </c>
      <c r="C68" s="2" t="str">
        <f>IF('GIA CONG ACRYLIC'!C71="","",'GIA CONG ACRYLIC'!C71)</f>
        <v/>
      </c>
      <c r="D68" s="2" t="str">
        <f>IF('GIA CONG ACRYLIC'!D71="","",'GIA CONG ACRYLIC'!D71)</f>
        <v/>
      </c>
      <c r="E68" s="2" t="str">
        <f>IF('GIA CONG ACRYLIC'!E71="","",'GIA CONG ACRYLIC'!E71)</f>
        <v/>
      </c>
      <c r="F68" s="2" t="str">
        <f>IF('GIA CONG ACRYLIC'!F71="","",'GIA CONG ACRYLIC'!F71)</f>
        <v/>
      </c>
      <c r="G68" s="2" t="str">
        <f>IF('GIA CONG ACRYLIC'!G71="","",'GIA CONG ACRYLIC'!G71)</f>
        <v/>
      </c>
      <c r="H68" s="2" t="str">
        <f>IF('GIA CONG ACRYLIC'!H71="","",'GIA CONG ACRYLIC'!H71)</f>
        <v/>
      </c>
      <c r="I68" s="2" t="str">
        <f>IF('GIA CONG ACRYLIC'!I71="","",'GIA CONG ACRYLIC'!I71)</f>
        <v/>
      </c>
      <c r="J68" s="2" t="str">
        <f>IF('GIA CONG ACRYLIC'!J71="","",'GIA CONG ACRYLIC'!J71)</f>
        <v/>
      </c>
      <c r="K68" s="2" t="str">
        <f>IF('GIA CONG ACRYLIC'!K71="","",'GIA CONG ACRYLIC'!K71)</f>
        <v/>
      </c>
      <c r="L68" s="2" t="str">
        <f>IF('GIA CONG ACRYLIC'!L71="","",'GIA CONG ACRYLIC'!L71)</f>
        <v/>
      </c>
      <c r="M68" s="2" t="str">
        <f>IF('GIA CONG ACRYLIC'!M71="","",'GIA CONG ACRYLIC'!M71)</f>
        <v/>
      </c>
      <c r="N68" s="3" t="str">
        <f>'GIA CONG ACRYLIC'!$H$7</f>
        <v>L2345</v>
      </c>
      <c r="O68" s="2">
        <f>IF('GIA CONG ACRYLIC'!I71+'GIA CONG ACRYLIC'!J71="","",'GIA CONG ACRYLIC'!I71+'GIA CONG ACRYLIC'!J71)</f>
        <v>0</v>
      </c>
      <c r="P68" s="3" t="e">
        <f>IF('LENH GIA CONG TAM'!#REF!="","",'LENH GIA CONG TAM'!#REF!)</f>
        <v>#REF!</v>
      </c>
      <c r="Q68" s="3" t="e">
        <f>IF('LENH GIA CONG TAM'!#REF!="","",'LENH GIA CONG TAM'!#REF!)</f>
        <v>#REF!</v>
      </c>
      <c r="R68" s="107">
        <f>'GIA CONG ACRYLIC'!$M$6</f>
        <v>46147.447916666664</v>
      </c>
      <c r="S68" s="3">
        <f>'GIA CONG ACRYLIC'!$M$7</f>
        <v>3</v>
      </c>
      <c r="T68" s="107">
        <f>'GIA CONG ACRYLIC'!$M$8</f>
        <v>46150.447916666664</v>
      </c>
    </row>
    <row r="69" spans="1:20" x14ac:dyDescent="0.25">
      <c r="A69" s="2" t="str">
        <f>IF('GIA CONG ACRYLIC'!A72="","",'GIA CONG ACRYLIC'!A72)</f>
        <v/>
      </c>
      <c r="B69" s="2" t="str">
        <f>IF('GIA CONG ACRYLIC'!B72="","",'GIA CONG ACRYLIC'!B72)</f>
        <v/>
      </c>
      <c r="C69" s="2" t="str">
        <f>IF('GIA CONG ACRYLIC'!C72="","",'GIA CONG ACRYLIC'!C72)</f>
        <v/>
      </c>
      <c r="D69" s="2" t="str">
        <f>IF('GIA CONG ACRYLIC'!D72="","",'GIA CONG ACRYLIC'!D72)</f>
        <v/>
      </c>
      <c r="E69" s="2" t="str">
        <f>IF('GIA CONG ACRYLIC'!E72="","",'GIA CONG ACRYLIC'!E72)</f>
        <v/>
      </c>
      <c r="F69" s="2" t="str">
        <f>IF('GIA CONG ACRYLIC'!F72="","",'GIA CONG ACRYLIC'!F72)</f>
        <v/>
      </c>
      <c r="G69" s="2" t="str">
        <f>IF('GIA CONG ACRYLIC'!G72="","",'GIA CONG ACRYLIC'!G72)</f>
        <v/>
      </c>
      <c r="H69" s="2" t="str">
        <f>IF('GIA CONG ACRYLIC'!H72="","",'GIA CONG ACRYLIC'!H72)</f>
        <v/>
      </c>
      <c r="I69" s="2" t="str">
        <f>IF('GIA CONG ACRYLIC'!I72="","",'GIA CONG ACRYLIC'!I72)</f>
        <v/>
      </c>
      <c r="J69" s="2" t="str">
        <f>IF('GIA CONG ACRYLIC'!J72="","",'GIA CONG ACRYLIC'!J72)</f>
        <v/>
      </c>
      <c r="K69" s="2" t="str">
        <f>IF('GIA CONG ACRYLIC'!K72="","",'GIA CONG ACRYLIC'!K72)</f>
        <v/>
      </c>
      <c r="L69" s="2" t="str">
        <f>IF('GIA CONG ACRYLIC'!L72="","",'GIA CONG ACRYLIC'!L72)</f>
        <v/>
      </c>
      <c r="M69" s="2" t="str">
        <f>IF('GIA CONG ACRYLIC'!M72="","",'GIA CONG ACRYLIC'!M72)</f>
        <v/>
      </c>
      <c r="N69" s="3" t="str">
        <f>'GIA CONG ACRYLIC'!$H$7</f>
        <v>L2345</v>
      </c>
      <c r="O69" s="2">
        <f>IF('GIA CONG ACRYLIC'!I72+'GIA CONG ACRYLIC'!J72="","",'GIA CONG ACRYLIC'!I72+'GIA CONG ACRYLIC'!J72)</f>
        <v>0</v>
      </c>
      <c r="P69" s="3" t="e">
        <f>IF('LENH GIA CONG TAM'!#REF!="","",'LENH GIA CONG TAM'!#REF!)</f>
        <v>#REF!</v>
      </c>
      <c r="Q69" s="3" t="e">
        <f>IF('LENH GIA CONG TAM'!#REF!="","",'LENH GIA CONG TAM'!#REF!)</f>
        <v>#REF!</v>
      </c>
      <c r="R69" s="107">
        <f>'GIA CONG ACRYLIC'!$M$6</f>
        <v>46147.447916666664</v>
      </c>
      <c r="S69" s="3">
        <f>'GIA CONG ACRYLIC'!$M$7</f>
        <v>3</v>
      </c>
      <c r="T69" s="107">
        <f>'GIA CONG ACRYLIC'!$M$8</f>
        <v>46150.447916666664</v>
      </c>
    </row>
    <row r="70" spans="1:20" x14ac:dyDescent="0.25">
      <c r="A70" s="2" t="str">
        <f>IF('GIA CONG ACRYLIC'!A73="","",'GIA CONG ACRYLIC'!A73)</f>
        <v/>
      </c>
      <c r="B70" s="2" t="str">
        <f>IF('GIA CONG ACRYLIC'!B73="","",'GIA CONG ACRYLIC'!B73)</f>
        <v/>
      </c>
      <c r="C70" s="2" t="str">
        <f>IF('GIA CONG ACRYLIC'!C73="","",'GIA CONG ACRYLIC'!C73)</f>
        <v/>
      </c>
      <c r="D70" s="2" t="str">
        <f>IF('GIA CONG ACRYLIC'!D73="","",'GIA CONG ACRYLIC'!D73)</f>
        <v/>
      </c>
      <c r="E70" s="2" t="str">
        <f>IF('GIA CONG ACRYLIC'!E73="","",'GIA CONG ACRYLIC'!E73)</f>
        <v/>
      </c>
      <c r="F70" s="2" t="str">
        <f>IF('GIA CONG ACRYLIC'!F73="","",'GIA CONG ACRYLIC'!F73)</f>
        <v/>
      </c>
      <c r="G70" s="2" t="str">
        <f>IF('GIA CONG ACRYLIC'!G73="","",'GIA CONG ACRYLIC'!G73)</f>
        <v/>
      </c>
      <c r="H70" s="2" t="str">
        <f>IF('GIA CONG ACRYLIC'!H73="","",'GIA CONG ACRYLIC'!H73)</f>
        <v/>
      </c>
      <c r="I70" s="2" t="str">
        <f>IF('GIA CONG ACRYLIC'!I73="","",'GIA CONG ACRYLIC'!I73)</f>
        <v/>
      </c>
      <c r="J70" s="2" t="str">
        <f>IF('GIA CONG ACRYLIC'!J73="","",'GIA CONG ACRYLIC'!J73)</f>
        <v/>
      </c>
      <c r="K70" s="2" t="str">
        <f>IF('GIA CONG ACRYLIC'!K73="","",'GIA CONG ACRYLIC'!K73)</f>
        <v/>
      </c>
      <c r="L70" s="2" t="str">
        <f>IF('GIA CONG ACRYLIC'!L73="","",'GIA CONG ACRYLIC'!L73)</f>
        <v/>
      </c>
      <c r="M70" s="2" t="str">
        <f>IF('GIA CONG ACRYLIC'!M73="","",'GIA CONG ACRYLIC'!M73)</f>
        <v/>
      </c>
      <c r="N70" s="3" t="str">
        <f>'GIA CONG ACRYLIC'!$H$7</f>
        <v>L2345</v>
      </c>
      <c r="O70" s="2">
        <f>IF('GIA CONG ACRYLIC'!I73+'GIA CONG ACRYLIC'!J73="","",'GIA CONG ACRYLIC'!I73+'GIA CONG ACRYLIC'!J73)</f>
        <v>0</v>
      </c>
      <c r="P70" s="3" t="e">
        <f>IF('LENH GIA CONG TAM'!#REF!="","",'LENH GIA CONG TAM'!#REF!)</f>
        <v>#REF!</v>
      </c>
      <c r="Q70" s="3" t="e">
        <f>IF('LENH GIA CONG TAM'!#REF!="","",'LENH GIA CONG TAM'!#REF!)</f>
        <v>#REF!</v>
      </c>
      <c r="R70" s="107">
        <f>'GIA CONG ACRYLIC'!$M$6</f>
        <v>46147.447916666664</v>
      </c>
      <c r="S70" s="3">
        <f>'GIA CONG ACRYLIC'!$M$7</f>
        <v>3</v>
      </c>
      <c r="T70" s="107">
        <f>'GIA CONG ACRYLIC'!$M$8</f>
        <v>46150.447916666664</v>
      </c>
    </row>
    <row r="71" spans="1:20" x14ac:dyDescent="0.25">
      <c r="A71" s="2" t="str">
        <f>IF('GIA CONG ACRYLIC'!A74="","",'GIA CONG ACRYLIC'!A74)</f>
        <v/>
      </c>
      <c r="B71" s="2" t="str">
        <f>IF('GIA CONG ACRYLIC'!B74="","",'GIA CONG ACRYLIC'!B74)</f>
        <v/>
      </c>
      <c r="C71" s="2" t="str">
        <f>IF('GIA CONG ACRYLIC'!C74="","",'GIA CONG ACRYLIC'!C74)</f>
        <v/>
      </c>
      <c r="D71" s="2" t="str">
        <f>IF('GIA CONG ACRYLIC'!D74="","",'GIA CONG ACRYLIC'!D74)</f>
        <v/>
      </c>
      <c r="E71" s="2" t="str">
        <f>IF('GIA CONG ACRYLIC'!E74="","",'GIA CONG ACRYLIC'!E74)</f>
        <v/>
      </c>
      <c r="F71" s="2" t="str">
        <f>IF('GIA CONG ACRYLIC'!F74="","",'GIA CONG ACRYLIC'!F74)</f>
        <v/>
      </c>
      <c r="G71" s="2" t="str">
        <f>IF('GIA CONG ACRYLIC'!G74="","",'GIA CONG ACRYLIC'!G74)</f>
        <v/>
      </c>
      <c r="H71" s="2" t="str">
        <f>IF('GIA CONG ACRYLIC'!H74="","",'GIA CONG ACRYLIC'!H74)</f>
        <v/>
      </c>
      <c r="I71" s="2" t="str">
        <f>IF('GIA CONG ACRYLIC'!I74="","",'GIA CONG ACRYLIC'!I74)</f>
        <v/>
      </c>
      <c r="J71" s="2" t="str">
        <f>IF('GIA CONG ACRYLIC'!J74="","",'GIA CONG ACRYLIC'!J74)</f>
        <v/>
      </c>
      <c r="K71" s="2" t="str">
        <f>IF('GIA CONG ACRYLIC'!K74="","",'GIA CONG ACRYLIC'!K74)</f>
        <v/>
      </c>
      <c r="L71" s="2" t="str">
        <f>IF('GIA CONG ACRYLIC'!L74="","",'GIA CONG ACRYLIC'!L74)</f>
        <v/>
      </c>
      <c r="M71" s="2" t="str">
        <f>IF('GIA CONG ACRYLIC'!M74="","",'GIA CONG ACRYLIC'!M74)</f>
        <v/>
      </c>
      <c r="N71" s="3" t="str">
        <f>'GIA CONG ACRYLIC'!$H$7</f>
        <v>L2345</v>
      </c>
      <c r="O71" s="2">
        <f>IF('GIA CONG ACRYLIC'!I74+'GIA CONG ACRYLIC'!J74="","",'GIA CONG ACRYLIC'!I74+'GIA CONG ACRYLIC'!J74)</f>
        <v>0</v>
      </c>
      <c r="P71" s="3" t="e">
        <f>IF('LENH GIA CONG TAM'!#REF!="","",'LENH GIA CONG TAM'!#REF!)</f>
        <v>#REF!</v>
      </c>
      <c r="Q71" s="3" t="e">
        <f>IF('LENH GIA CONG TAM'!#REF!="","",'LENH GIA CONG TAM'!#REF!)</f>
        <v>#REF!</v>
      </c>
      <c r="R71" s="107">
        <f>'GIA CONG ACRYLIC'!$M$6</f>
        <v>46147.447916666664</v>
      </c>
      <c r="S71" s="3">
        <f>'GIA CONG ACRYLIC'!$M$7</f>
        <v>3</v>
      </c>
      <c r="T71" s="107">
        <f>'GIA CONG ACRYLIC'!$M$8</f>
        <v>46150.447916666664</v>
      </c>
    </row>
    <row r="72" spans="1:20" x14ac:dyDescent="0.25">
      <c r="A72" s="2" t="str">
        <f>IF('GIA CONG ACRYLIC'!A75="","",'GIA CONG ACRYLIC'!A75)</f>
        <v/>
      </c>
      <c r="B72" s="2" t="str">
        <f>IF('GIA CONG ACRYLIC'!B75="","",'GIA CONG ACRYLIC'!B75)</f>
        <v/>
      </c>
      <c r="C72" s="2" t="str">
        <f>IF('GIA CONG ACRYLIC'!C75="","",'GIA CONG ACRYLIC'!C75)</f>
        <v/>
      </c>
      <c r="D72" s="2" t="str">
        <f>IF('GIA CONG ACRYLIC'!D75="","",'GIA CONG ACRYLIC'!D75)</f>
        <v/>
      </c>
      <c r="E72" s="2" t="str">
        <f>IF('GIA CONG ACRYLIC'!E75="","",'GIA CONG ACRYLIC'!E75)</f>
        <v/>
      </c>
      <c r="F72" s="2" t="str">
        <f>IF('GIA CONG ACRYLIC'!F75="","",'GIA CONG ACRYLIC'!F75)</f>
        <v/>
      </c>
      <c r="G72" s="2" t="str">
        <f>IF('GIA CONG ACRYLIC'!G75="","",'GIA CONG ACRYLIC'!G75)</f>
        <v/>
      </c>
      <c r="H72" s="2" t="str">
        <f>IF('GIA CONG ACRYLIC'!H75="","",'GIA CONG ACRYLIC'!H75)</f>
        <v/>
      </c>
      <c r="I72" s="2" t="str">
        <f>IF('GIA CONG ACRYLIC'!I75="","",'GIA CONG ACRYLIC'!I75)</f>
        <v/>
      </c>
      <c r="J72" s="2" t="str">
        <f>IF('GIA CONG ACRYLIC'!J75="","",'GIA CONG ACRYLIC'!J75)</f>
        <v/>
      </c>
      <c r="K72" s="2" t="str">
        <f>IF('GIA CONG ACRYLIC'!K75="","",'GIA CONG ACRYLIC'!K75)</f>
        <v/>
      </c>
      <c r="L72" s="2" t="str">
        <f>IF('GIA CONG ACRYLIC'!L75="","",'GIA CONG ACRYLIC'!L75)</f>
        <v/>
      </c>
      <c r="M72" s="2" t="str">
        <f>IF('GIA CONG ACRYLIC'!M75="","",'GIA CONG ACRYLIC'!M75)</f>
        <v/>
      </c>
      <c r="N72" s="3" t="str">
        <f>'GIA CONG ACRYLIC'!$H$7</f>
        <v>L2345</v>
      </c>
      <c r="O72" s="2">
        <f>IF('GIA CONG ACRYLIC'!I75+'GIA CONG ACRYLIC'!J75="","",'GIA CONG ACRYLIC'!I75+'GIA CONG ACRYLIC'!J75)</f>
        <v>0</v>
      </c>
      <c r="P72" s="3" t="e">
        <f>IF('LENH GIA CONG TAM'!#REF!="","",'LENH GIA CONG TAM'!#REF!)</f>
        <v>#REF!</v>
      </c>
      <c r="Q72" s="3" t="e">
        <f>IF('LENH GIA CONG TAM'!#REF!="","",'LENH GIA CONG TAM'!#REF!)</f>
        <v>#REF!</v>
      </c>
      <c r="R72" s="107">
        <f>'GIA CONG ACRYLIC'!$M$6</f>
        <v>46147.447916666664</v>
      </c>
      <c r="S72" s="3">
        <f>'GIA CONG ACRYLIC'!$M$7</f>
        <v>3</v>
      </c>
      <c r="T72" s="107">
        <f>'GIA CONG ACRYLIC'!$M$8</f>
        <v>46150.447916666664</v>
      </c>
    </row>
    <row r="73" spans="1:20" x14ac:dyDescent="0.25">
      <c r="A73" s="2" t="str">
        <f>IF('GIA CONG ACRYLIC'!A76="","",'GIA CONG ACRYLIC'!A76)</f>
        <v/>
      </c>
      <c r="B73" s="2" t="str">
        <f>IF('GIA CONG ACRYLIC'!B76="","",'GIA CONG ACRYLIC'!B76)</f>
        <v/>
      </c>
      <c r="C73" s="2" t="str">
        <f>IF('GIA CONG ACRYLIC'!C76="","",'GIA CONG ACRYLIC'!C76)</f>
        <v/>
      </c>
      <c r="D73" s="2" t="str">
        <f>IF('GIA CONG ACRYLIC'!D76="","",'GIA CONG ACRYLIC'!D76)</f>
        <v/>
      </c>
      <c r="E73" s="2" t="str">
        <f>IF('GIA CONG ACRYLIC'!E76="","",'GIA CONG ACRYLIC'!E76)</f>
        <v/>
      </c>
      <c r="F73" s="2" t="str">
        <f>IF('GIA CONG ACRYLIC'!F76="","",'GIA CONG ACRYLIC'!F76)</f>
        <v/>
      </c>
      <c r="G73" s="2" t="str">
        <f>IF('GIA CONG ACRYLIC'!G76="","",'GIA CONG ACRYLIC'!G76)</f>
        <v/>
      </c>
      <c r="H73" s="2" t="str">
        <f>IF('GIA CONG ACRYLIC'!H76="","",'GIA CONG ACRYLIC'!H76)</f>
        <v/>
      </c>
      <c r="I73" s="2" t="str">
        <f>IF('GIA CONG ACRYLIC'!I76="","",'GIA CONG ACRYLIC'!I76)</f>
        <v/>
      </c>
      <c r="J73" s="2" t="str">
        <f>IF('GIA CONG ACRYLIC'!J76="","",'GIA CONG ACRYLIC'!J76)</f>
        <v/>
      </c>
      <c r="K73" s="2" t="str">
        <f>IF('GIA CONG ACRYLIC'!K76="","",'GIA CONG ACRYLIC'!K76)</f>
        <v/>
      </c>
      <c r="L73" s="2" t="str">
        <f>IF('GIA CONG ACRYLIC'!L76="","",'GIA CONG ACRYLIC'!L76)</f>
        <v/>
      </c>
      <c r="M73" s="2" t="str">
        <f>IF('GIA CONG ACRYLIC'!M76="","",'GIA CONG ACRYLIC'!M76)</f>
        <v/>
      </c>
      <c r="N73" s="3" t="str">
        <f>'GIA CONG ACRYLIC'!$H$7</f>
        <v>L2345</v>
      </c>
      <c r="O73" s="2">
        <f>IF('GIA CONG ACRYLIC'!I76+'GIA CONG ACRYLIC'!J76="","",'GIA CONG ACRYLIC'!I76+'GIA CONG ACRYLIC'!J76)</f>
        <v>0</v>
      </c>
      <c r="P73" s="3" t="e">
        <f>IF('LENH GIA CONG TAM'!#REF!="","",'LENH GIA CONG TAM'!#REF!)</f>
        <v>#REF!</v>
      </c>
      <c r="Q73" s="3" t="e">
        <f>IF('LENH GIA CONG TAM'!#REF!="","",'LENH GIA CONG TAM'!#REF!)</f>
        <v>#REF!</v>
      </c>
      <c r="R73" s="107">
        <f>'GIA CONG ACRYLIC'!$M$6</f>
        <v>46147.447916666664</v>
      </c>
      <c r="S73" s="3">
        <f>'GIA CONG ACRYLIC'!$M$7</f>
        <v>3</v>
      </c>
      <c r="T73" s="107">
        <f>'GIA CONG ACRYLIC'!$M$8</f>
        <v>46150.447916666664</v>
      </c>
    </row>
    <row r="74" spans="1:20" x14ac:dyDescent="0.25">
      <c r="A74" s="2" t="str">
        <f>IF('GIA CONG ACRYLIC'!A77="","",'GIA CONG ACRYLIC'!A77)</f>
        <v/>
      </c>
      <c r="B74" s="2" t="str">
        <f>IF('GIA CONG ACRYLIC'!B77="","",'GIA CONG ACRYLIC'!B77)</f>
        <v/>
      </c>
      <c r="C74" s="2" t="str">
        <f>IF('GIA CONG ACRYLIC'!C77="","",'GIA CONG ACRYLIC'!C77)</f>
        <v/>
      </c>
      <c r="D74" s="2" t="str">
        <f>IF('GIA CONG ACRYLIC'!D77="","",'GIA CONG ACRYLIC'!D77)</f>
        <v/>
      </c>
      <c r="E74" s="2" t="str">
        <f>IF('GIA CONG ACRYLIC'!E77="","",'GIA CONG ACRYLIC'!E77)</f>
        <v/>
      </c>
      <c r="F74" s="2" t="str">
        <f>IF('GIA CONG ACRYLIC'!F77="","",'GIA CONG ACRYLIC'!F77)</f>
        <v/>
      </c>
      <c r="G74" s="2" t="str">
        <f>IF('GIA CONG ACRYLIC'!G77="","",'GIA CONG ACRYLIC'!G77)</f>
        <v/>
      </c>
      <c r="H74" s="2" t="str">
        <f>IF('GIA CONG ACRYLIC'!H77="","",'GIA CONG ACRYLIC'!H77)</f>
        <v/>
      </c>
      <c r="I74" s="2" t="str">
        <f>IF('GIA CONG ACRYLIC'!I77="","",'GIA CONG ACRYLIC'!I77)</f>
        <v/>
      </c>
      <c r="J74" s="2" t="str">
        <f>IF('GIA CONG ACRYLIC'!J77="","",'GIA CONG ACRYLIC'!J77)</f>
        <v/>
      </c>
      <c r="K74" s="2" t="str">
        <f>IF('GIA CONG ACRYLIC'!K77="","",'GIA CONG ACRYLIC'!K77)</f>
        <v/>
      </c>
      <c r="L74" s="2" t="str">
        <f>IF('GIA CONG ACRYLIC'!L77="","",'GIA CONG ACRYLIC'!L77)</f>
        <v/>
      </c>
      <c r="M74" s="2" t="str">
        <f>IF('GIA CONG ACRYLIC'!M77="","",'GIA CONG ACRYLIC'!M77)</f>
        <v/>
      </c>
      <c r="N74" s="3" t="str">
        <f>'GIA CONG ACRYLIC'!$H$7</f>
        <v>L2345</v>
      </c>
      <c r="O74" s="2">
        <f>IF('GIA CONG ACRYLIC'!I77+'GIA CONG ACRYLIC'!J77="","",'GIA CONG ACRYLIC'!I77+'GIA CONG ACRYLIC'!J77)</f>
        <v>0</v>
      </c>
      <c r="P74" s="3" t="e">
        <f>IF('LENH GIA CONG TAM'!#REF!="","",'LENH GIA CONG TAM'!#REF!)</f>
        <v>#REF!</v>
      </c>
      <c r="Q74" s="3" t="e">
        <f>IF('LENH GIA CONG TAM'!#REF!="","",'LENH GIA CONG TAM'!#REF!)</f>
        <v>#REF!</v>
      </c>
      <c r="R74" s="107">
        <f>'GIA CONG ACRYLIC'!$M$6</f>
        <v>46147.447916666664</v>
      </c>
      <c r="S74" s="3">
        <f>'GIA CONG ACRYLIC'!$M$7</f>
        <v>3</v>
      </c>
      <c r="T74" s="107">
        <f>'GIA CONG ACRYLIC'!$M$8</f>
        <v>46150.447916666664</v>
      </c>
    </row>
    <row r="75" spans="1:20" x14ac:dyDescent="0.25">
      <c r="A75" s="2" t="str">
        <f>IF('GIA CONG ACRYLIC'!A78="","",'GIA CONG ACRYLIC'!A78)</f>
        <v/>
      </c>
      <c r="B75" s="2" t="str">
        <f>IF('GIA CONG ACRYLIC'!B78="","",'GIA CONG ACRYLIC'!B78)</f>
        <v/>
      </c>
      <c r="C75" s="2" t="str">
        <f>IF('GIA CONG ACRYLIC'!C78="","",'GIA CONG ACRYLIC'!C78)</f>
        <v/>
      </c>
      <c r="D75" s="2" t="str">
        <f>IF('GIA CONG ACRYLIC'!D78="","",'GIA CONG ACRYLIC'!D78)</f>
        <v/>
      </c>
      <c r="E75" s="2" t="str">
        <f>IF('GIA CONG ACRYLIC'!E78="","",'GIA CONG ACRYLIC'!E78)</f>
        <v/>
      </c>
      <c r="F75" s="2" t="str">
        <f>IF('GIA CONG ACRYLIC'!F78="","",'GIA CONG ACRYLIC'!F78)</f>
        <v/>
      </c>
      <c r="G75" s="2" t="str">
        <f>IF('GIA CONG ACRYLIC'!G78="","",'GIA CONG ACRYLIC'!G78)</f>
        <v/>
      </c>
      <c r="H75" s="2" t="str">
        <f>IF('GIA CONG ACRYLIC'!H78="","",'GIA CONG ACRYLIC'!H78)</f>
        <v/>
      </c>
      <c r="I75" s="2" t="str">
        <f>IF('GIA CONG ACRYLIC'!I78="","",'GIA CONG ACRYLIC'!I78)</f>
        <v/>
      </c>
      <c r="J75" s="2" t="str">
        <f>IF('GIA CONG ACRYLIC'!J78="","",'GIA CONG ACRYLIC'!J78)</f>
        <v/>
      </c>
      <c r="K75" s="2" t="str">
        <f>IF('GIA CONG ACRYLIC'!K78="","",'GIA CONG ACRYLIC'!K78)</f>
        <v/>
      </c>
      <c r="L75" s="2" t="str">
        <f>IF('GIA CONG ACRYLIC'!L78="","",'GIA CONG ACRYLIC'!L78)</f>
        <v/>
      </c>
      <c r="M75" s="2" t="str">
        <f>IF('GIA CONG ACRYLIC'!M78="","",'GIA CONG ACRYLIC'!M78)</f>
        <v/>
      </c>
      <c r="N75" s="3" t="str">
        <f>'GIA CONG ACRYLIC'!$H$7</f>
        <v>L2345</v>
      </c>
      <c r="O75" s="2">
        <f>IF('GIA CONG ACRYLIC'!I78+'GIA CONG ACRYLIC'!J78="","",'GIA CONG ACRYLIC'!I78+'GIA CONG ACRYLIC'!J78)</f>
        <v>0</v>
      </c>
      <c r="P75" s="3">
        <f>IF('LENH GIA CONG TAM'!H32="","",'LENH GIA CONG TAM'!H32)</f>
        <v>1.9809999999999999</v>
      </c>
      <c r="Q75" s="3">
        <f>IF('LENH GIA CONG TAM'!I32="","",'LENH GIA CONG TAM'!I32)</f>
        <v>0.36699999999999999</v>
      </c>
      <c r="R75" s="107">
        <f>'GIA CONG ACRYLIC'!$M$6</f>
        <v>46147.447916666664</v>
      </c>
      <c r="S75" s="3">
        <f>'GIA CONG ACRYLIC'!$M$7</f>
        <v>3</v>
      </c>
      <c r="T75" s="107">
        <f>'GIA CONG ACRYLIC'!$M$8</f>
        <v>46150.447916666664</v>
      </c>
    </row>
    <row r="76" spans="1:20" x14ac:dyDescent="0.25">
      <c r="A76" s="2" t="str">
        <f>IF('GIA CONG ACRYLIC'!A79="","",'GIA CONG ACRYLIC'!A79)</f>
        <v/>
      </c>
      <c r="B76" s="2" t="str">
        <f>IF('GIA CONG ACRYLIC'!B79="","",'GIA CONG ACRYLIC'!B79)</f>
        <v/>
      </c>
      <c r="C76" s="2" t="str">
        <f>IF('GIA CONG ACRYLIC'!C79="","",'GIA CONG ACRYLIC'!C79)</f>
        <v/>
      </c>
      <c r="D76" s="2" t="str">
        <f>IF('GIA CONG ACRYLIC'!D79="","",'GIA CONG ACRYLIC'!D79)</f>
        <v/>
      </c>
      <c r="E76" s="2" t="str">
        <f>IF('GIA CONG ACRYLIC'!E79="","",'GIA CONG ACRYLIC'!E79)</f>
        <v/>
      </c>
      <c r="F76" s="2" t="str">
        <f>IF('GIA CONG ACRYLIC'!F79="","",'GIA CONG ACRYLIC'!F79)</f>
        <v/>
      </c>
      <c r="G76" s="2" t="str">
        <f>IF('GIA CONG ACRYLIC'!G79="","",'GIA CONG ACRYLIC'!G79)</f>
        <v/>
      </c>
      <c r="H76" s="2" t="str">
        <f>IF('GIA CONG ACRYLIC'!H79="","",'GIA CONG ACRYLIC'!H79)</f>
        <v/>
      </c>
      <c r="I76" s="2" t="str">
        <f>IF('GIA CONG ACRYLIC'!I79="","",'GIA CONG ACRYLIC'!I79)</f>
        <v/>
      </c>
      <c r="J76" s="2" t="str">
        <f>IF('GIA CONG ACRYLIC'!J79="","",'GIA CONG ACRYLIC'!J79)</f>
        <v/>
      </c>
      <c r="K76" s="2" t="str">
        <f>IF('GIA CONG ACRYLIC'!K79="","",'GIA CONG ACRYLIC'!K79)</f>
        <v/>
      </c>
      <c r="L76" s="2" t="str">
        <f>IF('GIA CONG ACRYLIC'!L79="","",'GIA CONG ACRYLIC'!L79)</f>
        <v/>
      </c>
      <c r="M76" s="2" t="str">
        <f>IF('GIA CONG ACRYLIC'!M79="","",'GIA CONG ACRYLIC'!M79)</f>
        <v/>
      </c>
      <c r="N76" s="3" t="str">
        <f>'GIA CONG ACRYLIC'!$H$7</f>
        <v>L2345</v>
      </c>
      <c r="O76" s="2">
        <f>IF('GIA CONG ACRYLIC'!I79+'GIA CONG ACRYLIC'!J79="","",'GIA CONG ACRYLIC'!I79+'GIA CONG ACRYLIC'!J79)</f>
        <v>0</v>
      </c>
      <c r="P76" s="3" t="e">
        <f>IF('LENH GIA CONG TAM'!#REF!="","",'LENH GIA CONG TAM'!#REF!)</f>
        <v>#REF!</v>
      </c>
      <c r="Q76" s="3" t="e">
        <f>IF('LENH GIA CONG TAM'!#REF!="","",'LENH GIA CONG TAM'!#REF!)</f>
        <v>#REF!</v>
      </c>
      <c r="R76" s="107">
        <f>'GIA CONG ACRYLIC'!$M$6</f>
        <v>46147.447916666664</v>
      </c>
      <c r="S76" s="3">
        <f>'GIA CONG ACRYLIC'!$M$7</f>
        <v>3</v>
      </c>
      <c r="T76" s="107">
        <f>'GIA CONG ACRYLIC'!$M$8</f>
        <v>46150.447916666664</v>
      </c>
    </row>
    <row r="77" spans="1:20" x14ac:dyDescent="0.25">
      <c r="A77" s="2" t="str">
        <f>IF('GIA CONG ACRYLIC'!A80="","",'GIA CONG ACRYLIC'!A80)</f>
        <v/>
      </c>
      <c r="B77" s="2" t="str">
        <f>IF('GIA CONG ACRYLIC'!B80="","",'GIA CONG ACRYLIC'!B80)</f>
        <v/>
      </c>
      <c r="C77" s="2" t="str">
        <f>IF('GIA CONG ACRYLIC'!C80="","",'GIA CONG ACRYLIC'!C80)</f>
        <v/>
      </c>
      <c r="D77" s="2" t="str">
        <f>IF('GIA CONG ACRYLIC'!D80="","",'GIA CONG ACRYLIC'!D80)</f>
        <v/>
      </c>
      <c r="E77" s="2" t="str">
        <f>IF('GIA CONG ACRYLIC'!E80="","",'GIA CONG ACRYLIC'!E80)</f>
        <v/>
      </c>
      <c r="F77" s="2" t="str">
        <f>IF('GIA CONG ACRYLIC'!F80="","",'GIA CONG ACRYLIC'!F80)</f>
        <v/>
      </c>
      <c r="G77" s="2" t="str">
        <f>IF('GIA CONG ACRYLIC'!G80="","",'GIA CONG ACRYLIC'!G80)</f>
        <v/>
      </c>
      <c r="H77" s="2" t="str">
        <f>IF('GIA CONG ACRYLIC'!H80="","",'GIA CONG ACRYLIC'!H80)</f>
        <v/>
      </c>
      <c r="I77" s="2" t="str">
        <f>IF('GIA CONG ACRYLIC'!I80="","",'GIA CONG ACRYLIC'!I80)</f>
        <v/>
      </c>
      <c r="J77" s="2" t="str">
        <f>IF('GIA CONG ACRYLIC'!J80="","",'GIA CONG ACRYLIC'!J80)</f>
        <v/>
      </c>
      <c r="K77" s="2" t="str">
        <f>IF('GIA CONG ACRYLIC'!K80="","",'GIA CONG ACRYLIC'!K80)</f>
        <v/>
      </c>
      <c r="L77" s="2" t="str">
        <f>IF('GIA CONG ACRYLIC'!L80="","",'GIA CONG ACRYLIC'!L80)</f>
        <v/>
      </c>
      <c r="M77" s="2" t="str">
        <f>IF('GIA CONG ACRYLIC'!M80="","",'GIA CONG ACRYLIC'!M80)</f>
        <v/>
      </c>
      <c r="N77" s="3" t="str">
        <f>'GIA CONG ACRYLIC'!$H$7</f>
        <v>L2345</v>
      </c>
      <c r="O77" s="2">
        <f>IF('GIA CONG ACRYLIC'!I80+'GIA CONG ACRYLIC'!J80="","",'GIA CONG ACRYLIC'!I80+'GIA CONG ACRYLIC'!J80)</f>
        <v>0</v>
      </c>
      <c r="P77" s="3" t="e">
        <f>IF('LENH GIA CONG TAM'!#REF!="","",'LENH GIA CONG TAM'!#REF!)</f>
        <v>#REF!</v>
      </c>
      <c r="Q77" s="3" t="e">
        <f>IF('LENH GIA CONG TAM'!#REF!="","",'LENH GIA CONG TAM'!#REF!)</f>
        <v>#REF!</v>
      </c>
      <c r="R77" s="107">
        <f>'GIA CONG ACRYLIC'!$M$6</f>
        <v>46147.447916666664</v>
      </c>
      <c r="S77" s="3">
        <f>'GIA CONG ACRYLIC'!$M$7</f>
        <v>3</v>
      </c>
      <c r="T77" s="107">
        <f>'GIA CONG ACRYLIC'!$M$8</f>
        <v>46150.447916666664</v>
      </c>
    </row>
    <row r="78" spans="1:20" x14ac:dyDescent="0.25">
      <c r="A78" s="2" t="str">
        <f>IF('GIA CONG ACRYLIC'!A81="","",'GIA CONG ACRYLIC'!A81)</f>
        <v/>
      </c>
      <c r="B78" s="2" t="str">
        <f>IF('GIA CONG ACRYLIC'!B81="","",'GIA CONG ACRYLIC'!B81)</f>
        <v/>
      </c>
      <c r="C78" s="2" t="str">
        <f>IF('GIA CONG ACRYLIC'!C81="","",'GIA CONG ACRYLIC'!C81)</f>
        <v/>
      </c>
      <c r="D78" s="2" t="str">
        <f>IF('GIA CONG ACRYLIC'!D81="","",'GIA CONG ACRYLIC'!D81)</f>
        <v/>
      </c>
      <c r="E78" s="2" t="str">
        <f>IF('GIA CONG ACRYLIC'!E81="","",'GIA CONG ACRYLIC'!E81)</f>
        <v/>
      </c>
      <c r="F78" s="2" t="str">
        <f>IF('GIA CONG ACRYLIC'!F81="","",'GIA CONG ACRYLIC'!F81)</f>
        <v/>
      </c>
      <c r="G78" s="2" t="str">
        <f>IF('GIA CONG ACRYLIC'!G81="","",'GIA CONG ACRYLIC'!G81)</f>
        <v/>
      </c>
      <c r="H78" s="2" t="str">
        <f>IF('GIA CONG ACRYLIC'!H81="","",'GIA CONG ACRYLIC'!H81)</f>
        <v/>
      </c>
      <c r="I78" s="2" t="str">
        <f>IF('GIA CONG ACRYLIC'!I81="","",'GIA CONG ACRYLIC'!I81)</f>
        <v/>
      </c>
      <c r="J78" s="2" t="str">
        <f>IF('GIA CONG ACRYLIC'!J81="","",'GIA CONG ACRYLIC'!J81)</f>
        <v/>
      </c>
      <c r="K78" s="2" t="str">
        <f>IF('GIA CONG ACRYLIC'!K81="","",'GIA CONG ACRYLIC'!K81)</f>
        <v/>
      </c>
      <c r="L78" s="2" t="str">
        <f>IF('GIA CONG ACRYLIC'!L81="","",'GIA CONG ACRYLIC'!L81)</f>
        <v/>
      </c>
      <c r="M78" s="2" t="str">
        <f>IF('GIA CONG ACRYLIC'!M81="","",'GIA CONG ACRYLIC'!M81)</f>
        <v/>
      </c>
      <c r="N78" s="3" t="str">
        <f>'GIA CONG ACRYLIC'!$H$7</f>
        <v>L2345</v>
      </c>
      <c r="O78" s="2">
        <f>IF('GIA CONG ACRYLIC'!I81+'GIA CONG ACRYLIC'!J81="","",'GIA CONG ACRYLIC'!I81+'GIA CONG ACRYLIC'!J81)</f>
        <v>0</v>
      </c>
      <c r="P78" s="3">
        <f>IF('LENH GIA CONG TAM'!H36="","",'LENH GIA CONG TAM'!H36)</f>
        <v>3.55</v>
      </c>
      <c r="Q78" s="3">
        <f>IF('LENH GIA CONG TAM'!I36="","",'LENH GIA CONG TAM'!I36)</f>
        <v>0.83</v>
      </c>
      <c r="R78" s="107">
        <f>'GIA CONG ACRYLIC'!$M$6</f>
        <v>46147.447916666664</v>
      </c>
      <c r="S78" s="3">
        <f>'GIA CONG ACRYLIC'!$M$7</f>
        <v>3</v>
      </c>
      <c r="T78" s="107">
        <f>'GIA CONG ACRYLIC'!$M$8</f>
        <v>46150.447916666664</v>
      </c>
    </row>
    <row r="79" spans="1:20" x14ac:dyDescent="0.25">
      <c r="A79" s="2" t="str">
        <f>IF('GIA CONG ACRYLIC'!A82="","",'GIA CONG ACRYLIC'!A82)</f>
        <v/>
      </c>
      <c r="B79" s="2" t="str">
        <f>IF('GIA CONG ACRYLIC'!B82="","",'GIA CONG ACRYLIC'!B82)</f>
        <v/>
      </c>
      <c r="C79" s="2" t="str">
        <f>IF('GIA CONG ACRYLIC'!C82="","",'GIA CONG ACRYLIC'!C82)</f>
        <v/>
      </c>
      <c r="D79" s="2" t="str">
        <f>IF('GIA CONG ACRYLIC'!D82="","",'GIA CONG ACRYLIC'!D82)</f>
        <v/>
      </c>
      <c r="E79" s="2" t="str">
        <f>IF('GIA CONG ACRYLIC'!E82="","",'GIA CONG ACRYLIC'!E82)</f>
        <v/>
      </c>
      <c r="F79" s="2" t="str">
        <f>IF('GIA CONG ACRYLIC'!F82="","",'GIA CONG ACRYLIC'!F82)</f>
        <v/>
      </c>
      <c r="G79" s="2" t="str">
        <f>IF('GIA CONG ACRYLIC'!G82="","",'GIA CONG ACRYLIC'!G82)</f>
        <v/>
      </c>
      <c r="H79" s="2" t="str">
        <f>IF('GIA CONG ACRYLIC'!H82="","",'GIA CONG ACRYLIC'!H82)</f>
        <v/>
      </c>
      <c r="I79" s="2" t="str">
        <f>IF('GIA CONG ACRYLIC'!I82="","",'GIA CONG ACRYLIC'!I82)</f>
        <v/>
      </c>
      <c r="J79" s="2" t="str">
        <f>IF('GIA CONG ACRYLIC'!J82="","",'GIA CONG ACRYLIC'!J82)</f>
        <v/>
      </c>
      <c r="K79" s="2" t="str">
        <f>IF('GIA CONG ACRYLIC'!K82="","",'GIA CONG ACRYLIC'!K82)</f>
        <v/>
      </c>
      <c r="L79" s="2" t="str">
        <f>IF('GIA CONG ACRYLIC'!L82="","",'GIA CONG ACRYLIC'!L82)</f>
        <v/>
      </c>
      <c r="M79" s="2" t="str">
        <f>IF('GIA CONG ACRYLIC'!M82="","",'GIA CONG ACRYLIC'!M82)</f>
        <v/>
      </c>
      <c r="N79" s="3" t="str">
        <f>'GIA CONG ACRYLIC'!$H$7</f>
        <v>L2345</v>
      </c>
      <c r="O79" s="2">
        <f>IF('GIA CONG ACRYLIC'!I82+'GIA CONG ACRYLIC'!J82="","",'GIA CONG ACRYLIC'!I82+'GIA CONG ACRYLIC'!J82)</f>
        <v>0</v>
      </c>
      <c r="P79" s="3">
        <f>IF('LENH GIA CONG TAM'!H37="","",'LENH GIA CONG TAM'!H37)</f>
        <v>3.8</v>
      </c>
      <c r="Q79" s="3">
        <f>IF('LENH GIA CONG TAM'!I37="","",'LENH GIA CONG TAM'!I37)</f>
        <v>0.08</v>
      </c>
      <c r="R79" s="107">
        <f>'GIA CONG ACRYLIC'!$M$6</f>
        <v>46147.447916666664</v>
      </c>
      <c r="S79" s="3">
        <f>'GIA CONG ACRYLIC'!$M$7</f>
        <v>3</v>
      </c>
      <c r="T79" s="107">
        <f>'GIA CONG ACRYLIC'!$M$8</f>
        <v>46150.447916666664</v>
      </c>
    </row>
  </sheetData>
  <mergeCells count="19">
    <mergeCell ref="R11:R12"/>
    <mergeCell ref="S11:S12"/>
    <mergeCell ref="T11:T12"/>
    <mergeCell ref="P11:P12"/>
    <mergeCell ref="Q11:Q12"/>
    <mergeCell ref="A11:A12"/>
    <mergeCell ref="C11:C12"/>
    <mergeCell ref="D11:E11"/>
    <mergeCell ref="F11:F12"/>
    <mergeCell ref="G11:G12"/>
    <mergeCell ref="B11:B12"/>
    <mergeCell ref="M11:M12"/>
    <mergeCell ref="N11:N12"/>
    <mergeCell ref="O11:O12"/>
    <mergeCell ref="H11:H12"/>
    <mergeCell ref="I11:I12"/>
    <mergeCell ref="J11:J12"/>
    <mergeCell ref="K11:K12"/>
    <mergeCell ref="L11:L12"/>
  </mergeCells>
  <conditionalFormatting sqref="P11:T12">
    <cfRule type="expression" dxfId="0" priority="1">
      <formula>"""=OR(ROW()=CELL(""row""),COLUMN()=CELL(""col""))"</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35"/>
  <sheetViews>
    <sheetView workbookViewId="0">
      <selection activeCell="T20" sqref="T20"/>
    </sheetView>
  </sheetViews>
  <sheetFormatPr defaultRowHeight="15.75" x14ac:dyDescent="0.25"/>
  <cols>
    <col min="1" max="1" width="6.25" bestFit="1" customWidth="1"/>
    <col min="2" max="2" width="15.25" customWidth="1"/>
    <col min="3" max="3" width="23.625" bestFit="1" customWidth="1"/>
    <col min="4" max="5" width="18.5" customWidth="1"/>
    <col min="6" max="6" width="16.25" customWidth="1"/>
    <col min="7" max="7" width="24" bestFit="1" customWidth="1"/>
    <col min="8" max="8" width="5.75" bestFit="1" customWidth="1"/>
    <col min="9" max="9" width="5.875" bestFit="1" customWidth="1"/>
    <col min="10" max="10" width="8.375" bestFit="1" customWidth="1"/>
    <col min="11" max="11" width="15.625" bestFit="1" customWidth="1"/>
    <col min="12" max="12" width="7.75" bestFit="1" customWidth="1"/>
    <col min="13" max="14" width="14.125" style="115" bestFit="1" customWidth="1"/>
    <col min="15" max="16" width="14.875" style="115" bestFit="1" customWidth="1"/>
    <col min="17" max="18" width="11" bestFit="1" customWidth="1"/>
    <col min="19" max="20" width="11.75" bestFit="1" customWidth="1"/>
    <col min="21" max="21" width="8.625" bestFit="1" customWidth="1"/>
  </cols>
  <sheetData>
    <row r="1" spans="1:37" x14ac:dyDescent="0.25">
      <c r="A1" s="112" t="s">
        <v>147</v>
      </c>
      <c r="B1" s="112" t="s">
        <v>148</v>
      </c>
      <c r="C1" s="112" t="s">
        <v>149</v>
      </c>
      <c r="D1" s="112" t="s">
        <v>0</v>
      </c>
      <c r="E1" s="112"/>
      <c r="F1" s="112" t="s">
        <v>150</v>
      </c>
      <c r="G1" s="112" t="s">
        <v>151</v>
      </c>
      <c r="H1" s="112" t="s">
        <v>152</v>
      </c>
      <c r="I1" s="112" t="s">
        <v>23</v>
      </c>
      <c r="J1" s="112" t="s">
        <v>153</v>
      </c>
      <c r="K1" s="112" t="s">
        <v>35</v>
      </c>
      <c r="L1" s="112" t="s">
        <v>16</v>
      </c>
      <c r="M1" s="113" t="s">
        <v>154</v>
      </c>
      <c r="N1" s="113" t="s">
        <v>155</v>
      </c>
      <c r="O1" s="113" t="s">
        <v>156</v>
      </c>
      <c r="P1" s="113" t="s">
        <v>157</v>
      </c>
      <c r="Q1" s="112" t="s">
        <v>158</v>
      </c>
      <c r="R1" s="112" t="s">
        <v>159</v>
      </c>
      <c r="S1" s="112" t="s">
        <v>160</v>
      </c>
      <c r="T1" s="112" t="s">
        <v>161</v>
      </c>
      <c r="U1" s="112" t="s">
        <v>162</v>
      </c>
      <c r="V1" t="s">
        <v>163</v>
      </c>
      <c r="W1" t="s">
        <v>164</v>
      </c>
      <c r="X1" t="s">
        <v>165</v>
      </c>
      <c r="Y1" t="s">
        <v>166</v>
      </c>
      <c r="Z1" t="s">
        <v>167</v>
      </c>
      <c r="AA1" t="s">
        <v>168</v>
      </c>
      <c r="AB1" t="s">
        <v>169</v>
      </c>
      <c r="AC1" t="s">
        <v>170</v>
      </c>
      <c r="AD1" t="s">
        <v>171</v>
      </c>
      <c r="AE1" t="s">
        <v>172</v>
      </c>
      <c r="AF1" t="s">
        <v>173</v>
      </c>
      <c r="AG1" t="s">
        <v>174</v>
      </c>
      <c r="AH1" t="s">
        <v>175</v>
      </c>
      <c r="AI1" t="s">
        <v>176</v>
      </c>
      <c r="AJ1" t="s">
        <v>177</v>
      </c>
      <c r="AK1" t="s">
        <v>178</v>
      </c>
    </row>
    <row r="2" spans="1:37" x14ac:dyDescent="0.25">
      <c r="A2" s="112" t="s">
        <v>179</v>
      </c>
      <c r="B2" s="112" t="s">
        <v>180</v>
      </c>
      <c r="C2" s="112" t="s">
        <v>181</v>
      </c>
      <c r="D2" s="112" t="s">
        <v>182</v>
      </c>
      <c r="E2" s="112"/>
      <c r="F2" s="112" t="s">
        <v>183</v>
      </c>
      <c r="G2" s="112" t="s">
        <v>184</v>
      </c>
      <c r="H2" s="112" t="s">
        <v>185</v>
      </c>
      <c r="I2" s="112" t="s">
        <v>186</v>
      </c>
      <c r="J2" s="116" t="s">
        <v>187</v>
      </c>
      <c r="K2" s="116" t="s">
        <v>188</v>
      </c>
      <c r="L2" s="112" t="s">
        <v>189</v>
      </c>
      <c r="M2" s="113" t="s">
        <v>190</v>
      </c>
      <c r="N2" s="113" t="s">
        <v>191</v>
      </c>
      <c r="O2" s="113" t="s">
        <v>192</v>
      </c>
      <c r="P2" s="113" t="s">
        <v>193</v>
      </c>
      <c r="Q2" s="112" t="s">
        <v>194</v>
      </c>
      <c r="R2" s="112" t="s">
        <v>195</v>
      </c>
      <c r="S2" s="112" t="s">
        <v>196</v>
      </c>
      <c r="T2" s="112" t="s">
        <v>197</v>
      </c>
      <c r="U2" s="112" t="s">
        <v>198</v>
      </c>
      <c r="V2" t="s">
        <v>199</v>
      </c>
      <c r="W2" t="s">
        <v>200</v>
      </c>
      <c r="X2" t="s">
        <v>201</v>
      </c>
      <c r="Y2" t="s">
        <v>202</v>
      </c>
      <c r="Z2" t="s">
        <v>203</v>
      </c>
      <c r="AA2" t="s">
        <v>204</v>
      </c>
      <c r="AB2" t="s">
        <v>205</v>
      </c>
      <c r="AC2" t="s">
        <v>206</v>
      </c>
      <c r="AD2" t="s">
        <v>207</v>
      </c>
      <c r="AE2" t="s">
        <v>208</v>
      </c>
      <c r="AF2" t="s">
        <v>209</v>
      </c>
      <c r="AG2" t="s">
        <v>210</v>
      </c>
      <c r="AH2" t="s">
        <v>211</v>
      </c>
      <c r="AI2" t="s">
        <v>212</v>
      </c>
      <c r="AJ2" t="s">
        <v>213</v>
      </c>
      <c r="AK2" t="s">
        <v>214</v>
      </c>
    </row>
    <row r="3" spans="1:37" x14ac:dyDescent="0.25">
      <c r="A3" s="112"/>
      <c r="B3" s="112"/>
      <c r="C3" s="112"/>
      <c r="D3" s="112"/>
      <c r="E3" s="112"/>
      <c r="F3" s="112" t="s">
        <v>218</v>
      </c>
      <c r="G3" s="112"/>
      <c r="H3" s="112"/>
      <c r="I3" s="112"/>
      <c r="J3" s="112"/>
      <c r="K3" s="112"/>
      <c r="L3" s="112"/>
      <c r="M3" s="113"/>
      <c r="N3" s="117" t="s">
        <v>33</v>
      </c>
      <c r="O3" s="113"/>
      <c r="P3" s="117" t="s">
        <v>33</v>
      </c>
      <c r="Q3" s="112"/>
      <c r="R3" s="112"/>
      <c r="S3" s="112"/>
      <c r="T3" s="112"/>
      <c r="U3" s="112" t="s">
        <v>33</v>
      </c>
    </row>
    <row r="4" spans="1:37" x14ac:dyDescent="0.25">
      <c r="A4" s="111" t="s">
        <v>96</v>
      </c>
      <c r="B4" s="111" t="s">
        <v>215</v>
      </c>
      <c r="C4" s="111" t="s">
        <v>97</v>
      </c>
      <c r="D4" s="111" t="s">
        <v>98</v>
      </c>
      <c r="E4" s="111" t="s">
        <v>217</v>
      </c>
      <c r="F4" s="111" t="s">
        <v>93</v>
      </c>
      <c r="G4" s="111" t="s">
        <v>99</v>
      </c>
      <c r="H4" s="111">
        <v>792</v>
      </c>
      <c r="I4" s="111">
        <v>320</v>
      </c>
      <c r="J4" s="111">
        <v>19</v>
      </c>
      <c r="K4" s="111">
        <v>2</v>
      </c>
      <c r="L4" s="111">
        <v>1</v>
      </c>
      <c r="M4" s="114" t="s">
        <v>216</v>
      </c>
      <c r="N4" s="114" t="s">
        <v>216</v>
      </c>
      <c r="O4" s="114" t="s">
        <v>216</v>
      </c>
      <c r="P4" s="114" t="s">
        <v>96</v>
      </c>
      <c r="Q4" s="111">
        <v>1.0000000000000001E-5</v>
      </c>
      <c r="R4" s="111">
        <v>1.0000000000000001E-5</v>
      </c>
      <c r="S4" s="111">
        <v>1.0000000000000001E-5</v>
      </c>
      <c r="T4" s="111">
        <v>1.0000000000000001E-5</v>
      </c>
      <c r="U4" s="111" t="s">
        <v>100</v>
      </c>
    </row>
    <row r="5" spans="1:37" x14ac:dyDescent="0.25">
      <c r="A5" s="111" t="s">
        <v>96</v>
      </c>
      <c r="B5" s="111" t="s">
        <v>215</v>
      </c>
      <c r="C5" s="111" t="s">
        <v>97</v>
      </c>
      <c r="D5" s="111" t="s">
        <v>101</v>
      </c>
      <c r="E5" s="111"/>
      <c r="F5" s="111" t="s">
        <v>93</v>
      </c>
      <c r="G5" s="111" t="s">
        <v>99</v>
      </c>
      <c r="H5" s="111">
        <v>792</v>
      </c>
      <c r="I5" s="111">
        <v>320</v>
      </c>
      <c r="J5" s="111">
        <v>19</v>
      </c>
      <c r="K5" s="111">
        <v>2</v>
      </c>
      <c r="L5" s="111">
        <v>1</v>
      </c>
      <c r="M5" s="114" t="s">
        <v>216</v>
      </c>
      <c r="N5" s="114" t="s">
        <v>216</v>
      </c>
      <c r="O5" s="114" t="s">
        <v>216</v>
      </c>
      <c r="P5" s="114" t="s">
        <v>96</v>
      </c>
      <c r="Q5" s="111">
        <v>1.0000000000000001E-5</v>
      </c>
      <c r="R5" s="111">
        <v>1.0000000000000001E-5</v>
      </c>
      <c r="S5" s="111">
        <v>1.0000000000000001E-5</v>
      </c>
      <c r="T5" s="111">
        <v>1.0000000000000001E-5</v>
      </c>
      <c r="U5" s="111" t="s">
        <v>100</v>
      </c>
    </row>
    <row r="6" spans="1:37" x14ac:dyDescent="0.25">
      <c r="A6" s="111" t="s">
        <v>96</v>
      </c>
      <c r="B6" s="111" t="s">
        <v>215</v>
      </c>
      <c r="C6" s="111" t="s">
        <v>97</v>
      </c>
      <c r="D6" s="111" t="s">
        <v>102</v>
      </c>
      <c r="E6" s="111"/>
      <c r="F6" s="111" t="s">
        <v>93</v>
      </c>
      <c r="G6" s="111" t="s">
        <v>99</v>
      </c>
      <c r="H6" s="111">
        <v>792</v>
      </c>
      <c r="I6" s="111">
        <v>341</v>
      </c>
      <c r="J6" s="111">
        <v>19</v>
      </c>
      <c r="K6" s="111">
        <v>2</v>
      </c>
      <c r="L6" s="111">
        <v>1</v>
      </c>
      <c r="M6" s="114" t="s">
        <v>216</v>
      </c>
      <c r="N6" s="114" t="s">
        <v>216</v>
      </c>
      <c r="O6" s="114" t="s">
        <v>216</v>
      </c>
      <c r="P6" s="114" t="s">
        <v>96</v>
      </c>
      <c r="Q6" s="111">
        <v>1.0000000000000001E-5</v>
      </c>
      <c r="R6" s="111">
        <v>1.0000000000000001E-5</v>
      </c>
      <c r="S6" s="111">
        <v>1.0000000000000001E-5</v>
      </c>
      <c r="T6" s="111">
        <v>1.0000000000000001E-5</v>
      </c>
      <c r="U6" s="111" t="s">
        <v>103</v>
      </c>
    </row>
    <row r="7" spans="1:37" x14ac:dyDescent="0.25">
      <c r="A7" s="111" t="s">
        <v>96</v>
      </c>
      <c r="B7" s="111" t="s">
        <v>215</v>
      </c>
      <c r="C7" s="111" t="s">
        <v>97</v>
      </c>
      <c r="D7" s="111" t="s">
        <v>104</v>
      </c>
      <c r="E7" s="111"/>
      <c r="F7" s="111" t="s">
        <v>93</v>
      </c>
      <c r="G7" s="111" t="s">
        <v>99</v>
      </c>
      <c r="H7" s="111">
        <v>792</v>
      </c>
      <c r="I7" s="111">
        <v>341</v>
      </c>
      <c r="J7" s="111">
        <v>19</v>
      </c>
      <c r="K7" s="111">
        <v>2</v>
      </c>
      <c r="L7" s="111">
        <v>1</v>
      </c>
      <c r="M7" s="114" t="s">
        <v>216</v>
      </c>
      <c r="N7" s="114" t="s">
        <v>216</v>
      </c>
      <c r="O7" s="114" t="s">
        <v>216</v>
      </c>
      <c r="P7" s="114" t="s">
        <v>96</v>
      </c>
      <c r="Q7" s="111">
        <v>1.0000000000000001E-5</v>
      </c>
      <c r="R7" s="111">
        <v>1.0000000000000001E-5</v>
      </c>
      <c r="S7" s="111">
        <v>1.0000000000000001E-5</v>
      </c>
      <c r="T7" s="111">
        <v>1.0000000000000001E-5</v>
      </c>
      <c r="U7" s="111" t="s">
        <v>103</v>
      </c>
    </row>
    <row r="8" spans="1:37" x14ac:dyDescent="0.25">
      <c r="A8" s="111" t="s">
        <v>96</v>
      </c>
      <c r="B8" s="111" t="s">
        <v>215</v>
      </c>
      <c r="C8" s="111" t="s">
        <v>97</v>
      </c>
      <c r="D8" s="111" t="s">
        <v>105</v>
      </c>
      <c r="E8" s="111"/>
      <c r="F8" s="111" t="s">
        <v>93</v>
      </c>
      <c r="G8" s="111" t="s">
        <v>99</v>
      </c>
      <c r="H8" s="111">
        <v>792</v>
      </c>
      <c r="I8" s="111">
        <v>341</v>
      </c>
      <c r="J8" s="111">
        <v>19</v>
      </c>
      <c r="K8" s="111">
        <v>2</v>
      </c>
      <c r="L8" s="111">
        <v>1</v>
      </c>
      <c r="M8" s="114" t="s">
        <v>216</v>
      </c>
      <c r="N8" s="114" t="s">
        <v>216</v>
      </c>
      <c r="O8" s="114" t="s">
        <v>216</v>
      </c>
      <c r="P8" s="114" t="s">
        <v>96</v>
      </c>
      <c r="Q8" s="111">
        <v>1.0000000000000001E-5</v>
      </c>
      <c r="R8" s="111">
        <v>1.0000000000000001E-5</v>
      </c>
      <c r="S8" s="111">
        <v>1.0000000000000001E-5</v>
      </c>
      <c r="T8" s="111">
        <v>1.0000000000000001E-5</v>
      </c>
      <c r="U8" s="111" t="s">
        <v>103</v>
      </c>
    </row>
    <row r="9" spans="1:37" x14ac:dyDescent="0.25">
      <c r="A9" s="111" t="s">
        <v>96</v>
      </c>
      <c r="B9" s="111" t="s">
        <v>215</v>
      </c>
      <c r="C9" s="111" t="s">
        <v>97</v>
      </c>
      <c r="D9" s="111" t="s">
        <v>106</v>
      </c>
      <c r="E9" s="111"/>
      <c r="F9" s="111" t="s">
        <v>93</v>
      </c>
      <c r="G9" s="111" t="s">
        <v>99</v>
      </c>
      <c r="H9" s="111">
        <v>792</v>
      </c>
      <c r="I9" s="111">
        <v>335</v>
      </c>
      <c r="J9" s="111">
        <v>19</v>
      </c>
      <c r="K9" s="111">
        <v>2</v>
      </c>
      <c r="L9" s="111">
        <v>1</v>
      </c>
      <c r="M9" s="114" t="s">
        <v>216</v>
      </c>
      <c r="N9" s="114" t="s">
        <v>216</v>
      </c>
      <c r="O9" s="114" t="s">
        <v>216</v>
      </c>
      <c r="P9" s="114" t="s">
        <v>96</v>
      </c>
      <c r="Q9" s="111">
        <v>1.0000000000000001E-5</v>
      </c>
      <c r="R9" s="111">
        <v>1.0000000000000001E-5</v>
      </c>
      <c r="S9" s="111">
        <v>1.0000000000000001E-5</v>
      </c>
      <c r="T9" s="111">
        <v>1.0000000000000001E-5</v>
      </c>
      <c r="U9" s="111" t="s">
        <v>107</v>
      </c>
    </row>
    <row r="10" spans="1:37" x14ac:dyDescent="0.25">
      <c r="A10" s="111" t="s">
        <v>96</v>
      </c>
      <c r="B10" s="111" t="s">
        <v>215</v>
      </c>
      <c r="C10" s="111" t="s">
        <v>97</v>
      </c>
      <c r="D10" s="111" t="s">
        <v>108</v>
      </c>
      <c r="E10" s="111"/>
      <c r="F10" s="111" t="s">
        <v>93</v>
      </c>
      <c r="G10" s="111" t="s">
        <v>99</v>
      </c>
      <c r="H10" s="111">
        <v>792</v>
      </c>
      <c r="I10" s="111">
        <v>251</v>
      </c>
      <c r="J10" s="111">
        <v>19</v>
      </c>
      <c r="K10" s="111">
        <v>2</v>
      </c>
      <c r="L10" s="111">
        <v>1</v>
      </c>
      <c r="M10" s="114" t="s">
        <v>216</v>
      </c>
      <c r="N10" s="114" t="s">
        <v>216</v>
      </c>
      <c r="O10" s="114" t="s">
        <v>216</v>
      </c>
      <c r="P10" s="114" t="s">
        <v>96</v>
      </c>
      <c r="Q10" s="111">
        <v>1.0000000000000001E-5</v>
      </c>
      <c r="R10" s="111">
        <v>1.0000000000000001E-5</v>
      </c>
      <c r="S10" s="111">
        <v>1.0000000000000001E-5</v>
      </c>
      <c r="T10" s="111">
        <v>1.0000000000000001E-5</v>
      </c>
      <c r="U10" s="111" t="s">
        <v>109</v>
      </c>
    </row>
    <row r="11" spans="1:37" x14ac:dyDescent="0.25">
      <c r="A11" s="111" t="s">
        <v>96</v>
      </c>
      <c r="B11" s="111" t="s">
        <v>215</v>
      </c>
      <c r="C11" s="111" t="s">
        <v>97</v>
      </c>
      <c r="D11" s="111" t="s">
        <v>110</v>
      </c>
      <c r="E11" s="111"/>
      <c r="F11" s="111" t="s">
        <v>93</v>
      </c>
      <c r="G11" s="111" t="s">
        <v>99</v>
      </c>
      <c r="H11" s="111">
        <v>792</v>
      </c>
      <c r="I11" s="111">
        <v>251</v>
      </c>
      <c r="J11" s="111">
        <v>19</v>
      </c>
      <c r="K11" s="111">
        <v>2</v>
      </c>
      <c r="L11" s="111">
        <v>1</v>
      </c>
      <c r="M11" s="114" t="s">
        <v>216</v>
      </c>
      <c r="N11" s="114" t="s">
        <v>216</v>
      </c>
      <c r="O11" s="114" t="s">
        <v>216</v>
      </c>
      <c r="P11" s="114" t="s">
        <v>96</v>
      </c>
      <c r="Q11" s="111">
        <v>1.0000000000000001E-5</v>
      </c>
      <c r="R11" s="111">
        <v>1.0000000000000001E-5</v>
      </c>
      <c r="S11" s="111">
        <v>1.0000000000000001E-5</v>
      </c>
      <c r="T11" s="111">
        <v>1.0000000000000001E-5</v>
      </c>
      <c r="U11" s="111" t="s">
        <v>109</v>
      </c>
    </row>
    <row r="12" spans="1:37" x14ac:dyDescent="0.25">
      <c r="A12" s="111" t="s">
        <v>96</v>
      </c>
      <c r="B12" s="111" t="s">
        <v>215</v>
      </c>
      <c r="C12" s="111" t="s">
        <v>97</v>
      </c>
      <c r="D12" s="111" t="s">
        <v>111</v>
      </c>
      <c r="E12" s="111"/>
      <c r="F12" s="111" t="s">
        <v>93</v>
      </c>
      <c r="G12" s="111" t="s">
        <v>99</v>
      </c>
      <c r="H12" s="111">
        <v>704</v>
      </c>
      <c r="I12" s="111">
        <v>354</v>
      </c>
      <c r="J12" s="111">
        <v>19</v>
      </c>
      <c r="K12" s="111">
        <v>2</v>
      </c>
      <c r="L12" s="111">
        <v>1</v>
      </c>
      <c r="M12" s="114" t="s">
        <v>216</v>
      </c>
      <c r="N12" s="114" t="s">
        <v>216</v>
      </c>
      <c r="O12" s="114" t="s">
        <v>216</v>
      </c>
      <c r="P12" s="114" t="s">
        <v>96</v>
      </c>
      <c r="Q12" s="111">
        <v>1.0000000000000001E-5</v>
      </c>
      <c r="R12" s="111">
        <v>1.0000000000000001E-5</v>
      </c>
      <c r="S12" s="111">
        <v>1.0000000000000001E-5</v>
      </c>
      <c r="T12" s="111">
        <v>1.0000000000000001E-5</v>
      </c>
      <c r="U12" s="111" t="s">
        <v>112</v>
      </c>
    </row>
    <row r="13" spans="1:37" x14ac:dyDescent="0.25">
      <c r="A13" s="111" t="s">
        <v>96</v>
      </c>
      <c r="B13" s="111" t="s">
        <v>215</v>
      </c>
      <c r="C13" s="111" t="s">
        <v>97</v>
      </c>
      <c r="D13" s="111" t="s">
        <v>113</v>
      </c>
      <c r="E13" s="111"/>
      <c r="F13" s="111" t="s">
        <v>93</v>
      </c>
      <c r="G13" s="111" t="s">
        <v>99</v>
      </c>
      <c r="H13" s="111">
        <v>704</v>
      </c>
      <c r="I13" s="111">
        <v>354</v>
      </c>
      <c r="J13" s="111">
        <v>19</v>
      </c>
      <c r="K13" s="111">
        <v>2</v>
      </c>
      <c r="L13" s="111">
        <v>1</v>
      </c>
      <c r="M13" s="114" t="s">
        <v>216</v>
      </c>
      <c r="N13" s="114" t="s">
        <v>216</v>
      </c>
      <c r="O13" s="114" t="s">
        <v>216</v>
      </c>
      <c r="P13" s="114" t="s">
        <v>96</v>
      </c>
      <c r="Q13" s="111">
        <v>1.0000000000000001E-5</v>
      </c>
      <c r="R13" s="111">
        <v>1.0000000000000001E-5</v>
      </c>
      <c r="S13" s="111">
        <v>1.0000000000000001E-5</v>
      </c>
      <c r="T13" s="111">
        <v>1.0000000000000001E-5</v>
      </c>
      <c r="U13" s="111" t="s">
        <v>112</v>
      </c>
    </row>
    <row r="14" spans="1:37" x14ac:dyDescent="0.25">
      <c r="A14" s="111" t="s">
        <v>96</v>
      </c>
      <c r="B14" s="111" t="s">
        <v>215</v>
      </c>
      <c r="C14" s="111" t="s">
        <v>97</v>
      </c>
      <c r="D14" s="111" t="s">
        <v>114</v>
      </c>
      <c r="E14" s="111"/>
      <c r="F14" s="111" t="s">
        <v>92</v>
      </c>
      <c r="G14" s="111" t="s">
        <v>99</v>
      </c>
      <c r="H14" s="111">
        <v>866</v>
      </c>
      <c r="I14" s="111">
        <v>370</v>
      </c>
      <c r="J14" s="111">
        <v>19</v>
      </c>
      <c r="K14" s="111">
        <v>2</v>
      </c>
      <c r="L14" s="111">
        <v>1</v>
      </c>
      <c r="M14" s="114" t="s">
        <v>216</v>
      </c>
      <c r="N14" s="114" t="s">
        <v>216</v>
      </c>
      <c r="O14" s="114" t="s">
        <v>216</v>
      </c>
      <c r="P14" s="114" t="s">
        <v>216</v>
      </c>
      <c r="Q14" s="111">
        <v>1.0000000000000001E-5</v>
      </c>
      <c r="R14" s="111">
        <v>1.0000000000000001E-5</v>
      </c>
      <c r="S14" s="111">
        <v>1.0000000000000001E-5</v>
      </c>
      <c r="T14" s="111">
        <v>1.0000000000000001E-5</v>
      </c>
      <c r="U14" s="111"/>
    </row>
    <row r="15" spans="1:37" x14ac:dyDescent="0.25">
      <c r="A15" s="111" t="s">
        <v>96</v>
      </c>
      <c r="B15" s="111" t="s">
        <v>215</v>
      </c>
      <c r="C15" s="111" t="s">
        <v>97</v>
      </c>
      <c r="D15" s="111" t="s">
        <v>115</v>
      </c>
      <c r="E15" s="111"/>
      <c r="F15" s="111" t="s">
        <v>92</v>
      </c>
      <c r="G15" s="111" t="s">
        <v>99</v>
      </c>
      <c r="H15" s="111">
        <v>790</v>
      </c>
      <c r="I15" s="111">
        <v>570</v>
      </c>
      <c r="J15" s="111">
        <v>19</v>
      </c>
      <c r="K15" s="111">
        <v>2</v>
      </c>
      <c r="L15" s="111">
        <v>1</v>
      </c>
      <c r="M15" s="114" t="s">
        <v>216</v>
      </c>
      <c r="N15" s="114" t="s">
        <v>216</v>
      </c>
      <c r="O15" s="114" t="s">
        <v>216</v>
      </c>
      <c r="P15" s="114" t="s">
        <v>216</v>
      </c>
      <c r="Q15" s="111">
        <v>1.0000000000000001E-5</v>
      </c>
      <c r="R15" s="111">
        <v>1.0000000000000001E-5</v>
      </c>
      <c r="S15" s="111">
        <v>1.0000000000000001E-5</v>
      </c>
      <c r="T15" s="111">
        <v>1.0000000000000001E-5</v>
      </c>
      <c r="U15" s="111"/>
    </row>
    <row r="16" spans="1:37" x14ac:dyDescent="0.25">
      <c r="A16" s="111" t="s">
        <v>96</v>
      </c>
      <c r="B16" s="111" t="s">
        <v>215</v>
      </c>
      <c r="C16" s="111" t="s">
        <v>97</v>
      </c>
      <c r="D16" s="111" t="s">
        <v>116</v>
      </c>
      <c r="E16" s="111"/>
      <c r="F16" s="111" t="s">
        <v>94</v>
      </c>
      <c r="G16" s="111" t="s">
        <v>99</v>
      </c>
      <c r="H16" s="111">
        <v>382</v>
      </c>
      <c r="I16" s="111">
        <v>980</v>
      </c>
      <c r="J16" s="111">
        <v>19</v>
      </c>
      <c r="K16" s="111">
        <v>2</v>
      </c>
      <c r="L16" s="111">
        <v>1</v>
      </c>
      <c r="M16" s="114" t="s">
        <v>216</v>
      </c>
      <c r="N16" s="114" t="s">
        <v>216</v>
      </c>
      <c r="O16" s="114" t="s">
        <v>216</v>
      </c>
      <c r="P16" s="114" t="s">
        <v>96</v>
      </c>
      <c r="Q16" s="111">
        <v>1.0000000000000001E-5</v>
      </c>
      <c r="R16" s="111">
        <v>1.0000000000000001E-5</v>
      </c>
      <c r="S16" s="111">
        <v>1.0000000000000001E-5</v>
      </c>
      <c r="T16" s="111">
        <v>1.0000000000000001E-5</v>
      </c>
      <c r="U16" s="111" t="s">
        <v>117</v>
      </c>
    </row>
    <row r="17" spans="1:31" x14ac:dyDescent="0.25">
      <c r="A17" s="111" t="s">
        <v>96</v>
      </c>
      <c r="B17" s="111" t="s">
        <v>215</v>
      </c>
      <c r="C17" s="111" t="s">
        <v>97</v>
      </c>
      <c r="D17" s="111" t="s">
        <v>118</v>
      </c>
      <c r="E17" s="111"/>
      <c r="F17" s="111" t="s">
        <v>95</v>
      </c>
      <c r="G17" s="111" t="s">
        <v>99</v>
      </c>
      <c r="H17" s="111">
        <v>660</v>
      </c>
      <c r="I17" s="111">
        <v>337</v>
      </c>
      <c r="J17" s="111">
        <v>19</v>
      </c>
      <c r="K17" s="111">
        <v>2</v>
      </c>
      <c r="L17" s="111">
        <v>1</v>
      </c>
      <c r="M17" s="114" t="s">
        <v>216</v>
      </c>
      <c r="N17" s="114" t="s">
        <v>216</v>
      </c>
      <c r="O17" s="114" t="s">
        <v>216</v>
      </c>
      <c r="P17" s="114" t="s">
        <v>96</v>
      </c>
      <c r="Q17" s="111">
        <v>1.0000000000000001E-5</v>
      </c>
      <c r="R17" s="111">
        <v>1.0000000000000001E-5</v>
      </c>
      <c r="S17" s="111">
        <v>1.0000000000000001E-5</v>
      </c>
      <c r="T17" s="111">
        <v>1.0000000000000001E-5</v>
      </c>
      <c r="U17" s="111" t="s">
        <v>119</v>
      </c>
    </row>
    <row r="18" spans="1:31" x14ac:dyDescent="0.25">
      <c r="A18" s="111" t="s">
        <v>96</v>
      </c>
      <c r="B18" s="111" t="s">
        <v>215</v>
      </c>
      <c r="C18" s="111" t="s">
        <v>97</v>
      </c>
      <c r="D18" s="111" t="s">
        <v>120</v>
      </c>
      <c r="E18" s="111"/>
      <c r="F18" s="111" t="s">
        <v>95</v>
      </c>
      <c r="G18" s="111" t="s">
        <v>99</v>
      </c>
      <c r="H18" s="111">
        <v>660</v>
      </c>
      <c r="I18" s="111">
        <v>390</v>
      </c>
      <c r="J18" s="111">
        <v>19</v>
      </c>
      <c r="K18" s="111">
        <v>2</v>
      </c>
      <c r="L18" s="111">
        <v>1</v>
      </c>
      <c r="M18" s="114" t="s">
        <v>216</v>
      </c>
      <c r="N18" s="114" t="s">
        <v>216</v>
      </c>
      <c r="O18" s="114" t="s">
        <v>216</v>
      </c>
      <c r="P18" s="114" t="s">
        <v>96</v>
      </c>
      <c r="Q18" s="111">
        <v>1.0000000000000001E-5</v>
      </c>
      <c r="R18" s="111">
        <v>1.0000000000000001E-5</v>
      </c>
      <c r="S18" s="111">
        <v>1.0000000000000001E-5</v>
      </c>
      <c r="T18" s="111">
        <v>1.0000000000000001E-5</v>
      </c>
      <c r="U18" s="111" t="s">
        <v>121</v>
      </c>
    </row>
    <row r="19" spans="1:31" x14ac:dyDescent="0.25">
      <c r="A19" s="111" t="s">
        <v>96</v>
      </c>
      <c r="B19" s="111" t="s">
        <v>215</v>
      </c>
      <c r="C19" s="111" t="s">
        <v>97</v>
      </c>
      <c r="D19" s="111" t="s">
        <v>122</v>
      </c>
      <c r="E19" s="111"/>
      <c r="F19" s="111" t="s">
        <v>95</v>
      </c>
      <c r="G19" s="111" t="s">
        <v>99</v>
      </c>
      <c r="H19" s="111">
        <v>660</v>
      </c>
      <c r="I19" s="111">
        <v>390</v>
      </c>
      <c r="J19" s="111">
        <v>19</v>
      </c>
      <c r="K19" s="111">
        <v>2</v>
      </c>
      <c r="L19" s="111">
        <v>1</v>
      </c>
      <c r="M19" s="114" t="s">
        <v>216</v>
      </c>
      <c r="N19" s="114" t="s">
        <v>216</v>
      </c>
      <c r="O19" s="114" t="s">
        <v>216</v>
      </c>
      <c r="P19" s="114" t="s">
        <v>96</v>
      </c>
      <c r="Q19" s="111">
        <v>1.0000000000000001E-5</v>
      </c>
      <c r="R19" s="111">
        <v>1.0000000000000001E-5</v>
      </c>
      <c r="S19" s="111">
        <v>1.0000000000000001E-5</v>
      </c>
      <c r="T19" s="111">
        <v>1.0000000000000001E-5</v>
      </c>
      <c r="U19" s="111" t="s">
        <v>121</v>
      </c>
    </row>
    <row r="20" spans="1:31" x14ac:dyDescent="0.25">
      <c r="A20" s="111" t="s">
        <v>96</v>
      </c>
      <c r="B20" s="111" t="s">
        <v>215</v>
      </c>
      <c r="C20" s="111" t="s">
        <v>97</v>
      </c>
      <c r="D20" s="111" t="s">
        <v>123</v>
      </c>
      <c r="E20" s="111"/>
      <c r="F20" s="111" t="s">
        <v>95</v>
      </c>
      <c r="G20" s="111" t="s">
        <v>99</v>
      </c>
      <c r="H20" s="111">
        <v>660</v>
      </c>
      <c r="I20" s="111">
        <v>274</v>
      </c>
      <c r="J20" s="111">
        <v>19</v>
      </c>
      <c r="K20" s="111">
        <v>2</v>
      </c>
      <c r="L20" s="111">
        <v>1</v>
      </c>
      <c r="M20" s="114" t="s">
        <v>216</v>
      </c>
      <c r="N20" s="114" t="s">
        <v>216</v>
      </c>
      <c r="O20" s="114" t="s">
        <v>216</v>
      </c>
      <c r="P20" s="114" t="s">
        <v>96</v>
      </c>
      <c r="Q20" s="111">
        <v>1.0000000000000001E-5</v>
      </c>
      <c r="R20" s="111">
        <v>1.0000000000000001E-5</v>
      </c>
      <c r="S20" s="111">
        <v>1.0000000000000001E-5</v>
      </c>
      <c r="T20" s="111">
        <v>1.0000000000000001E-5</v>
      </c>
      <c r="U20" s="111" t="s">
        <v>124</v>
      </c>
    </row>
    <row r="21" spans="1:31" x14ac:dyDescent="0.25">
      <c r="A21" s="111" t="s">
        <v>96</v>
      </c>
      <c r="B21" s="111" t="s">
        <v>215</v>
      </c>
      <c r="C21" s="111" t="s">
        <v>97</v>
      </c>
      <c r="D21" s="111" t="s">
        <v>125</v>
      </c>
      <c r="E21" s="111"/>
      <c r="F21" s="111" t="s">
        <v>95</v>
      </c>
      <c r="G21" s="111" t="s">
        <v>99</v>
      </c>
      <c r="H21" s="111">
        <v>660</v>
      </c>
      <c r="I21" s="111">
        <v>274</v>
      </c>
      <c r="J21" s="111">
        <v>19</v>
      </c>
      <c r="K21" s="111">
        <v>2</v>
      </c>
      <c r="L21" s="111">
        <v>1</v>
      </c>
      <c r="M21" s="114" t="s">
        <v>216</v>
      </c>
      <c r="N21" s="114" t="s">
        <v>216</v>
      </c>
      <c r="O21" s="114" t="s">
        <v>216</v>
      </c>
      <c r="P21" s="114" t="s">
        <v>96</v>
      </c>
      <c r="Q21" s="111">
        <v>1.0000000000000001E-5</v>
      </c>
      <c r="R21" s="111">
        <v>1.0000000000000001E-5</v>
      </c>
      <c r="S21" s="111">
        <v>1.0000000000000001E-5</v>
      </c>
      <c r="T21" s="111">
        <v>1.0000000000000001E-5</v>
      </c>
      <c r="U21" s="111" t="s">
        <v>124</v>
      </c>
    </row>
    <row r="22" spans="1:31" x14ac:dyDescent="0.25">
      <c r="A22" s="111" t="s">
        <v>96</v>
      </c>
      <c r="B22" s="111" t="s">
        <v>215</v>
      </c>
      <c r="C22" s="111" t="s">
        <v>97</v>
      </c>
      <c r="D22" s="111" t="s">
        <v>126</v>
      </c>
      <c r="E22" s="111"/>
      <c r="F22" s="111" t="s">
        <v>95</v>
      </c>
      <c r="G22" s="111" t="s">
        <v>99</v>
      </c>
      <c r="H22" s="111">
        <v>660</v>
      </c>
      <c r="I22" s="111">
        <v>274</v>
      </c>
      <c r="J22" s="111">
        <v>19</v>
      </c>
      <c r="K22" s="111">
        <v>2</v>
      </c>
      <c r="L22" s="111">
        <v>1</v>
      </c>
      <c r="M22" s="114" t="s">
        <v>216</v>
      </c>
      <c r="N22" s="114" t="s">
        <v>216</v>
      </c>
      <c r="O22" s="114" t="s">
        <v>216</v>
      </c>
      <c r="P22" s="114" t="s">
        <v>96</v>
      </c>
      <c r="Q22" s="111">
        <v>1.0000000000000001E-5</v>
      </c>
      <c r="R22" s="111">
        <v>1.0000000000000001E-5</v>
      </c>
      <c r="S22" s="111">
        <v>1.0000000000000001E-5</v>
      </c>
      <c r="T22" s="111">
        <v>1.0000000000000001E-5</v>
      </c>
      <c r="U22" s="111" t="s">
        <v>124</v>
      </c>
    </row>
    <row r="23" spans="1:31" x14ac:dyDescent="0.25">
      <c r="A23" s="111" t="s">
        <v>96</v>
      </c>
      <c r="B23" s="111" t="s">
        <v>215</v>
      </c>
      <c r="C23" s="111" t="s">
        <v>97</v>
      </c>
      <c r="D23" s="111" t="s">
        <v>127</v>
      </c>
      <c r="E23" s="111"/>
      <c r="F23" s="111" t="s">
        <v>95</v>
      </c>
      <c r="G23" s="111" t="s">
        <v>99</v>
      </c>
      <c r="H23" s="111">
        <v>660</v>
      </c>
      <c r="I23" s="111">
        <v>328</v>
      </c>
      <c r="J23" s="111">
        <v>19</v>
      </c>
      <c r="K23" s="111">
        <v>2</v>
      </c>
      <c r="L23" s="111">
        <v>1</v>
      </c>
      <c r="M23" s="114" t="s">
        <v>216</v>
      </c>
      <c r="N23" s="114" t="s">
        <v>216</v>
      </c>
      <c r="O23" s="114" t="s">
        <v>216</v>
      </c>
      <c r="P23" s="114" t="s">
        <v>96</v>
      </c>
      <c r="Q23" s="111">
        <v>1.0000000000000001E-5</v>
      </c>
      <c r="R23" s="111">
        <v>1.0000000000000001E-5</v>
      </c>
      <c r="S23" s="111">
        <v>1.0000000000000001E-5</v>
      </c>
      <c r="T23" s="111">
        <v>1.0000000000000001E-5</v>
      </c>
      <c r="U23" s="111" t="s">
        <v>128</v>
      </c>
    </row>
    <row r="24" spans="1:31" x14ac:dyDescent="0.25">
      <c r="A24" s="111" t="s">
        <v>96</v>
      </c>
      <c r="B24" s="111" t="s">
        <v>215</v>
      </c>
      <c r="C24" s="111" t="s">
        <v>97</v>
      </c>
      <c r="D24" s="111" t="s">
        <v>129</v>
      </c>
      <c r="E24" s="111"/>
      <c r="F24" s="111" t="s">
        <v>95</v>
      </c>
      <c r="G24" s="111" t="s">
        <v>99</v>
      </c>
      <c r="H24" s="111">
        <v>660</v>
      </c>
      <c r="I24" s="111">
        <v>328</v>
      </c>
      <c r="J24" s="111">
        <v>19</v>
      </c>
      <c r="K24" s="111">
        <v>2</v>
      </c>
      <c r="L24" s="111">
        <v>1</v>
      </c>
      <c r="M24" s="114" t="s">
        <v>216</v>
      </c>
      <c r="N24" s="114" t="s">
        <v>216</v>
      </c>
      <c r="O24" s="114" t="s">
        <v>216</v>
      </c>
      <c r="P24" s="114" t="s">
        <v>96</v>
      </c>
      <c r="Q24" s="111">
        <v>1.0000000000000001E-5</v>
      </c>
      <c r="R24" s="111">
        <v>1.0000000000000001E-5</v>
      </c>
      <c r="S24" s="111">
        <v>1.0000000000000001E-5</v>
      </c>
      <c r="T24" s="111">
        <v>1.0000000000000001E-5</v>
      </c>
      <c r="U24" s="111" t="s">
        <v>128</v>
      </c>
    </row>
    <row r="25" spans="1:31" x14ac:dyDescent="0.25">
      <c r="A25" s="111" t="s">
        <v>96</v>
      </c>
      <c r="B25" s="111" t="s">
        <v>215</v>
      </c>
      <c r="C25" s="111" t="s">
        <v>97</v>
      </c>
      <c r="D25" s="111" t="s">
        <v>130</v>
      </c>
      <c r="E25" s="111"/>
      <c r="F25" s="111" t="s">
        <v>95</v>
      </c>
      <c r="G25" s="111" t="s">
        <v>99</v>
      </c>
      <c r="H25" s="111">
        <v>660</v>
      </c>
      <c r="I25" s="111">
        <v>366</v>
      </c>
      <c r="J25" s="111">
        <v>19</v>
      </c>
      <c r="K25" s="111">
        <v>2</v>
      </c>
      <c r="L25" s="111">
        <v>1</v>
      </c>
      <c r="M25" s="114" t="s">
        <v>216</v>
      </c>
      <c r="N25" s="114" t="s">
        <v>216</v>
      </c>
      <c r="O25" s="114" t="s">
        <v>216</v>
      </c>
      <c r="P25" s="114" t="s">
        <v>96</v>
      </c>
      <c r="Q25" s="111">
        <v>1.0000000000000001E-5</v>
      </c>
      <c r="R25" s="111">
        <v>1.0000000000000001E-5</v>
      </c>
      <c r="S25" s="111">
        <v>1.0000000000000001E-5</v>
      </c>
      <c r="T25" s="111">
        <v>1.0000000000000001E-5</v>
      </c>
      <c r="U25" s="111" t="s">
        <v>131</v>
      </c>
    </row>
    <row r="26" spans="1:31" x14ac:dyDescent="0.25">
      <c r="A26" s="111" t="s">
        <v>96</v>
      </c>
      <c r="B26" s="111" t="s">
        <v>215</v>
      </c>
      <c r="C26" s="111" t="s">
        <v>97</v>
      </c>
      <c r="D26" s="111" t="s">
        <v>132</v>
      </c>
      <c r="E26" s="111"/>
      <c r="F26" s="111" t="s">
        <v>133</v>
      </c>
      <c r="G26" s="111" t="s">
        <v>99</v>
      </c>
      <c r="H26" s="111">
        <v>318</v>
      </c>
      <c r="I26" s="111">
        <v>780</v>
      </c>
      <c r="J26" s="111">
        <v>19</v>
      </c>
      <c r="K26" s="111">
        <v>2</v>
      </c>
      <c r="L26" s="111">
        <v>1</v>
      </c>
      <c r="M26" s="114" t="s">
        <v>216</v>
      </c>
      <c r="N26" s="114" t="s">
        <v>216</v>
      </c>
      <c r="O26" s="114" t="s">
        <v>216</v>
      </c>
      <c r="P26" s="114" t="s">
        <v>96</v>
      </c>
      <c r="Q26" s="111">
        <v>1.0000000000000001E-5</v>
      </c>
      <c r="R26" s="111">
        <v>1.0000000000000001E-5</v>
      </c>
      <c r="S26" s="111">
        <v>1.0000000000000001E-5</v>
      </c>
      <c r="T26" s="111">
        <v>1.0000000000000001E-5</v>
      </c>
      <c r="U26" s="111" t="s">
        <v>134</v>
      </c>
    </row>
    <row r="27" spans="1:31" x14ac:dyDescent="0.25">
      <c r="A27" s="111" t="s">
        <v>96</v>
      </c>
      <c r="B27" s="111" t="s">
        <v>215</v>
      </c>
      <c r="C27" s="111" t="s">
        <v>97</v>
      </c>
      <c r="D27" s="111" t="s">
        <v>135</v>
      </c>
      <c r="E27" s="111"/>
      <c r="F27" s="111" t="s">
        <v>133</v>
      </c>
      <c r="G27" s="111" t="s">
        <v>99</v>
      </c>
      <c r="H27" s="111">
        <v>318</v>
      </c>
      <c r="I27" s="111">
        <v>780</v>
      </c>
      <c r="J27" s="111">
        <v>19</v>
      </c>
      <c r="K27" s="111">
        <v>2</v>
      </c>
      <c r="L27" s="111">
        <v>1</v>
      </c>
      <c r="M27" s="114" t="s">
        <v>216</v>
      </c>
      <c r="N27" s="114" t="s">
        <v>216</v>
      </c>
      <c r="O27" s="114" t="s">
        <v>216</v>
      </c>
      <c r="P27" s="114" t="s">
        <v>96</v>
      </c>
      <c r="Q27" s="111">
        <v>1.0000000000000001E-5</v>
      </c>
      <c r="R27" s="111">
        <v>1.0000000000000001E-5</v>
      </c>
      <c r="S27" s="111">
        <v>1.0000000000000001E-5</v>
      </c>
      <c r="T27" s="111">
        <v>1.0000000000000001E-5</v>
      </c>
      <c r="U27" s="111" t="s">
        <v>134</v>
      </c>
    </row>
    <row r="28" spans="1:31" x14ac:dyDescent="0.25">
      <c r="A28" s="111" t="s">
        <v>96</v>
      </c>
      <c r="B28" s="111" t="s">
        <v>215</v>
      </c>
      <c r="C28" s="111" t="s">
        <v>97</v>
      </c>
      <c r="D28" s="111" t="s">
        <v>136</v>
      </c>
      <c r="E28" s="111"/>
      <c r="F28" s="111" t="s">
        <v>137</v>
      </c>
      <c r="G28" s="111" t="s">
        <v>99</v>
      </c>
      <c r="H28" s="111">
        <v>395</v>
      </c>
      <c r="I28" s="111">
        <v>780</v>
      </c>
      <c r="J28" s="111">
        <v>19</v>
      </c>
      <c r="K28" s="111">
        <v>2</v>
      </c>
      <c r="L28" s="111">
        <v>1</v>
      </c>
      <c r="M28" s="114" t="s">
        <v>216</v>
      </c>
      <c r="N28" s="114" t="s">
        <v>216</v>
      </c>
      <c r="O28" s="114" t="s">
        <v>216</v>
      </c>
      <c r="P28" s="114" t="s">
        <v>96</v>
      </c>
      <c r="Q28" s="111">
        <v>1.0000000000000001E-5</v>
      </c>
      <c r="R28" s="111">
        <v>1.0000000000000001E-5</v>
      </c>
      <c r="S28" s="111">
        <v>1.0000000000000001E-5</v>
      </c>
      <c r="T28" s="111">
        <v>1.0000000000000001E-5</v>
      </c>
      <c r="U28" s="111" t="s">
        <v>134</v>
      </c>
      <c r="V28">
        <v>70</v>
      </c>
      <c r="W28">
        <v>70</v>
      </c>
      <c r="X28">
        <v>70</v>
      </c>
      <c r="Y28">
        <v>70</v>
      </c>
      <c r="Z28">
        <v>60</v>
      </c>
      <c r="AA28">
        <v>60</v>
      </c>
      <c r="AB28">
        <v>60</v>
      </c>
      <c r="AC28">
        <v>60</v>
      </c>
      <c r="AD28">
        <v>10</v>
      </c>
      <c r="AE28">
        <v>6</v>
      </c>
    </row>
    <row r="29" spans="1:31" x14ac:dyDescent="0.25">
      <c r="A29" s="111" t="s">
        <v>96</v>
      </c>
      <c r="B29" s="111" t="s">
        <v>215</v>
      </c>
      <c r="C29" s="111" t="s">
        <v>97</v>
      </c>
      <c r="D29" s="111" t="s">
        <v>138</v>
      </c>
      <c r="E29" s="111"/>
      <c r="F29" s="111" t="s">
        <v>137</v>
      </c>
      <c r="G29" s="111" t="s">
        <v>99</v>
      </c>
      <c r="H29" s="111">
        <v>395</v>
      </c>
      <c r="I29" s="111">
        <v>780</v>
      </c>
      <c r="J29" s="111">
        <v>19</v>
      </c>
      <c r="K29" s="111">
        <v>2</v>
      </c>
      <c r="L29" s="111">
        <v>1</v>
      </c>
      <c r="M29" s="114" t="s">
        <v>216</v>
      </c>
      <c r="N29" s="114" t="s">
        <v>216</v>
      </c>
      <c r="O29" s="114" t="s">
        <v>216</v>
      </c>
      <c r="P29" s="114" t="s">
        <v>216</v>
      </c>
      <c r="Q29" s="111">
        <v>1.0000000000000001E-5</v>
      </c>
      <c r="R29" s="111">
        <v>1.0000000000000001E-5</v>
      </c>
      <c r="S29" s="111">
        <v>1.0000000000000001E-5</v>
      </c>
      <c r="T29" s="111">
        <v>1.0000000000000001E-5</v>
      </c>
      <c r="U29" s="111"/>
      <c r="V29">
        <v>70</v>
      </c>
      <c r="W29">
        <v>70</v>
      </c>
      <c r="X29">
        <v>70</v>
      </c>
      <c r="Y29">
        <v>70</v>
      </c>
      <c r="Z29">
        <v>60</v>
      </c>
      <c r="AA29">
        <v>60</v>
      </c>
      <c r="AB29">
        <v>60</v>
      </c>
      <c r="AC29">
        <v>60</v>
      </c>
      <c r="AD29">
        <v>10</v>
      </c>
      <c r="AE29">
        <v>6</v>
      </c>
    </row>
    <row r="30" spans="1:31" x14ac:dyDescent="0.25">
      <c r="A30" s="111" t="s">
        <v>96</v>
      </c>
      <c r="B30" s="111" t="s">
        <v>215</v>
      </c>
      <c r="C30" s="111" t="s">
        <v>97</v>
      </c>
      <c r="D30" s="111" t="s">
        <v>139</v>
      </c>
      <c r="E30" s="111"/>
      <c r="F30" s="111" t="s">
        <v>137</v>
      </c>
      <c r="G30" s="111" t="s">
        <v>99</v>
      </c>
      <c r="H30" s="111">
        <v>384</v>
      </c>
      <c r="I30" s="111">
        <v>555</v>
      </c>
      <c r="J30" s="111">
        <v>19</v>
      </c>
      <c r="K30" s="111">
        <v>2</v>
      </c>
      <c r="L30" s="111">
        <v>1</v>
      </c>
      <c r="M30" s="114" t="s">
        <v>216</v>
      </c>
      <c r="N30" s="114" t="s">
        <v>216</v>
      </c>
      <c r="O30" s="114" t="s">
        <v>216</v>
      </c>
      <c r="P30" s="114" t="s">
        <v>96</v>
      </c>
      <c r="Q30" s="111">
        <v>1.0000000000000001E-5</v>
      </c>
      <c r="R30" s="111">
        <v>1.0000000000000001E-5</v>
      </c>
      <c r="S30" s="111">
        <v>1.0000000000000001E-5</v>
      </c>
      <c r="T30" s="111">
        <v>1.0000000000000001E-5</v>
      </c>
      <c r="U30" s="111" t="s">
        <v>140</v>
      </c>
      <c r="V30">
        <v>70</v>
      </c>
      <c r="W30">
        <v>70</v>
      </c>
      <c r="X30">
        <v>70</v>
      </c>
      <c r="Y30">
        <v>70</v>
      </c>
      <c r="Z30">
        <v>60</v>
      </c>
      <c r="AA30">
        <v>60</v>
      </c>
      <c r="AB30">
        <v>60</v>
      </c>
      <c r="AC30">
        <v>60</v>
      </c>
      <c r="AD30">
        <v>10</v>
      </c>
      <c r="AE30">
        <v>6</v>
      </c>
    </row>
    <row r="31" spans="1:31" x14ac:dyDescent="0.25">
      <c r="A31" s="111" t="s">
        <v>96</v>
      </c>
      <c r="B31" s="111" t="s">
        <v>215</v>
      </c>
      <c r="C31" s="111" t="s">
        <v>97</v>
      </c>
      <c r="D31" s="111" t="s">
        <v>141</v>
      </c>
      <c r="E31" s="111"/>
      <c r="F31" s="111" t="s">
        <v>137</v>
      </c>
      <c r="G31" s="111" t="s">
        <v>99</v>
      </c>
      <c r="H31" s="111">
        <v>384</v>
      </c>
      <c r="I31" s="111">
        <v>555</v>
      </c>
      <c r="J31" s="111">
        <v>19</v>
      </c>
      <c r="K31" s="111">
        <v>2</v>
      </c>
      <c r="L31" s="111">
        <v>1</v>
      </c>
      <c r="M31" s="114" t="s">
        <v>216</v>
      </c>
      <c r="N31" s="114" t="s">
        <v>216</v>
      </c>
      <c r="O31" s="114" t="s">
        <v>216</v>
      </c>
      <c r="P31" s="114" t="s">
        <v>96</v>
      </c>
      <c r="Q31" s="111">
        <v>1.0000000000000001E-5</v>
      </c>
      <c r="R31" s="111">
        <v>1.0000000000000001E-5</v>
      </c>
      <c r="S31" s="111">
        <v>1.0000000000000001E-5</v>
      </c>
      <c r="T31" s="111">
        <v>1.0000000000000001E-5</v>
      </c>
      <c r="U31" s="111" t="s">
        <v>140</v>
      </c>
      <c r="V31">
        <v>70</v>
      </c>
      <c r="W31">
        <v>70</v>
      </c>
      <c r="X31">
        <v>70</v>
      </c>
      <c r="Y31">
        <v>70</v>
      </c>
      <c r="Z31">
        <v>60</v>
      </c>
      <c r="AA31">
        <v>60</v>
      </c>
      <c r="AB31">
        <v>60</v>
      </c>
      <c r="AC31">
        <v>60</v>
      </c>
      <c r="AD31">
        <v>10</v>
      </c>
      <c r="AE31">
        <v>6</v>
      </c>
    </row>
    <row r="32" spans="1:31" x14ac:dyDescent="0.25">
      <c r="A32" s="111" t="s">
        <v>96</v>
      </c>
      <c r="B32" s="111" t="s">
        <v>215</v>
      </c>
      <c r="C32" s="111" t="s">
        <v>97</v>
      </c>
      <c r="D32" s="111" t="s">
        <v>142</v>
      </c>
      <c r="E32" s="111"/>
      <c r="F32" s="111" t="s">
        <v>133</v>
      </c>
      <c r="G32" s="111" t="s">
        <v>99</v>
      </c>
      <c r="H32" s="111">
        <v>384</v>
      </c>
      <c r="I32" s="111">
        <v>555</v>
      </c>
      <c r="J32" s="111">
        <v>19</v>
      </c>
      <c r="K32" s="111">
        <v>2</v>
      </c>
      <c r="L32" s="111">
        <v>1</v>
      </c>
      <c r="M32" s="114" t="s">
        <v>216</v>
      </c>
      <c r="N32" s="114" t="s">
        <v>216</v>
      </c>
      <c r="O32" s="114" t="s">
        <v>216</v>
      </c>
      <c r="P32" s="114" t="s">
        <v>96</v>
      </c>
      <c r="Q32" s="111">
        <v>1.0000000000000001E-5</v>
      </c>
      <c r="R32" s="111">
        <v>1.0000000000000001E-5</v>
      </c>
      <c r="S32" s="111">
        <v>1.0000000000000001E-5</v>
      </c>
      <c r="T32" s="111">
        <v>1.0000000000000001E-5</v>
      </c>
      <c r="U32" s="111" t="s">
        <v>140</v>
      </c>
    </row>
    <row r="33" spans="1:31" x14ac:dyDescent="0.25">
      <c r="A33" s="111" t="s">
        <v>96</v>
      </c>
      <c r="B33" s="111" t="s">
        <v>215</v>
      </c>
      <c r="C33" s="111" t="s">
        <v>97</v>
      </c>
      <c r="D33" s="111" t="s">
        <v>143</v>
      </c>
      <c r="E33" s="111"/>
      <c r="F33" s="111" t="s">
        <v>133</v>
      </c>
      <c r="G33" s="111" t="s">
        <v>99</v>
      </c>
      <c r="H33" s="111">
        <v>384</v>
      </c>
      <c r="I33" s="111">
        <v>555</v>
      </c>
      <c r="J33" s="111">
        <v>19</v>
      </c>
      <c r="K33" s="111">
        <v>2</v>
      </c>
      <c r="L33" s="111">
        <v>1</v>
      </c>
      <c r="M33" s="114" t="s">
        <v>216</v>
      </c>
      <c r="N33" s="114" t="s">
        <v>216</v>
      </c>
      <c r="O33" s="114" t="s">
        <v>216</v>
      </c>
      <c r="P33" s="114" t="s">
        <v>96</v>
      </c>
      <c r="Q33" s="111">
        <v>1.0000000000000001E-5</v>
      </c>
      <c r="R33" s="111">
        <v>1.0000000000000001E-5</v>
      </c>
      <c r="S33" s="111">
        <v>1.0000000000000001E-5</v>
      </c>
      <c r="T33" s="111">
        <v>1.0000000000000001E-5</v>
      </c>
      <c r="U33" s="111" t="s">
        <v>140</v>
      </c>
    </row>
    <row r="34" spans="1:31" x14ac:dyDescent="0.25">
      <c r="A34" s="111" t="s">
        <v>96</v>
      </c>
      <c r="B34" s="111" t="s">
        <v>215</v>
      </c>
      <c r="C34" s="111" t="s">
        <v>97</v>
      </c>
      <c r="D34" s="111" t="s">
        <v>144</v>
      </c>
      <c r="E34" s="111"/>
      <c r="F34" s="111" t="s">
        <v>133</v>
      </c>
      <c r="G34" s="111" t="s">
        <v>99</v>
      </c>
      <c r="H34" s="111">
        <v>270</v>
      </c>
      <c r="I34" s="111">
        <v>655</v>
      </c>
      <c r="J34" s="111">
        <v>19</v>
      </c>
      <c r="K34" s="111">
        <v>2</v>
      </c>
      <c r="L34" s="111">
        <v>1</v>
      </c>
      <c r="M34" s="114" t="s">
        <v>216</v>
      </c>
      <c r="N34" s="114" t="s">
        <v>216</v>
      </c>
      <c r="O34" s="114" t="s">
        <v>216</v>
      </c>
      <c r="P34" s="114" t="s">
        <v>96</v>
      </c>
      <c r="Q34" s="111">
        <v>1.0000000000000001E-5</v>
      </c>
      <c r="R34" s="111">
        <v>1.0000000000000001E-5</v>
      </c>
      <c r="S34" s="111">
        <v>1.0000000000000001E-5</v>
      </c>
      <c r="T34" s="111">
        <v>1.0000000000000001E-5</v>
      </c>
      <c r="U34" s="111" t="s">
        <v>145</v>
      </c>
    </row>
    <row r="35" spans="1:31" x14ac:dyDescent="0.25">
      <c r="A35" s="111" t="s">
        <v>96</v>
      </c>
      <c r="B35" s="111" t="s">
        <v>215</v>
      </c>
      <c r="C35" s="111" t="s">
        <v>97</v>
      </c>
      <c r="D35" s="111" t="s">
        <v>146</v>
      </c>
      <c r="E35" s="111"/>
      <c r="F35" s="111" t="s">
        <v>137</v>
      </c>
      <c r="G35" s="111" t="s">
        <v>99</v>
      </c>
      <c r="H35" s="111">
        <v>365</v>
      </c>
      <c r="I35" s="111">
        <v>655</v>
      </c>
      <c r="J35" s="111">
        <v>19</v>
      </c>
      <c r="K35" s="111">
        <v>2</v>
      </c>
      <c r="L35" s="111">
        <v>1</v>
      </c>
      <c r="M35" s="114" t="s">
        <v>216</v>
      </c>
      <c r="N35" s="114" t="s">
        <v>216</v>
      </c>
      <c r="O35" s="114" t="s">
        <v>216</v>
      </c>
      <c r="P35" s="114" t="s">
        <v>96</v>
      </c>
      <c r="Q35" s="111">
        <v>1.0000000000000001E-5</v>
      </c>
      <c r="R35" s="111">
        <v>1.0000000000000001E-5</v>
      </c>
      <c r="S35" s="111">
        <v>1.0000000000000001E-5</v>
      </c>
      <c r="T35" s="111">
        <v>1.0000000000000001E-5</v>
      </c>
      <c r="U35" s="111" t="s">
        <v>145</v>
      </c>
      <c r="V35">
        <v>70</v>
      </c>
      <c r="W35">
        <v>70</v>
      </c>
      <c r="X35">
        <v>70</v>
      </c>
      <c r="Y35">
        <v>70</v>
      </c>
      <c r="Z35">
        <v>60</v>
      </c>
      <c r="AA35">
        <v>60</v>
      </c>
      <c r="AB35">
        <v>60</v>
      </c>
      <c r="AC35">
        <v>60</v>
      </c>
      <c r="AD35">
        <v>10</v>
      </c>
      <c r="AE35">
        <v>6</v>
      </c>
    </row>
  </sheetData>
  <pageMargins left="0.7" right="0.7" top="0.75" bottom="0.75" header="0.3" footer="0.3"/>
  <pageSetup paperSize="257" orientation="portrait" horizontalDpi="203" verticalDpi="203"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34"/>
  <sheetViews>
    <sheetView workbookViewId="0">
      <selection activeCell="N8" sqref="N8"/>
    </sheetView>
  </sheetViews>
  <sheetFormatPr defaultRowHeight="15.75" x14ac:dyDescent="0.25"/>
  <cols>
    <col min="1" max="1" width="6.25" bestFit="1" customWidth="1"/>
    <col min="2" max="2" width="15.25" customWidth="1"/>
    <col min="3" max="3" width="23.625" bestFit="1" customWidth="1"/>
    <col min="4" max="4" width="18.5" customWidth="1"/>
    <col min="5" max="5" width="16.25" customWidth="1"/>
    <col min="6" max="6" width="24" bestFit="1" customWidth="1"/>
    <col min="7" max="7" width="5.75" bestFit="1" customWidth="1"/>
    <col min="8" max="8" width="5.875" bestFit="1" customWidth="1"/>
    <col min="9" max="9" width="8.375" bestFit="1" customWidth="1"/>
    <col min="10" max="10" width="15.625" bestFit="1" customWidth="1"/>
    <col min="11" max="11" width="7.75" bestFit="1" customWidth="1"/>
    <col min="12" max="13" width="14.125" style="115" bestFit="1" customWidth="1"/>
    <col min="14" max="15" width="14.875" style="115" bestFit="1" customWidth="1"/>
    <col min="16" max="17" width="11" bestFit="1" customWidth="1"/>
    <col min="18" max="19" width="11.75" bestFit="1" customWidth="1"/>
    <col min="20" max="20" width="8.625" bestFit="1" customWidth="1"/>
  </cols>
  <sheetData>
    <row r="1" spans="1:36" x14ac:dyDescent="0.25">
      <c r="A1" s="112" t="s">
        <v>147</v>
      </c>
      <c r="B1" s="112" t="s">
        <v>148</v>
      </c>
      <c r="C1" s="112" t="s">
        <v>149</v>
      </c>
      <c r="D1" s="112" t="s">
        <v>0</v>
      </c>
      <c r="E1" s="112" t="s">
        <v>150</v>
      </c>
      <c r="F1" s="112" t="s">
        <v>151</v>
      </c>
      <c r="G1" s="112" t="s">
        <v>152</v>
      </c>
      <c r="H1" s="112" t="s">
        <v>23</v>
      </c>
      <c r="I1" s="112" t="s">
        <v>153</v>
      </c>
      <c r="J1" s="112" t="s">
        <v>35</v>
      </c>
      <c r="K1" s="112" t="s">
        <v>16</v>
      </c>
      <c r="L1" s="113" t="s">
        <v>154</v>
      </c>
      <c r="M1" s="113" t="s">
        <v>155</v>
      </c>
      <c r="N1" s="113" t="s">
        <v>156</v>
      </c>
      <c r="O1" s="113" t="s">
        <v>157</v>
      </c>
      <c r="P1" s="112" t="s">
        <v>158</v>
      </c>
      <c r="Q1" s="112" t="s">
        <v>159</v>
      </c>
      <c r="R1" s="112" t="s">
        <v>160</v>
      </c>
      <c r="S1" s="112" t="s">
        <v>161</v>
      </c>
      <c r="T1" s="112" t="s">
        <v>162</v>
      </c>
      <c r="U1" t="s">
        <v>163</v>
      </c>
      <c r="V1" t="s">
        <v>164</v>
      </c>
      <c r="W1" t="s">
        <v>165</v>
      </c>
      <c r="X1" t="s">
        <v>166</v>
      </c>
      <c r="Y1" t="s">
        <v>167</v>
      </c>
      <c r="Z1" t="s">
        <v>168</v>
      </c>
      <c r="AA1" t="s">
        <v>169</v>
      </c>
      <c r="AB1" t="s">
        <v>170</v>
      </c>
      <c r="AC1" t="s">
        <v>171</v>
      </c>
      <c r="AD1" t="s">
        <v>172</v>
      </c>
      <c r="AE1" t="s">
        <v>173</v>
      </c>
      <c r="AF1" t="s">
        <v>174</v>
      </c>
      <c r="AG1" t="s">
        <v>175</v>
      </c>
      <c r="AH1" t="s">
        <v>176</v>
      </c>
      <c r="AI1" t="s">
        <v>177</v>
      </c>
      <c r="AJ1" t="s">
        <v>178</v>
      </c>
    </row>
    <row r="2" spans="1:36" x14ac:dyDescent="0.25">
      <c r="A2" s="112" t="s">
        <v>179</v>
      </c>
      <c r="B2" s="112" t="s">
        <v>180</v>
      </c>
      <c r="C2" s="112" t="s">
        <v>181</v>
      </c>
      <c r="D2" s="112" t="s">
        <v>182</v>
      </c>
      <c r="E2" s="112" t="s">
        <v>183</v>
      </c>
      <c r="F2" s="112" t="s">
        <v>184</v>
      </c>
      <c r="G2" s="112" t="s">
        <v>185</v>
      </c>
      <c r="H2" s="112" t="s">
        <v>186</v>
      </c>
      <c r="I2" s="116" t="s">
        <v>187</v>
      </c>
      <c r="J2" s="116" t="s">
        <v>188</v>
      </c>
      <c r="K2" s="112" t="s">
        <v>189</v>
      </c>
      <c r="L2" s="113" t="s">
        <v>190</v>
      </c>
      <c r="M2" s="113" t="s">
        <v>191</v>
      </c>
      <c r="N2" s="113" t="s">
        <v>192</v>
      </c>
      <c r="O2" s="113" t="s">
        <v>193</v>
      </c>
      <c r="P2" s="112" t="s">
        <v>194</v>
      </c>
      <c r="Q2" s="112" t="s">
        <v>195</v>
      </c>
      <c r="R2" s="112" t="s">
        <v>196</v>
      </c>
      <c r="S2" s="112" t="s">
        <v>197</v>
      </c>
      <c r="T2" s="112" t="s">
        <v>198</v>
      </c>
      <c r="U2" t="s">
        <v>199</v>
      </c>
      <c r="V2" t="s">
        <v>200</v>
      </c>
      <c r="W2" t="s">
        <v>201</v>
      </c>
      <c r="X2" t="s">
        <v>202</v>
      </c>
      <c r="Y2" t="s">
        <v>203</v>
      </c>
      <c r="Z2" t="s">
        <v>204</v>
      </c>
      <c r="AA2" t="s">
        <v>205</v>
      </c>
      <c r="AB2" t="s">
        <v>206</v>
      </c>
      <c r="AC2" t="s">
        <v>207</v>
      </c>
      <c r="AD2" t="s">
        <v>208</v>
      </c>
      <c r="AE2" t="s">
        <v>209</v>
      </c>
      <c r="AF2" t="s">
        <v>210</v>
      </c>
      <c r="AG2" t="s">
        <v>211</v>
      </c>
      <c r="AH2" t="s">
        <v>212</v>
      </c>
      <c r="AI2" t="s">
        <v>213</v>
      </c>
      <c r="AJ2" t="s">
        <v>214</v>
      </c>
    </row>
    <row r="3" spans="1:36" s="122" customFormat="1" ht="31.5" x14ac:dyDescent="0.25">
      <c r="A3" s="118" t="str">
        <f>"V"</f>
        <v>V</v>
      </c>
      <c r="B3" s="118" t="str">
        <f>"ACRILYC"</f>
        <v>ACRILYC</v>
      </c>
      <c r="C3" s="119" t="str">
        <f>RIGHT('GIA CONG ACRYLIC'!$C$8,LEN('GIA CONG ACRYLIC'!$C$8)-LEN("Khách hàng: "))&amp;" "&amp;'GIA CONG ACRYLIC'!$H$7</f>
        <v>KH0663 - NT Tuấn (0973337761) L2345</v>
      </c>
      <c r="D3" s="118" t="str">
        <f>'GIA CONG ACRYLIC'!$H$7&amp;"."&amp;'GIA CONG ACRYLIC'!B15&amp;"."&amp;IF(LEN('GIA CONG ACRYLIC'!A15)=1,"00"&amp;'GIA CONG ACRYLIC'!A15,IF(LEN('GIA CONG ACRYLIC'!A15)=2,"0"&amp;'GIA CONG ACRYLIC'!A15,'GIA CONG ACRYLIC'!A15))</f>
        <v>L2345.GV108.TP.001</v>
      </c>
      <c r="E3" s="118" t="str">
        <f>IF('GIA CONG ACRYLIC'!M15=0,"",'GIA CONG ACRYLIC'!M15)</f>
        <v/>
      </c>
      <c r="F3" s="118" t="str">
        <f>+'GIA CONG ACRYLIC'!C15</f>
        <v>Cốt MDF chống ẩm 17mm, 1 mặt Acrylic GV108 nhũ chống xước cao, 1 mặt acrylic chống cong vênh trắng bóng</v>
      </c>
      <c r="G3" s="118">
        <f>+'GIA CONG ACRYLIC'!D15</f>
        <v>805</v>
      </c>
      <c r="H3" s="118">
        <f>+'GIA CONG ACRYLIC'!E15</f>
        <v>588</v>
      </c>
      <c r="I3" s="118">
        <v>19</v>
      </c>
      <c r="J3" s="118">
        <v>2</v>
      </c>
      <c r="K3" s="118">
        <f>+'GIA CONG ACRYLIC'!F15</f>
        <v>1</v>
      </c>
      <c r="L3" s="120" t="str">
        <f>"T"</f>
        <v>T</v>
      </c>
      <c r="M3" s="120" t="str">
        <f>IF('GIA CONG ACRYLIC'!N15='GIA CONG ACRYLIC'!D15,"V","T")</f>
        <v>T</v>
      </c>
      <c r="N3" s="120" t="str">
        <f>"T"</f>
        <v>T</v>
      </c>
      <c r="O3" s="120" t="str">
        <f>IF('GIA CONG ACRYLIC'!N15='GIA CONG ACRYLIC'!E15,"V","T")</f>
        <v>V</v>
      </c>
      <c r="P3" s="118">
        <v>1.0000000000000001E-5</v>
      </c>
      <c r="Q3" s="118">
        <v>1.0000000000000001E-5</v>
      </c>
      <c r="R3" s="118">
        <v>1.0000000000000001E-5</v>
      </c>
      <c r="S3" s="118">
        <v>1.0000000000000001E-5</v>
      </c>
      <c r="T3" s="121" t="e">
        <f>'GIA CONG ACRYLIC'!#REF!</f>
        <v>#REF!</v>
      </c>
    </row>
    <row r="4" spans="1:36" s="122" customFormat="1" ht="31.5" x14ac:dyDescent="0.25">
      <c r="A4" s="118" t="str">
        <f t="shared" ref="A4:A34" si="0">"V"</f>
        <v>V</v>
      </c>
      <c r="B4" s="118" t="str">
        <f t="shared" ref="B4:B34" si="1">"ACRILYC"</f>
        <v>ACRILYC</v>
      </c>
      <c r="C4" s="119" t="str">
        <f>RIGHT('GIA CONG ACRYLIC'!$C$8,LEN('GIA CONG ACRYLIC'!$C$8)-LEN("Khách hàng: "))&amp;" "&amp;'GIA CONG ACRYLIC'!$H$7</f>
        <v>KH0663 - NT Tuấn (0973337761) L2345</v>
      </c>
      <c r="D4" s="118" t="e">
        <f>'GIA CONG ACRYLIC'!$H$7&amp;"."&amp;'GIA CONG ACRYLIC'!#REF!&amp;"."&amp;IF(LEN('GIA CONG ACRYLIC'!#REF!)=1,"00"&amp;'GIA CONG ACRYLIC'!#REF!,IF(LEN('GIA CONG ACRYLIC'!#REF!)=2,"0"&amp;'GIA CONG ACRYLIC'!#REF!,'GIA CONG ACRYLIC'!#REF!))</f>
        <v>#REF!</v>
      </c>
      <c r="E4" s="118" t="e">
        <f>IF('GIA CONG ACRYLIC'!#REF!=0,"",'GIA CONG ACRYLIC'!#REF!)</f>
        <v>#REF!</v>
      </c>
      <c r="F4" s="118" t="e">
        <f>+'GIA CONG ACRYLIC'!#REF!</f>
        <v>#REF!</v>
      </c>
      <c r="G4" s="118" t="e">
        <f>+'GIA CONG ACRYLIC'!#REF!</f>
        <v>#REF!</v>
      </c>
      <c r="H4" s="118" t="e">
        <f>+'GIA CONG ACRYLIC'!#REF!</f>
        <v>#REF!</v>
      </c>
      <c r="I4" s="118">
        <v>19</v>
      </c>
      <c r="J4" s="118">
        <v>2</v>
      </c>
      <c r="K4" s="118" t="e">
        <f>+'GIA CONG ACRYLIC'!#REF!</f>
        <v>#REF!</v>
      </c>
      <c r="L4" s="120" t="str">
        <f t="shared" ref="L4:L34" si="2">"T"</f>
        <v>T</v>
      </c>
      <c r="M4" s="120" t="e">
        <f>IF('GIA CONG ACRYLIC'!#REF!='GIA CONG ACRYLIC'!#REF!,"V","T")</f>
        <v>#REF!</v>
      </c>
      <c r="N4" s="120" t="str">
        <f t="shared" ref="N4:N34" si="3">"T"</f>
        <v>T</v>
      </c>
      <c r="O4" s="120" t="e">
        <f>IF('GIA CONG ACRYLIC'!#REF!='GIA CONG ACRYLIC'!#REF!,"V","T")</f>
        <v>#REF!</v>
      </c>
      <c r="P4" s="118">
        <v>1.0000000000000001E-5</v>
      </c>
      <c r="Q4" s="118">
        <v>1.0000000000000001E-5</v>
      </c>
      <c r="R4" s="118">
        <v>1.0000000000000001E-5</v>
      </c>
      <c r="S4" s="118">
        <v>1.0000000000000001E-5</v>
      </c>
      <c r="T4" s="121" t="e">
        <f>'GIA CONG ACRYLIC'!#REF!</f>
        <v>#REF!</v>
      </c>
    </row>
    <row r="5" spans="1:36" s="122" customFormat="1" ht="31.5" x14ac:dyDescent="0.25">
      <c r="A5" s="118" t="str">
        <f t="shared" si="0"/>
        <v>V</v>
      </c>
      <c r="B5" s="118" t="str">
        <f t="shared" si="1"/>
        <v>ACRILYC</v>
      </c>
      <c r="C5" s="119" t="str">
        <f>RIGHT('GIA CONG ACRYLIC'!$C$8,LEN('GIA CONG ACRYLIC'!$C$8)-LEN("Khách hàng: "))&amp;" "&amp;'GIA CONG ACRYLIC'!$H$7</f>
        <v>KH0663 - NT Tuấn (0973337761) L2345</v>
      </c>
      <c r="D5" s="118" t="e">
        <f>'GIA CONG ACRYLIC'!$H$7&amp;"."&amp;'GIA CONG ACRYLIC'!#REF!&amp;"."&amp;IF(LEN('GIA CONG ACRYLIC'!#REF!)=1,"00"&amp;'GIA CONG ACRYLIC'!#REF!,IF(LEN('GIA CONG ACRYLIC'!#REF!)=2,"0"&amp;'GIA CONG ACRYLIC'!#REF!,'GIA CONG ACRYLIC'!#REF!))</f>
        <v>#REF!</v>
      </c>
      <c r="E5" s="118" t="e">
        <f>IF('GIA CONG ACRYLIC'!#REF!=0,"",'GIA CONG ACRYLIC'!#REF!)</f>
        <v>#REF!</v>
      </c>
      <c r="F5" s="118" t="e">
        <f>+'GIA CONG ACRYLIC'!#REF!</f>
        <v>#REF!</v>
      </c>
      <c r="G5" s="118" t="e">
        <f>+'GIA CONG ACRYLIC'!#REF!</f>
        <v>#REF!</v>
      </c>
      <c r="H5" s="118" t="e">
        <f>+'GIA CONG ACRYLIC'!#REF!</f>
        <v>#REF!</v>
      </c>
      <c r="I5" s="118">
        <v>19</v>
      </c>
      <c r="J5" s="118">
        <v>2</v>
      </c>
      <c r="K5" s="118" t="e">
        <f>+'GIA CONG ACRYLIC'!#REF!</f>
        <v>#REF!</v>
      </c>
      <c r="L5" s="120" t="str">
        <f t="shared" si="2"/>
        <v>T</v>
      </c>
      <c r="M5" s="120" t="e">
        <f>IF('GIA CONG ACRYLIC'!#REF!='GIA CONG ACRYLIC'!#REF!,"V","T")</f>
        <v>#REF!</v>
      </c>
      <c r="N5" s="120" t="str">
        <f t="shared" si="3"/>
        <v>T</v>
      </c>
      <c r="O5" s="120" t="e">
        <f>IF('GIA CONG ACRYLIC'!#REF!='GIA CONG ACRYLIC'!#REF!,"V","T")</f>
        <v>#REF!</v>
      </c>
      <c r="P5" s="118">
        <v>1.0000000000000001E-5</v>
      </c>
      <c r="Q5" s="118">
        <v>1.0000000000000001E-5</v>
      </c>
      <c r="R5" s="118">
        <v>1.0000000000000001E-5</v>
      </c>
      <c r="S5" s="118">
        <v>1.0000000000000001E-5</v>
      </c>
      <c r="T5" s="121" t="e">
        <f>'GIA CONG ACRYLIC'!#REF!</f>
        <v>#REF!</v>
      </c>
    </row>
    <row r="6" spans="1:36" s="122" customFormat="1" ht="31.5" x14ac:dyDescent="0.25">
      <c r="A6" s="118" t="str">
        <f t="shared" si="0"/>
        <v>V</v>
      </c>
      <c r="B6" s="118" t="str">
        <f t="shared" si="1"/>
        <v>ACRILYC</v>
      </c>
      <c r="C6" s="119" t="str">
        <f>RIGHT('GIA CONG ACRYLIC'!$C$8,LEN('GIA CONG ACRYLIC'!$C$8)-LEN("Khách hàng: "))&amp;" "&amp;'GIA CONG ACRYLIC'!$H$7</f>
        <v>KH0663 - NT Tuấn (0973337761) L2345</v>
      </c>
      <c r="D6" s="118" t="e">
        <f>'GIA CONG ACRYLIC'!$H$7&amp;"."&amp;'GIA CONG ACRYLIC'!#REF!&amp;"."&amp;IF(LEN('GIA CONG ACRYLIC'!#REF!)=1,"00"&amp;'GIA CONG ACRYLIC'!#REF!,IF(LEN('GIA CONG ACRYLIC'!#REF!)=2,"0"&amp;'GIA CONG ACRYLIC'!#REF!,'GIA CONG ACRYLIC'!#REF!))</f>
        <v>#REF!</v>
      </c>
      <c r="E6" s="118" t="e">
        <f>IF('GIA CONG ACRYLIC'!#REF!=0,"",'GIA CONG ACRYLIC'!#REF!)</f>
        <v>#REF!</v>
      </c>
      <c r="F6" s="118" t="e">
        <f>+'GIA CONG ACRYLIC'!#REF!</f>
        <v>#REF!</v>
      </c>
      <c r="G6" s="118" t="e">
        <f>+'GIA CONG ACRYLIC'!#REF!</f>
        <v>#REF!</v>
      </c>
      <c r="H6" s="118" t="e">
        <f>+'GIA CONG ACRYLIC'!#REF!</f>
        <v>#REF!</v>
      </c>
      <c r="I6" s="118">
        <v>19</v>
      </c>
      <c r="J6" s="118">
        <v>2</v>
      </c>
      <c r="K6" s="118" t="e">
        <f>+'GIA CONG ACRYLIC'!#REF!</f>
        <v>#REF!</v>
      </c>
      <c r="L6" s="120" t="str">
        <f t="shared" si="2"/>
        <v>T</v>
      </c>
      <c r="M6" s="120" t="e">
        <f>IF('GIA CONG ACRYLIC'!#REF!='GIA CONG ACRYLIC'!#REF!,"V","T")</f>
        <v>#REF!</v>
      </c>
      <c r="N6" s="120" t="str">
        <f t="shared" si="3"/>
        <v>T</v>
      </c>
      <c r="O6" s="120" t="e">
        <f>IF('GIA CONG ACRYLIC'!#REF!='GIA CONG ACRYLIC'!#REF!,"V","T")</f>
        <v>#REF!</v>
      </c>
      <c r="P6" s="118">
        <v>1.0000000000000001E-5</v>
      </c>
      <c r="Q6" s="118">
        <v>1.0000000000000001E-5</v>
      </c>
      <c r="R6" s="118">
        <v>1.0000000000000001E-5</v>
      </c>
      <c r="S6" s="118">
        <v>1.0000000000000001E-5</v>
      </c>
      <c r="T6" s="121" t="e">
        <f>'GIA CONG ACRYLIC'!#REF!</f>
        <v>#REF!</v>
      </c>
    </row>
    <row r="7" spans="1:36" s="122" customFormat="1" ht="31.5" x14ac:dyDescent="0.25">
      <c r="A7" s="118" t="str">
        <f t="shared" si="0"/>
        <v>V</v>
      </c>
      <c r="B7" s="118" t="str">
        <f t="shared" si="1"/>
        <v>ACRILYC</v>
      </c>
      <c r="C7" s="119" t="str">
        <f>RIGHT('GIA CONG ACRYLIC'!$C$8,LEN('GIA CONG ACRYLIC'!$C$8)-LEN("Khách hàng: "))&amp;" "&amp;'GIA CONG ACRYLIC'!$H$7</f>
        <v>KH0663 - NT Tuấn (0973337761) L2345</v>
      </c>
      <c r="D7" s="118" t="e">
        <f>'GIA CONG ACRYLIC'!$H$7&amp;"."&amp;'GIA CONG ACRYLIC'!#REF!&amp;"."&amp;IF(LEN('GIA CONG ACRYLIC'!#REF!)=1,"00"&amp;'GIA CONG ACRYLIC'!#REF!,IF(LEN('GIA CONG ACRYLIC'!#REF!)=2,"0"&amp;'GIA CONG ACRYLIC'!#REF!,'GIA CONG ACRYLIC'!#REF!))</f>
        <v>#REF!</v>
      </c>
      <c r="E7" s="118" t="e">
        <f>IF('GIA CONG ACRYLIC'!#REF!=0,"",'GIA CONG ACRYLIC'!#REF!)</f>
        <v>#REF!</v>
      </c>
      <c r="F7" s="118" t="e">
        <f>+'GIA CONG ACRYLIC'!#REF!</f>
        <v>#REF!</v>
      </c>
      <c r="G7" s="118" t="e">
        <f>+'GIA CONG ACRYLIC'!#REF!</f>
        <v>#REF!</v>
      </c>
      <c r="H7" s="118" t="e">
        <f>+'GIA CONG ACRYLIC'!#REF!</f>
        <v>#REF!</v>
      </c>
      <c r="I7" s="118">
        <v>19</v>
      </c>
      <c r="J7" s="118">
        <v>2</v>
      </c>
      <c r="K7" s="118" t="e">
        <f>+'GIA CONG ACRYLIC'!#REF!</f>
        <v>#REF!</v>
      </c>
      <c r="L7" s="120" t="str">
        <f t="shared" si="2"/>
        <v>T</v>
      </c>
      <c r="M7" s="120" t="e">
        <f>IF('GIA CONG ACRYLIC'!#REF!='GIA CONG ACRYLIC'!#REF!,"V","T")</f>
        <v>#REF!</v>
      </c>
      <c r="N7" s="120" t="str">
        <f t="shared" si="3"/>
        <v>T</v>
      </c>
      <c r="O7" s="120" t="e">
        <f>IF('GIA CONG ACRYLIC'!#REF!='GIA CONG ACRYLIC'!#REF!,"V","T")</f>
        <v>#REF!</v>
      </c>
      <c r="P7" s="118">
        <v>1.0000000000000001E-5</v>
      </c>
      <c r="Q7" s="118">
        <v>1.0000000000000001E-5</v>
      </c>
      <c r="R7" s="118">
        <v>1.0000000000000001E-5</v>
      </c>
      <c r="S7" s="118">
        <v>1.0000000000000001E-5</v>
      </c>
      <c r="T7" s="121" t="e">
        <f>'GIA CONG ACRYLIC'!#REF!</f>
        <v>#REF!</v>
      </c>
    </row>
    <row r="8" spans="1:36" s="122" customFormat="1" ht="31.5" x14ac:dyDescent="0.25">
      <c r="A8" s="118" t="str">
        <f t="shared" si="0"/>
        <v>V</v>
      </c>
      <c r="B8" s="118" t="str">
        <f t="shared" si="1"/>
        <v>ACRILYC</v>
      </c>
      <c r="C8" s="119" t="str">
        <f>RIGHT('GIA CONG ACRYLIC'!$C$8,LEN('GIA CONG ACRYLIC'!$C$8)-LEN("Khách hàng: "))&amp;" "&amp;'GIA CONG ACRYLIC'!$H$7</f>
        <v>KH0663 - NT Tuấn (0973337761) L2345</v>
      </c>
      <c r="D8" s="118" t="e">
        <f>'GIA CONG ACRYLIC'!$H$7&amp;"."&amp;'GIA CONG ACRYLIC'!#REF!&amp;"."&amp;IF(LEN('GIA CONG ACRYLIC'!#REF!)=1,"00"&amp;'GIA CONG ACRYLIC'!#REF!,IF(LEN('GIA CONG ACRYLIC'!#REF!)=2,"0"&amp;'GIA CONG ACRYLIC'!#REF!,'GIA CONG ACRYLIC'!#REF!))</f>
        <v>#REF!</v>
      </c>
      <c r="E8" s="118" t="e">
        <f>IF('GIA CONG ACRYLIC'!#REF!=0,"",'GIA CONG ACRYLIC'!#REF!)</f>
        <v>#REF!</v>
      </c>
      <c r="F8" s="118" t="e">
        <f>+'GIA CONG ACRYLIC'!#REF!</f>
        <v>#REF!</v>
      </c>
      <c r="G8" s="118" t="e">
        <f>+'GIA CONG ACRYLIC'!#REF!</f>
        <v>#REF!</v>
      </c>
      <c r="H8" s="118" t="e">
        <f>+'GIA CONG ACRYLIC'!#REF!</f>
        <v>#REF!</v>
      </c>
      <c r="I8" s="118">
        <v>19</v>
      </c>
      <c r="J8" s="118">
        <v>2</v>
      </c>
      <c r="K8" s="118" t="e">
        <f>+'GIA CONG ACRYLIC'!#REF!</f>
        <v>#REF!</v>
      </c>
      <c r="L8" s="120" t="str">
        <f t="shared" si="2"/>
        <v>T</v>
      </c>
      <c r="M8" s="120" t="e">
        <f>IF('GIA CONG ACRYLIC'!#REF!='GIA CONG ACRYLIC'!#REF!,"V","T")</f>
        <v>#REF!</v>
      </c>
      <c r="N8" s="120" t="str">
        <f t="shared" si="3"/>
        <v>T</v>
      </c>
      <c r="O8" s="120" t="e">
        <f>IF('GIA CONG ACRYLIC'!#REF!='GIA CONG ACRYLIC'!#REF!,"V","T")</f>
        <v>#REF!</v>
      </c>
      <c r="P8" s="118">
        <v>1.0000000000000001E-5</v>
      </c>
      <c r="Q8" s="118">
        <v>1.0000000000000001E-5</v>
      </c>
      <c r="R8" s="118">
        <v>1.0000000000000001E-5</v>
      </c>
      <c r="S8" s="118">
        <v>1.0000000000000001E-5</v>
      </c>
      <c r="T8" s="121" t="e">
        <f>'GIA CONG ACRYLIC'!#REF!</f>
        <v>#REF!</v>
      </c>
    </row>
    <row r="9" spans="1:36" s="122" customFormat="1" ht="31.5" x14ac:dyDescent="0.25">
      <c r="A9" s="118" t="str">
        <f t="shared" si="0"/>
        <v>V</v>
      </c>
      <c r="B9" s="118" t="str">
        <f t="shared" si="1"/>
        <v>ACRILYC</v>
      </c>
      <c r="C9" s="119" t="str">
        <f>RIGHT('GIA CONG ACRYLIC'!$C$8,LEN('GIA CONG ACRYLIC'!$C$8)-LEN("Khách hàng: "))&amp;" "&amp;'GIA CONG ACRYLIC'!$H$7</f>
        <v>KH0663 - NT Tuấn (0973337761) L2345</v>
      </c>
      <c r="D9" s="118" t="e">
        <f>'GIA CONG ACRYLIC'!$H$7&amp;"."&amp;'GIA CONG ACRYLIC'!#REF!&amp;"."&amp;IF(LEN('GIA CONG ACRYLIC'!#REF!)=1,"00"&amp;'GIA CONG ACRYLIC'!#REF!,IF(LEN('GIA CONG ACRYLIC'!#REF!)=2,"0"&amp;'GIA CONG ACRYLIC'!#REF!,'GIA CONG ACRYLIC'!#REF!))</f>
        <v>#REF!</v>
      </c>
      <c r="E9" s="118" t="e">
        <f>IF('GIA CONG ACRYLIC'!#REF!=0,"",'GIA CONG ACRYLIC'!#REF!)</f>
        <v>#REF!</v>
      </c>
      <c r="F9" s="118" t="e">
        <f>+'GIA CONG ACRYLIC'!#REF!</f>
        <v>#REF!</v>
      </c>
      <c r="G9" s="118" t="e">
        <f>+'GIA CONG ACRYLIC'!#REF!</f>
        <v>#REF!</v>
      </c>
      <c r="H9" s="118" t="e">
        <f>+'GIA CONG ACRYLIC'!#REF!</f>
        <v>#REF!</v>
      </c>
      <c r="I9" s="118">
        <v>19</v>
      </c>
      <c r="J9" s="118">
        <v>2</v>
      </c>
      <c r="K9" s="118" t="e">
        <f>+'GIA CONG ACRYLIC'!#REF!</f>
        <v>#REF!</v>
      </c>
      <c r="L9" s="120" t="str">
        <f t="shared" si="2"/>
        <v>T</v>
      </c>
      <c r="M9" s="120" t="e">
        <f>IF('GIA CONG ACRYLIC'!#REF!='GIA CONG ACRYLIC'!#REF!,"V","T")</f>
        <v>#REF!</v>
      </c>
      <c r="N9" s="120" t="str">
        <f t="shared" si="3"/>
        <v>T</v>
      </c>
      <c r="O9" s="120" t="e">
        <f>IF('GIA CONG ACRYLIC'!#REF!='GIA CONG ACRYLIC'!#REF!,"V","T")</f>
        <v>#REF!</v>
      </c>
      <c r="P9" s="118">
        <v>1.0000000000000001E-5</v>
      </c>
      <c r="Q9" s="118">
        <v>1.0000000000000001E-5</v>
      </c>
      <c r="R9" s="118">
        <v>1.0000000000000001E-5</v>
      </c>
      <c r="S9" s="118">
        <v>1.0000000000000001E-5</v>
      </c>
      <c r="T9" s="121" t="e">
        <f>'GIA CONG ACRYLIC'!#REF!</f>
        <v>#REF!</v>
      </c>
    </row>
    <row r="10" spans="1:36" s="122" customFormat="1" ht="31.5" x14ac:dyDescent="0.25">
      <c r="A10" s="118" t="str">
        <f t="shared" si="0"/>
        <v>V</v>
      </c>
      <c r="B10" s="118" t="str">
        <f t="shared" si="1"/>
        <v>ACRILYC</v>
      </c>
      <c r="C10" s="119" t="str">
        <f>RIGHT('GIA CONG ACRYLIC'!$C$8,LEN('GIA CONG ACRYLIC'!$C$8)-LEN("Khách hàng: "))&amp;" "&amp;'GIA CONG ACRYLIC'!$H$7</f>
        <v>KH0663 - NT Tuấn (0973337761) L2345</v>
      </c>
      <c r="D10" s="118" t="e">
        <f>'GIA CONG ACRYLIC'!$H$7&amp;"."&amp;'GIA CONG ACRYLIC'!#REF!&amp;"."&amp;IF(LEN('GIA CONG ACRYLIC'!#REF!)=1,"00"&amp;'GIA CONG ACRYLIC'!#REF!,IF(LEN('GIA CONG ACRYLIC'!#REF!)=2,"0"&amp;'GIA CONG ACRYLIC'!#REF!,'GIA CONG ACRYLIC'!#REF!))</f>
        <v>#REF!</v>
      </c>
      <c r="E10" s="118" t="e">
        <f>IF('GIA CONG ACRYLIC'!#REF!=0,"",'GIA CONG ACRYLIC'!#REF!)</f>
        <v>#REF!</v>
      </c>
      <c r="F10" s="118" t="e">
        <f>+'GIA CONG ACRYLIC'!#REF!</f>
        <v>#REF!</v>
      </c>
      <c r="G10" s="118" t="e">
        <f>+'GIA CONG ACRYLIC'!#REF!</f>
        <v>#REF!</v>
      </c>
      <c r="H10" s="118" t="e">
        <f>+'GIA CONG ACRYLIC'!#REF!</f>
        <v>#REF!</v>
      </c>
      <c r="I10" s="118">
        <v>19</v>
      </c>
      <c r="J10" s="118">
        <v>2</v>
      </c>
      <c r="K10" s="118" t="e">
        <f>+'GIA CONG ACRYLIC'!#REF!</f>
        <v>#REF!</v>
      </c>
      <c r="L10" s="120" t="str">
        <f t="shared" si="2"/>
        <v>T</v>
      </c>
      <c r="M10" s="120" t="e">
        <f>IF('GIA CONG ACRYLIC'!#REF!='GIA CONG ACRYLIC'!#REF!,"V","T")</f>
        <v>#REF!</v>
      </c>
      <c r="N10" s="120" t="str">
        <f t="shared" si="3"/>
        <v>T</v>
      </c>
      <c r="O10" s="120" t="e">
        <f>IF('GIA CONG ACRYLIC'!#REF!='GIA CONG ACRYLIC'!#REF!,"V","T")</f>
        <v>#REF!</v>
      </c>
      <c r="P10" s="118">
        <v>1.0000000000000001E-5</v>
      </c>
      <c r="Q10" s="118">
        <v>1.0000000000000001E-5</v>
      </c>
      <c r="R10" s="118">
        <v>1.0000000000000001E-5</v>
      </c>
      <c r="S10" s="118">
        <v>1.0000000000000001E-5</v>
      </c>
      <c r="T10" s="121" t="e">
        <f>'GIA CONG ACRYLIC'!#REF!</f>
        <v>#REF!</v>
      </c>
    </row>
    <row r="11" spans="1:36" s="122" customFormat="1" ht="31.5" x14ac:dyDescent="0.25">
      <c r="A11" s="118" t="str">
        <f t="shared" si="0"/>
        <v>V</v>
      </c>
      <c r="B11" s="118" t="str">
        <f t="shared" si="1"/>
        <v>ACRILYC</v>
      </c>
      <c r="C11" s="119" t="str">
        <f>RIGHT('GIA CONG ACRYLIC'!$C$8,LEN('GIA CONG ACRYLIC'!$C$8)-LEN("Khách hàng: "))&amp;" "&amp;'GIA CONG ACRYLIC'!$H$7</f>
        <v>KH0663 - NT Tuấn (0973337761) L2345</v>
      </c>
      <c r="D11" s="118" t="e">
        <f>'GIA CONG ACRYLIC'!$H$7&amp;"."&amp;'GIA CONG ACRYLIC'!#REF!&amp;"."&amp;IF(LEN('GIA CONG ACRYLIC'!#REF!)=1,"00"&amp;'GIA CONG ACRYLIC'!#REF!,IF(LEN('GIA CONG ACRYLIC'!#REF!)=2,"0"&amp;'GIA CONG ACRYLIC'!#REF!,'GIA CONG ACRYLIC'!#REF!))</f>
        <v>#REF!</v>
      </c>
      <c r="E11" s="118" t="e">
        <f>IF('GIA CONG ACRYLIC'!#REF!=0,"",'GIA CONG ACRYLIC'!#REF!)</f>
        <v>#REF!</v>
      </c>
      <c r="F11" s="118" t="e">
        <f>+'GIA CONG ACRYLIC'!#REF!</f>
        <v>#REF!</v>
      </c>
      <c r="G11" s="118" t="e">
        <f>+'GIA CONG ACRYLIC'!#REF!</f>
        <v>#REF!</v>
      </c>
      <c r="H11" s="118" t="e">
        <f>+'GIA CONG ACRYLIC'!#REF!</f>
        <v>#REF!</v>
      </c>
      <c r="I11" s="118">
        <v>19</v>
      </c>
      <c r="J11" s="118">
        <v>2</v>
      </c>
      <c r="K11" s="118" t="e">
        <f>+'GIA CONG ACRYLIC'!#REF!</f>
        <v>#REF!</v>
      </c>
      <c r="L11" s="120" t="str">
        <f t="shared" si="2"/>
        <v>T</v>
      </c>
      <c r="M11" s="120" t="e">
        <f>IF('GIA CONG ACRYLIC'!#REF!='GIA CONG ACRYLIC'!#REF!,"V","T")</f>
        <v>#REF!</v>
      </c>
      <c r="N11" s="120" t="str">
        <f t="shared" si="3"/>
        <v>T</v>
      </c>
      <c r="O11" s="120" t="e">
        <f>IF('GIA CONG ACRYLIC'!#REF!='GIA CONG ACRYLIC'!#REF!,"V","T")</f>
        <v>#REF!</v>
      </c>
      <c r="P11" s="118">
        <v>1.0000000000000001E-5</v>
      </c>
      <c r="Q11" s="118">
        <v>1.0000000000000001E-5</v>
      </c>
      <c r="R11" s="118">
        <v>1.0000000000000001E-5</v>
      </c>
      <c r="S11" s="118">
        <v>1.0000000000000001E-5</v>
      </c>
      <c r="T11" s="121" t="e">
        <f>'GIA CONG ACRYLIC'!#REF!</f>
        <v>#REF!</v>
      </c>
    </row>
    <row r="12" spans="1:36" s="122" customFormat="1" ht="31.5" x14ac:dyDescent="0.25">
      <c r="A12" s="118" t="str">
        <f t="shared" si="0"/>
        <v>V</v>
      </c>
      <c r="B12" s="118" t="str">
        <f t="shared" si="1"/>
        <v>ACRILYC</v>
      </c>
      <c r="C12" s="119" t="str">
        <f>RIGHT('GIA CONG ACRYLIC'!$C$8,LEN('GIA CONG ACRYLIC'!$C$8)-LEN("Khách hàng: "))&amp;" "&amp;'GIA CONG ACRYLIC'!$H$7</f>
        <v>KH0663 - NT Tuấn (0973337761) L2345</v>
      </c>
      <c r="D12" s="118" t="e">
        <f>'GIA CONG ACRYLIC'!$H$7&amp;"."&amp;'GIA CONG ACRYLIC'!#REF!&amp;"."&amp;IF(LEN('GIA CONG ACRYLIC'!#REF!)=1,"00"&amp;'GIA CONG ACRYLIC'!#REF!,IF(LEN('GIA CONG ACRYLIC'!#REF!)=2,"0"&amp;'GIA CONG ACRYLIC'!#REF!,'GIA CONG ACRYLIC'!#REF!))</f>
        <v>#REF!</v>
      </c>
      <c r="E12" s="118" t="e">
        <f>IF('GIA CONG ACRYLIC'!#REF!=0,"",'GIA CONG ACRYLIC'!#REF!)</f>
        <v>#REF!</v>
      </c>
      <c r="F12" s="118" t="e">
        <f>+'GIA CONG ACRYLIC'!#REF!</f>
        <v>#REF!</v>
      </c>
      <c r="G12" s="118" t="e">
        <f>+'GIA CONG ACRYLIC'!#REF!</f>
        <v>#REF!</v>
      </c>
      <c r="H12" s="118" t="e">
        <f>+'GIA CONG ACRYLIC'!#REF!</f>
        <v>#REF!</v>
      </c>
      <c r="I12" s="118">
        <v>19</v>
      </c>
      <c r="J12" s="118">
        <v>2</v>
      </c>
      <c r="K12" s="118" t="e">
        <f>+'GIA CONG ACRYLIC'!#REF!</f>
        <v>#REF!</v>
      </c>
      <c r="L12" s="120" t="str">
        <f t="shared" si="2"/>
        <v>T</v>
      </c>
      <c r="M12" s="120" t="e">
        <f>IF('GIA CONG ACRYLIC'!#REF!='GIA CONG ACRYLIC'!#REF!,"V","T")</f>
        <v>#REF!</v>
      </c>
      <c r="N12" s="120" t="str">
        <f t="shared" si="3"/>
        <v>T</v>
      </c>
      <c r="O12" s="120" t="e">
        <f>IF('GIA CONG ACRYLIC'!#REF!='GIA CONG ACRYLIC'!#REF!,"V","T")</f>
        <v>#REF!</v>
      </c>
      <c r="P12" s="118">
        <v>1.0000000000000001E-5</v>
      </c>
      <c r="Q12" s="118">
        <v>1.0000000000000001E-5</v>
      </c>
      <c r="R12" s="118">
        <v>1.0000000000000001E-5</v>
      </c>
      <c r="S12" s="118">
        <v>1.0000000000000001E-5</v>
      </c>
      <c r="T12" s="121" t="e">
        <f>'GIA CONG ACRYLIC'!#REF!</f>
        <v>#REF!</v>
      </c>
    </row>
    <row r="13" spans="1:36" s="122" customFormat="1" ht="31.5" x14ac:dyDescent="0.25">
      <c r="A13" s="118" t="str">
        <f t="shared" si="0"/>
        <v>V</v>
      </c>
      <c r="B13" s="118" t="str">
        <f t="shared" si="1"/>
        <v>ACRILYC</v>
      </c>
      <c r="C13" s="119" t="str">
        <f>RIGHT('GIA CONG ACRYLIC'!$C$8,LEN('GIA CONG ACRYLIC'!$C$8)-LEN("Khách hàng: "))&amp;" "&amp;'GIA CONG ACRYLIC'!$H$7</f>
        <v>KH0663 - NT Tuấn (0973337761) L2345</v>
      </c>
      <c r="D13" s="118" t="e">
        <f>'GIA CONG ACRYLIC'!$H$7&amp;"."&amp;'GIA CONG ACRYLIC'!#REF!&amp;"."&amp;IF(LEN('GIA CONG ACRYLIC'!#REF!)=1,"00"&amp;'GIA CONG ACRYLIC'!#REF!,IF(LEN('GIA CONG ACRYLIC'!#REF!)=2,"0"&amp;'GIA CONG ACRYLIC'!#REF!,'GIA CONG ACRYLIC'!#REF!))</f>
        <v>#REF!</v>
      </c>
      <c r="E13" s="118" t="e">
        <f>IF('GIA CONG ACRYLIC'!#REF!=0,"",'GIA CONG ACRYLIC'!#REF!)</f>
        <v>#REF!</v>
      </c>
      <c r="F13" s="118" t="e">
        <f>+'GIA CONG ACRYLIC'!#REF!</f>
        <v>#REF!</v>
      </c>
      <c r="G13" s="118" t="e">
        <f>+'GIA CONG ACRYLIC'!#REF!</f>
        <v>#REF!</v>
      </c>
      <c r="H13" s="118" t="e">
        <f>+'GIA CONG ACRYLIC'!#REF!</f>
        <v>#REF!</v>
      </c>
      <c r="I13" s="118">
        <v>19</v>
      </c>
      <c r="J13" s="118">
        <v>2</v>
      </c>
      <c r="K13" s="118" t="e">
        <f>+'GIA CONG ACRYLIC'!#REF!</f>
        <v>#REF!</v>
      </c>
      <c r="L13" s="120" t="str">
        <f t="shared" si="2"/>
        <v>T</v>
      </c>
      <c r="M13" s="120" t="e">
        <f>IF('GIA CONG ACRYLIC'!#REF!='GIA CONG ACRYLIC'!#REF!,"V","T")</f>
        <v>#REF!</v>
      </c>
      <c r="N13" s="120" t="str">
        <f t="shared" si="3"/>
        <v>T</v>
      </c>
      <c r="O13" s="120" t="e">
        <f>IF('GIA CONG ACRYLIC'!#REF!='GIA CONG ACRYLIC'!#REF!,"V","T")</f>
        <v>#REF!</v>
      </c>
      <c r="P13" s="118">
        <v>1.0000000000000001E-5</v>
      </c>
      <c r="Q13" s="118">
        <v>1.0000000000000001E-5</v>
      </c>
      <c r="R13" s="118">
        <v>1.0000000000000001E-5</v>
      </c>
      <c r="S13" s="118">
        <v>1.0000000000000001E-5</v>
      </c>
      <c r="T13" s="121" t="e">
        <f>'GIA CONG ACRYLIC'!#REF!</f>
        <v>#REF!</v>
      </c>
    </row>
    <row r="14" spans="1:36" s="122" customFormat="1" ht="31.5" x14ac:dyDescent="0.25">
      <c r="A14" s="118" t="str">
        <f t="shared" si="0"/>
        <v>V</v>
      </c>
      <c r="B14" s="118" t="str">
        <f t="shared" si="1"/>
        <v>ACRILYC</v>
      </c>
      <c r="C14" s="119" t="str">
        <f>RIGHT('GIA CONG ACRYLIC'!$C$8,LEN('GIA CONG ACRYLIC'!$C$8)-LEN("Khách hàng: "))&amp;" "&amp;'GIA CONG ACRYLIC'!$H$7</f>
        <v>KH0663 - NT Tuấn (0973337761) L2345</v>
      </c>
      <c r="D14" s="118" t="e">
        <f>'GIA CONG ACRYLIC'!$H$7&amp;"."&amp;'GIA CONG ACRYLIC'!#REF!&amp;"."&amp;IF(LEN('GIA CONG ACRYLIC'!#REF!)=1,"00"&amp;'GIA CONG ACRYLIC'!#REF!,IF(LEN('GIA CONG ACRYLIC'!#REF!)=2,"0"&amp;'GIA CONG ACRYLIC'!#REF!,'GIA CONG ACRYLIC'!#REF!))</f>
        <v>#REF!</v>
      </c>
      <c r="E14" s="118" t="e">
        <f>IF('GIA CONG ACRYLIC'!#REF!=0,"",'GIA CONG ACRYLIC'!#REF!)</f>
        <v>#REF!</v>
      </c>
      <c r="F14" s="118" t="e">
        <f>+'GIA CONG ACRYLIC'!#REF!</f>
        <v>#REF!</v>
      </c>
      <c r="G14" s="118" t="e">
        <f>+'GIA CONG ACRYLIC'!#REF!</f>
        <v>#REF!</v>
      </c>
      <c r="H14" s="118" t="e">
        <f>+'GIA CONG ACRYLIC'!#REF!</f>
        <v>#REF!</v>
      </c>
      <c r="I14" s="118">
        <v>19</v>
      </c>
      <c r="J14" s="118">
        <v>2</v>
      </c>
      <c r="K14" s="118" t="e">
        <f>+'GIA CONG ACRYLIC'!#REF!</f>
        <v>#REF!</v>
      </c>
      <c r="L14" s="120" t="str">
        <f t="shared" si="2"/>
        <v>T</v>
      </c>
      <c r="M14" s="120" t="e">
        <f>IF('GIA CONG ACRYLIC'!#REF!='GIA CONG ACRYLIC'!#REF!,"V","T")</f>
        <v>#REF!</v>
      </c>
      <c r="N14" s="120" t="str">
        <f t="shared" si="3"/>
        <v>T</v>
      </c>
      <c r="O14" s="120" t="e">
        <f>IF('GIA CONG ACRYLIC'!#REF!='GIA CONG ACRYLIC'!#REF!,"V","T")</f>
        <v>#REF!</v>
      </c>
      <c r="P14" s="118">
        <v>1.0000000000000001E-5</v>
      </c>
      <c r="Q14" s="118">
        <v>1.0000000000000001E-5</v>
      </c>
      <c r="R14" s="118">
        <v>1.0000000000000001E-5</v>
      </c>
      <c r="S14" s="118">
        <v>1.0000000000000001E-5</v>
      </c>
      <c r="T14" s="121" t="e">
        <f>'GIA CONG ACRYLIC'!#REF!</f>
        <v>#REF!</v>
      </c>
    </row>
    <row r="15" spans="1:36" s="122" customFormat="1" ht="31.5" x14ac:dyDescent="0.25">
      <c r="A15" s="118" t="str">
        <f t="shared" si="0"/>
        <v>V</v>
      </c>
      <c r="B15" s="118" t="str">
        <f t="shared" si="1"/>
        <v>ACRILYC</v>
      </c>
      <c r="C15" s="119" t="str">
        <f>RIGHT('GIA CONG ACRYLIC'!$C$8,LEN('GIA CONG ACRYLIC'!$C$8)-LEN("Khách hàng: "))&amp;" "&amp;'GIA CONG ACRYLIC'!$H$7</f>
        <v>KH0663 - NT Tuấn (0973337761) L2345</v>
      </c>
      <c r="D15" s="118" t="e">
        <f>'GIA CONG ACRYLIC'!$H$7&amp;"."&amp;'GIA CONG ACRYLIC'!#REF!&amp;"."&amp;IF(LEN('GIA CONG ACRYLIC'!#REF!)=1,"00"&amp;'GIA CONG ACRYLIC'!#REF!,IF(LEN('GIA CONG ACRYLIC'!#REF!)=2,"0"&amp;'GIA CONG ACRYLIC'!#REF!,'GIA CONG ACRYLIC'!#REF!))</f>
        <v>#REF!</v>
      </c>
      <c r="E15" s="118" t="e">
        <f>IF('GIA CONG ACRYLIC'!#REF!=0,"",'GIA CONG ACRYLIC'!#REF!)</f>
        <v>#REF!</v>
      </c>
      <c r="F15" s="118" t="e">
        <f>+'GIA CONG ACRYLIC'!#REF!</f>
        <v>#REF!</v>
      </c>
      <c r="G15" s="118" t="e">
        <f>+'GIA CONG ACRYLIC'!#REF!</f>
        <v>#REF!</v>
      </c>
      <c r="H15" s="118" t="e">
        <f>+'GIA CONG ACRYLIC'!#REF!</f>
        <v>#REF!</v>
      </c>
      <c r="I15" s="118">
        <v>19</v>
      </c>
      <c r="J15" s="118">
        <v>2</v>
      </c>
      <c r="K15" s="118" t="e">
        <f>+'GIA CONG ACRYLIC'!#REF!</f>
        <v>#REF!</v>
      </c>
      <c r="L15" s="120" t="str">
        <f t="shared" si="2"/>
        <v>T</v>
      </c>
      <c r="M15" s="120" t="e">
        <f>IF('GIA CONG ACRYLIC'!#REF!='GIA CONG ACRYLIC'!#REF!,"V","T")</f>
        <v>#REF!</v>
      </c>
      <c r="N15" s="120" t="str">
        <f t="shared" si="3"/>
        <v>T</v>
      </c>
      <c r="O15" s="120" t="e">
        <f>IF('GIA CONG ACRYLIC'!#REF!='GIA CONG ACRYLIC'!#REF!,"V","T")</f>
        <v>#REF!</v>
      </c>
      <c r="P15" s="118">
        <v>1.0000000000000001E-5</v>
      </c>
      <c r="Q15" s="118">
        <v>1.0000000000000001E-5</v>
      </c>
      <c r="R15" s="118">
        <v>1.0000000000000001E-5</v>
      </c>
      <c r="S15" s="118">
        <v>1.0000000000000001E-5</v>
      </c>
      <c r="T15" s="121" t="e">
        <f>'GIA CONG ACRYLIC'!#REF!</f>
        <v>#REF!</v>
      </c>
    </row>
    <row r="16" spans="1:36" s="122" customFormat="1" ht="31.5" x14ac:dyDescent="0.25">
      <c r="A16" s="118" t="str">
        <f t="shared" si="0"/>
        <v>V</v>
      </c>
      <c r="B16" s="118" t="str">
        <f t="shared" si="1"/>
        <v>ACRILYC</v>
      </c>
      <c r="C16" s="119" t="str">
        <f>RIGHT('GIA CONG ACRYLIC'!$C$8,LEN('GIA CONG ACRYLIC'!$C$8)-LEN("Khách hàng: "))&amp;" "&amp;'GIA CONG ACRYLIC'!$H$7</f>
        <v>KH0663 - NT Tuấn (0973337761) L2345</v>
      </c>
      <c r="D16" s="118" t="e">
        <f>'GIA CONG ACRYLIC'!$H$7&amp;"."&amp;'GIA CONG ACRYLIC'!#REF!&amp;"."&amp;IF(LEN('GIA CONG ACRYLIC'!#REF!)=1,"00"&amp;'GIA CONG ACRYLIC'!#REF!,IF(LEN('GIA CONG ACRYLIC'!#REF!)=2,"0"&amp;'GIA CONG ACRYLIC'!#REF!,'GIA CONG ACRYLIC'!#REF!))</f>
        <v>#REF!</v>
      </c>
      <c r="E16" s="118" t="e">
        <f>IF('GIA CONG ACRYLIC'!#REF!=0,"",'GIA CONG ACRYLIC'!#REF!)</f>
        <v>#REF!</v>
      </c>
      <c r="F16" s="118" t="e">
        <f>+'GIA CONG ACRYLIC'!#REF!</f>
        <v>#REF!</v>
      </c>
      <c r="G16" s="118" t="e">
        <f>+'GIA CONG ACRYLIC'!#REF!</f>
        <v>#REF!</v>
      </c>
      <c r="H16" s="118" t="e">
        <f>+'GIA CONG ACRYLIC'!#REF!</f>
        <v>#REF!</v>
      </c>
      <c r="I16" s="118">
        <v>19</v>
      </c>
      <c r="J16" s="118">
        <v>2</v>
      </c>
      <c r="K16" s="118" t="e">
        <f>+'GIA CONG ACRYLIC'!#REF!</f>
        <v>#REF!</v>
      </c>
      <c r="L16" s="120" t="str">
        <f t="shared" si="2"/>
        <v>T</v>
      </c>
      <c r="M16" s="120" t="e">
        <f>IF('GIA CONG ACRYLIC'!#REF!='GIA CONG ACRYLIC'!#REF!,"V","T")</f>
        <v>#REF!</v>
      </c>
      <c r="N16" s="120" t="str">
        <f t="shared" si="3"/>
        <v>T</v>
      </c>
      <c r="O16" s="120" t="e">
        <f>IF('GIA CONG ACRYLIC'!#REF!='GIA CONG ACRYLIC'!#REF!,"V","T")</f>
        <v>#REF!</v>
      </c>
      <c r="P16" s="118">
        <v>1.0000000000000001E-5</v>
      </c>
      <c r="Q16" s="118">
        <v>1.0000000000000001E-5</v>
      </c>
      <c r="R16" s="118">
        <v>1.0000000000000001E-5</v>
      </c>
      <c r="S16" s="118">
        <v>1.0000000000000001E-5</v>
      </c>
      <c r="T16" s="121" t="e">
        <f>'GIA CONG ACRYLIC'!#REF!</f>
        <v>#REF!</v>
      </c>
    </row>
    <row r="17" spans="1:30" s="122" customFormat="1" ht="31.5" x14ac:dyDescent="0.25">
      <c r="A17" s="118" t="str">
        <f t="shared" si="0"/>
        <v>V</v>
      </c>
      <c r="B17" s="118" t="str">
        <f t="shared" si="1"/>
        <v>ACRILYC</v>
      </c>
      <c r="C17" s="119" t="str">
        <f>RIGHT('GIA CONG ACRYLIC'!$C$8,LEN('GIA CONG ACRYLIC'!$C$8)-LEN("Khách hàng: "))&amp;" "&amp;'GIA CONG ACRYLIC'!$H$7</f>
        <v>KH0663 - NT Tuấn (0973337761) L2345</v>
      </c>
      <c r="D17" s="118" t="e">
        <f>'GIA CONG ACRYLIC'!$H$7&amp;"."&amp;'GIA CONG ACRYLIC'!#REF!&amp;"."&amp;IF(LEN('GIA CONG ACRYLIC'!#REF!)=1,"00"&amp;'GIA CONG ACRYLIC'!#REF!,IF(LEN('GIA CONG ACRYLIC'!#REF!)=2,"0"&amp;'GIA CONG ACRYLIC'!#REF!,'GIA CONG ACRYLIC'!#REF!))</f>
        <v>#REF!</v>
      </c>
      <c r="E17" s="118" t="e">
        <f>IF('GIA CONG ACRYLIC'!#REF!=0,"",'GIA CONG ACRYLIC'!#REF!)</f>
        <v>#REF!</v>
      </c>
      <c r="F17" s="118" t="e">
        <f>+'GIA CONG ACRYLIC'!#REF!</f>
        <v>#REF!</v>
      </c>
      <c r="G17" s="118" t="e">
        <f>+'GIA CONG ACRYLIC'!#REF!</f>
        <v>#REF!</v>
      </c>
      <c r="H17" s="118" t="e">
        <f>+'GIA CONG ACRYLIC'!#REF!</f>
        <v>#REF!</v>
      </c>
      <c r="I17" s="118">
        <v>19</v>
      </c>
      <c r="J17" s="118">
        <v>2</v>
      </c>
      <c r="K17" s="118" t="e">
        <f>+'GIA CONG ACRYLIC'!#REF!</f>
        <v>#REF!</v>
      </c>
      <c r="L17" s="120" t="str">
        <f t="shared" si="2"/>
        <v>T</v>
      </c>
      <c r="M17" s="120" t="e">
        <f>IF('GIA CONG ACRYLIC'!#REF!='GIA CONG ACRYLIC'!#REF!,"V","T")</f>
        <v>#REF!</v>
      </c>
      <c r="N17" s="120" t="str">
        <f t="shared" si="3"/>
        <v>T</v>
      </c>
      <c r="O17" s="120" t="e">
        <f>IF('GIA CONG ACRYLIC'!#REF!='GIA CONG ACRYLIC'!#REF!,"V","T")</f>
        <v>#REF!</v>
      </c>
      <c r="P17" s="118">
        <v>1.0000000000000001E-5</v>
      </c>
      <c r="Q17" s="118">
        <v>1.0000000000000001E-5</v>
      </c>
      <c r="R17" s="118">
        <v>1.0000000000000001E-5</v>
      </c>
      <c r="S17" s="118">
        <v>1.0000000000000001E-5</v>
      </c>
      <c r="T17" s="121" t="e">
        <f>'GIA CONG ACRYLIC'!#REF!</f>
        <v>#REF!</v>
      </c>
    </row>
    <row r="18" spans="1:30" s="122" customFormat="1" ht="31.5" x14ac:dyDescent="0.25">
      <c r="A18" s="118" t="str">
        <f t="shared" si="0"/>
        <v>V</v>
      </c>
      <c r="B18" s="118" t="str">
        <f t="shared" si="1"/>
        <v>ACRILYC</v>
      </c>
      <c r="C18" s="119" t="str">
        <f>RIGHT('GIA CONG ACRYLIC'!$C$8,LEN('GIA CONG ACRYLIC'!$C$8)-LEN("Khách hàng: "))&amp;" "&amp;'GIA CONG ACRYLIC'!$H$7</f>
        <v>KH0663 - NT Tuấn (0973337761) L2345</v>
      </c>
      <c r="D18" s="118" t="e">
        <f>'GIA CONG ACRYLIC'!$H$7&amp;"."&amp;'GIA CONG ACRYLIC'!#REF!&amp;"."&amp;IF(LEN('GIA CONG ACRYLIC'!#REF!)=1,"00"&amp;'GIA CONG ACRYLIC'!#REF!,IF(LEN('GIA CONG ACRYLIC'!#REF!)=2,"0"&amp;'GIA CONG ACRYLIC'!#REF!,'GIA CONG ACRYLIC'!#REF!))</f>
        <v>#REF!</v>
      </c>
      <c r="E18" s="118" t="e">
        <f>IF('GIA CONG ACRYLIC'!#REF!=0,"",'GIA CONG ACRYLIC'!#REF!)</f>
        <v>#REF!</v>
      </c>
      <c r="F18" s="118" t="e">
        <f>+'GIA CONG ACRYLIC'!#REF!</f>
        <v>#REF!</v>
      </c>
      <c r="G18" s="118" t="e">
        <f>+'GIA CONG ACRYLIC'!#REF!</f>
        <v>#REF!</v>
      </c>
      <c r="H18" s="118" t="e">
        <f>+'GIA CONG ACRYLIC'!#REF!</f>
        <v>#REF!</v>
      </c>
      <c r="I18" s="118">
        <v>19</v>
      </c>
      <c r="J18" s="118">
        <v>2</v>
      </c>
      <c r="K18" s="118" t="e">
        <f>+'GIA CONG ACRYLIC'!#REF!</f>
        <v>#REF!</v>
      </c>
      <c r="L18" s="120" t="str">
        <f t="shared" si="2"/>
        <v>T</v>
      </c>
      <c r="M18" s="120" t="e">
        <f>IF('GIA CONG ACRYLIC'!#REF!='GIA CONG ACRYLIC'!#REF!,"V","T")</f>
        <v>#REF!</v>
      </c>
      <c r="N18" s="120" t="str">
        <f t="shared" si="3"/>
        <v>T</v>
      </c>
      <c r="O18" s="120" t="e">
        <f>IF('GIA CONG ACRYLIC'!#REF!='GIA CONG ACRYLIC'!#REF!,"V","T")</f>
        <v>#REF!</v>
      </c>
      <c r="P18" s="118">
        <v>1.0000000000000001E-5</v>
      </c>
      <c r="Q18" s="118">
        <v>1.0000000000000001E-5</v>
      </c>
      <c r="R18" s="118">
        <v>1.0000000000000001E-5</v>
      </c>
      <c r="S18" s="118">
        <v>1.0000000000000001E-5</v>
      </c>
      <c r="T18" s="121" t="e">
        <f>'GIA CONG ACRYLIC'!#REF!</f>
        <v>#REF!</v>
      </c>
    </row>
    <row r="19" spans="1:30" s="122" customFormat="1" ht="31.5" x14ac:dyDescent="0.25">
      <c r="A19" s="118" t="str">
        <f t="shared" si="0"/>
        <v>V</v>
      </c>
      <c r="B19" s="118" t="str">
        <f t="shared" si="1"/>
        <v>ACRILYC</v>
      </c>
      <c r="C19" s="119" t="str">
        <f>RIGHT('GIA CONG ACRYLIC'!$C$8,LEN('GIA CONG ACRYLIC'!$C$8)-LEN("Khách hàng: "))&amp;" "&amp;'GIA CONG ACRYLIC'!$H$7</f>
        <v>KH0663 - NT Tuấn (0973337761) L2345</v>
      </c>
      <c r="D19" s="118" t="e">
        <f>'GIA CONG ACRYLIC'!$H$7&amp;"."&amp;'GIA CONG ACRYLIC'!#REF!&amp;"."&amp;IF(LEN('GIA CONG ACRYLIC'!#REF!)=1,"00"&amp;'GIA CONG ACRYLIC'!#REF!,IF(LEN('GIA CONG ACRYLIC'!#REF!)=2,"0"&amp;'GIA CONG ACRYLIC'!#REF!,'GIA CONG ACRYLIC'!#REF!))</f>
        <v>#REF!</v>
      </c>
      <c r="E19" s="118" t="e">
        <f>IF('GIA CONG ACRYLIC'!#REF!=0,"",'GIA CONG ACRYLIC'!#REF!)</f>
        <v>#REF!</v>
      </c>
      <c r="F19" s="118" t="e">
        <f>+'GIA CONG ACRYLIC'!#REF!</f>
        <v>#REF!</v>
      </c>
      <c r="G19" s="118" t="e">
        <f>+'GIA CONG ACRYLIC'!#REF!</f>
        <v>#REF!</v>
      </c>
      <c r="H19" s="118" t="e">
        <f>+'GIA CONG ACRYLIC'!#REF!</f>
        <v>#REF!</v>
      </c>
      <c r="I19" s="118">
        <v>19</v>
      </c>
      <c r="J19" s="118">
        <v>2</v>
      </c>
      <c r="K19" s="118" t="e">
        <f>+'GIA CONG ACRYLIC'!#REF!</f>
        <v>#REF!</v>
      </c>
      <c r="L19" s="120" t="str">
        <f t="shared" si="2"/>
        <v>T</v>
      </c>
      <c r="M19" s="120" t="e">
        <f>IF('GIA CONG ACRYLIC'!#REF!='GIA CONG ACRYLIC'!#REF!,"V","T")</f>
        <v>#REF!</v>
      </c>
      <c r="N19" s="120" t="str">
        <f t="shared" si="3"/>
        <v>T</v>
      </c>
      <c r="O19" s="120" t="e">
        <f>IF('GIA CONG ACRYLIC'!#REF!='GIA CONG ACRYLIC'!#REF!,"V","T")</f>
        <v>#REF!</v>
      </c>
      <c r="P19" s="118">
        <v>1.0000000000000001E-5</v>
      </c>
      <c r="Q19" s="118">
        <v>1.0000000000000001E-5</v>
      </c>
      <c r="R19" s="118">
        <v>1.0000000000000001E-5</v>
      </c>
      <c r="S19" s="118">
        <v>1.0000000000000001E-5</v>
      </c>
      <c r="T19" s="121" t="e">
        <f>'GIA CONG ACRYLIC'!#REF!</f>
        <v>#REF!</v>
      </c>
    </row>
    <row r="20" spans="1:30" s="122" customFormat="1" ht="31.5" x14ac:dyDescent="0.25">
      <c r="A20" s="118" t="str">
        <f t="shared" si="0"/>
        <v>V</v>
      </c>
      <c r="B20" s="118" t="str">
        <f t="shared" si="1"/>
        <v>ACRILYC</v>
      </c>
      <c r="C20" s="119" t="str">
        <f>RIGHT('GIA CONG ACRYLIC'!$C$8,LEN('GIA CONG ACRYLIC'!$C$8)-LEN("Khách hàng: "))&amp;" "&amp;'GIA CONG ACRYLIC'!$H$7</f>
        <v>KH0663 - NT Tuấn (0973337761) L2345</v>
      </c>
      <c r="D20" s="118" t="e">
        <f>'GIA CONG ACRYLIC'!$H$7&amp;"."&amp;'GIA CONG ACRYLIC'!#REF!&amp;"."&amp;IF(LEN('GIA CONG ACRYLIC'!#REF!)=1,"00"&amp;'GIA CONG ACRYLIC'!#REF!,IF(LEN('GIA CONG ACRYLIC'!#REF!)=2,"0"&amp;'GIA CONG ACRYLIC'!#REF!,'GIA CONG ACRYLIC'!#REF!))</f>
        <v>#REF!</v>
      </c>
      <c r="E20" s="118" t="e">
        <f>IF('GIA CONG ACRYLIC'!#REF!=0,"",'GIA CONG ACRYLIC'!#REF!)</f>
        <v>#REF!</v>
      </c>
      <c r="F20" s="118" t="e">
        <f>+'GIA CONG ACRYLIC'!#REF!</f>
        <v>#REF!</v>
      </c>
      <c r="G20" s="118" t="e">
        <f>+'GIA CONG ACRYLIC'!#REF!</f>
        <v>#REF!</v>
      </c>
      <c r="H20" s="118" t="e">
        <f>+'GIA CONG ACRYLIC'!#REF!</f>
        <v>#REF!</v>
      </c>
      <c r="I20" s="118">
        <v>19</v>
      </c>
      <c r="J20" s="118">
        <v>2</v>
      </c>
      <c r="K20" s="118" t="e">
        <f>+'GIA CONG ACRYLIC'!#REF!</f>
        <v>#REF!</v>
      </c>
      <c r="L20" s="120" t="str">
        <f t="shared" si="2"/>
        <v>T</v>
      </c>
      <c r="M20" s="120" t="e">
        <f>IF('GIA CONG ACRYLIC'!#REF!='GIA CONG ACRYLIC'!#REF!,"V","T")</f>
        <v>#REF!</v>
      </c>
      <c r="N20" s="120" t="str">
        <f t="shared" si="3"/>
        <v>T</v>
      </c>
      <c r="O20" s="120" t="e">
        <f>IF('GIA CONG ACRYLIC'!#REF!='GIA CONG ACRYLIC'!#REF!,"V","T")</f>
        <v>#REF!</v>
      </c>
      <c r="P20" s="118">
        <v>1.0000000000000001E-5</v>
      </c>
      <c r="Q20" s="118">
        <v>1.0000000000000001E-5</v>
      </c>
      <c r="R20" s="118">
        <v>1.0000000000000001E-5</v>
      </c>
      <c r="S20" s="118">
        <v>1.0000000000000001E-5</v>
      </c>
      <c r="T20" s="121" t="e">
        <f>'GIA CONG ACRYLIC'!#REF!</f>
        <v>#REF!</v>
      </c>
    </row>
    <row r="21" spans="1:30" s="122" customFormat="1" ht="31.5" x14ac:dyDescent="0.25">
      <c r="A21" s="118" t="str">
        <f t="shared" si="0"/>
        <v>V</v>
      </c>
      <c r="B21" s="118" t="str">
        <f t="shared" si="1"/>
        <v>ACRILYC</v>
      </c>
      <c r="C21" s="119" t="str">
        <f>RIGHT('GIA CONG ACRYLIC'!$C$8,LEN('GIA CONG ACRYLIC'!$C$8)-LEN("Khách hàng: "))&amp;" "&amp;'GIA CONG ACRYLIC'!$H$7</f>
        <v>KH0663 - NT Tuấn (0973337761) L2345</v>
      </c>
      <c r="D21" s="118" t="e">
        <f>'GIA CONG ACRYLIC'!$H$7&amp;"."&amp;'GIA CONG ACRYLIC'!#REF!&amp;"."&amp;IF(LEN('GIA CONG ACRYLIC'!#REF!)=1,"00"&amp;'GIA CONG ACRYLIC'!#REF!,IF(LEN('GIA CONG ACRYLIC'!#REF!)=2,"0"&amp;'GIA CONG ACRYLIC'!#REF!,'GIA CONG ACRYLIC'!#REF!))</f>
        <v>#REF!</v>
      </c>
      <c r="E21" s="118" t="e">
        <f>IF('GIA CONG ACRYLIC'!#REF!=0,"",'GIA CONG ACRYLIC'!#REF!)</f>
        <v>#REF!</v>
      </c>
      <c r="F21" s="118" t="e">
        <f>+'GIA CONG ACRYLIC'!#REF!</f>
        <v>#REF!</v>
      </c>
      <c r="G21" s="118" t="e">
        <f>+'GIA CONG ACRYLIC'!#REF!</f>
        <v>#REF!</v>
      </c>
      <c r="H21" s="118" t="e">
        <f>+'GIA CONG ACRYLIC'!#REF!</f>
        <v>#REF!</v>
      </c>
      <c r="I21" s="118">
        <v>19</v>
      </c>
      <c r="J21" s="118">
        <v>2</v>
      </c>
      <c r="K21" s="118" t="e">
        <f>+'GIA CONG ACRYLIC'!#REF!</f>
        <v>#REF!</v>
      </c>
      <c r="L21" s="120" t="str">
        <f t="shared" si="2"/>
        <v>T</v>
      </c>
      <c r="M21" s="120" t="e">
        <f>IF('GIA CONG ACRYLIC'!#REF!='GIA CONG ACRYLIC'!#REF!,"V","T")</f>
        <v>#REF!</v>
      </c>
      <c r="N21" s="120" t="str">
        <f t="shared" si="3"/>
        <v>T</v>
      </c>
      <c r="O21" s="120" t="e">
        <f>IF('GIA CONG ACRYLIC'!#REF!='GIA CONG ACRYLIC'!#REF!,"V","T")</f>
        <v>#REF!</v>
      </c>
      <c r="P21" s="118">
        <v>1.0000000000000001E-5</v>
      </c>
      <c r="Q21" s="118">
        <v>1.0000000000000001E-5</v>
      </c>
      <c r="R21" s="118">
        <v>1.0000000000000001E-5</v>
      </c>
      <c r="S21" s="118">
        <v>1.0000000000000001E-5</v>
      </c>
      <c r="T21" s="121" t="e">
        <f>'GIA CONG ACRYLIC'!#REF!</f>
        <v>#REF!</v>
      </c>
    </row>
    <row r="22" spans="1:30" s="122" customFormat="1" ht="31.5" x14ac:dyDescent="0.25">
      <c r="A22" s="118" t="str">
        <f t="shared" si="0"/>
        <v>V</v>
      </c>
      <c r="B22" s="118" t="str">
        <f t="shared" si="1"/>
        <v>ACRILYC</v>
      </c>
      <c r="C22" s="119" t="str">
        <f>RIGHT('GIA CONG ACRYLIC'!$C$8,LEN('GIA CONG ACRYLIC'!$C$8)-LEN("Khách hàng: "))&amp;" "&amp;'GIA CONG ACRYLIC'!$H$7</f>
        <v>KH0663 - NT Tuấn (0973337761) L2345</v>
      </c>
      <c r="D22" s="118" t="e">
        <f>'GIA CONG ACRYLIC'!$H$7&amp;"."&amp;'GIA CONG ACRYLIC'!#REF!&amp;"."&amp;IF(LEN('GIA CONG ACRYLIC'!#REF!)=1,"00"&amp;'GIA CONG ACRYLIC'!#REF!,IF(LEN('GIA CONG ACRYLIC'!#REF!)=2,"0"&amp;'GIA CONG ACRYLIC'!#REF!,'GIA CONG ACRYLIC'!#REF!))</f>
        <v>#REF!</v>
      </c>
      <c r="E22" s="118" t="e">
        <f>IF('GIA CONG ACRYLIC'!#REF!=0,"",'GIA CONG ACRYLIC'!#REF!)</f>
        <v>#REF!</v>
      </c>
      <c r="F22" s="118" t="e">
        <f>+'GIA CONG ACRYLIC'!#REF!</f>
        <v>#REF!</v>
      </c>
      <c r="G22" s="118" t="e">
        <f>+'GIA CONG ACRYLIC'!#REF!</f>
        <v>#REF!</v>
      </c>
      <c r="H22" s="118" t="e">
        <f>+'GIA CONG ACRYLIC'!#REF!</f>
        <v>#REF!</v>
      </c>
      <c r="I22" s="118">
        <v>19</v>
      </c>
      <c r="J22" s="118">
        <v>2</v>
      </c>
      <c r="K22" s="118" t="e">
        <f>+'GIA CONG ACRYLIC'!#REF!</f>
        <v>#REF!</v>
      </c>
      <c r="L22" s="120" t="str">
        <f t="shared" si="2"/>
        <v>T</v>
      </c>
      <c r="M22" s="120" t="e">
        <f>IF('GIA CONG ACRYLIC'!#REF!='GIA CONG ACRYLIC'!#REF!,"V","T")</f>
        <v>#REF!</v>
      </c>
      <c r="N22" s="120" t="str">
        <f t="shared" si="3"/>
        <v>T</v>
      </c>
      <c r="O22" s="120" t="e">
        <f>IF('GIA CONG ACRYLIC'!#REF!='GIA CONG ACRYLIC'!#REF!,"V","T")</f>
        <v>#REF!</v>
      </c>
      <c r="P22" s="118">
        <v>1.0000000000000001E-5</v>
      </c>
      <c r="Q22" s="118">
        <v>1.0000000000000001E-5</v>
      </c>
      <c r="R22" s="118">
        <v>1.0000000000000001E-5</v>
      </c>
      <c r="S22" s="118">
        <v>1.0000000000000001E-5</v>
      </c>
      <c r="T22" s="121" t="e">
        <f>'GIA CONG ACRYLIC'!#REF!</f>
        <v>#REF!</v>
      </c>
    </row>
    <row r="23" spans="1:30" s="122" customFormat="1" ht="31.5" x14ac:dyDescent="0.25">
      <c r="A23" s="118" t="str">
        <f t="shared" si="0"/>
        <v>V</v>
      </c>
      <c r="B23" s="118" t="str">
        <f t="shared" si="1"/>
        <v>ACRILYC</v>
      </c>
      <c r="C23" s="119" t="str">
        <f>RIGHT('GIA CONG ACRYLIC'!$C$8,LEN('GIA CONG ACRYLIC'!$C$8)-LEN("Khách hàng: "))&amp;" "&amp;'GIA CONG ACRYLIC'!$H$7</f>
        <v>KH0663 - NT Tuấn (0973337761) L2345</v>
      </c>
      <c r="D23" s="118" t="e">
        <f>'GIA CONG ACRYLIC'!$H$7&amp;"."&amp;'GIA CONG ACRYLIC'!#REF!&amp;"."&amp;IF(LEN('GIA CONG ACRYLIC'!#REF!)=1,"00"&amp;'GIA CONG ACRYLIC'!#REF!,IF(LEN('GIA CONG ACRYLIC'!#REF!)=2,"0"&amp;'GIA CONG ACRYLIC'!#REF!,'GIA CONG ACRYLIC'!#REF!))</f>
        <v>#REF!</v>
      </c>
      <c r="E23" s="118" t="e">
        <f>IF('GIA CONG ACRYLIC'!#REF!=0,"",'GIA CONG ACRYLIC'!#REF!)</f>
        <v>#REF!</v>
      </c>
      <c r="F23" s="118" t="e">
        <f>+'GIA CONG ACRYLIC'!#REF!</f>
        <v>#REF!</v>
      </c>
      <c r="G23" s="118" t="e">
        <f>+'GIA CONG ACRYLIC'!#REF!</f>
        <v>#REF!</v>
      </c>
      <c r="H23" s="118" t="e">
        <f>+'GIA CONG ACRYLIC'!#REF!</f>
        <v>#REF!</v>
      </c>
      <c r="I23" s="118">
        <v>19</v>
      </c>
      <c r="J23" s="118">
        <v>2</v>
      </c>
      <c r="K23" s="118" t="e">
        <f>+'GIA CONG ACRYLIC'!#REF!</f>
        <v>#REF!</v>
      </c>
      <c r="L23" s="120" t="str">
        <f t="shared" si="2"/>
        <v>T</v>
      </c>
      <c r="M23" s="120" t="e">
        <f>IF('GIA CONG ACRYLIC'!#REF!='GIA CONG ACRYLIC'!#REF!,"V","T")</f>
        <v>#REF!</v>
      </c>
      <c r="N23" s="120" t="str">
        <f t="shared" si="3"/>
        <v>T</v>
      </c>
      <c r="O23" s="120" t="e">
        <f>IF('GIA CONG ACRYLIC'!#REF!='GIA CONG ACRYLIC'!#REF!,"V","T")</f>
        <v>#REF!</v>
      </c>
      <c r="P23" s="118">
        <v>1.0000000000000001E-5</v>
      </c>
      <c r="Q23" s="118">
        <v>1.0000000000000001E-5</v>
      </c>
      <c r="R23" s="118">
        <v>1.0000000000000001E-5</v>
      </c>
      <c r="S23" s="118">
        <v>1.0000000000000001E-5</v>
      </c>
      <c r="T23" s="121" t="e">
        <f>'GIA CONG ACRYLIC'!#REF!</f>
        <v>#REF!</v>
      </c>
    </row>
    <row r="24" spans="1:30" s="122" customFormat="1" ht="31.5" x14ac:dyDescent="0.25">
      <c r="A24" s="118" t="str">
        <f t="shared" si="0"/>
        <v>V</v>
      </c>
      <c r="B24" s="118" t="str">
        <f t="shared" si="1"/>
        <v>ACRILYC</v>
      </c>
      <c r="C24" s="119" t="str">
        <f>RIGHT('GIA CONG ACRYLIC'!$C$8,LEN('GIA CONG ACRYLIC'!$C$8)-LEN("Khách hàng: "))&amp;" "&amp;'GIA CONG ACRYLIC'!$H$7</f>
        <v>KH0663 - NT Tuấn (0973337761) L2345</v>
      </c>
      <c r="D24" s="118" t="e">
        <f>'GIA CONG ACRYLIC'!$H$7&amp;"."&amp;'GIA CONG ACRYLIC'!#REF!&amp;"."&amp;IF(LEN('GIA CONG ACRYLIC'!#REF!)=1,"00"&amp;'GIA CONG ACRYLIC'!#REF!,IF(LEN('GIA CONG ACRYLIC'!#REF!)=2,"0"&amp;'GIA CONG ACRYLIC'!#REF!,'GIA CONG ACRYLIC'!#REF!))</f>
        <v>#REF!</v>
      </c>
      <c r="E24" s="118" t="e">
        <f>IF('GIA CONG ACRYLIC'!#REF!=0,"",'GIA CONG ACRYLIC'!#REF!)</f>
        <v>#REF!</v>
      </c>
      <c r="F24" s="118" t="e">
        <f>+'GIA CONG ACRYLIC'!#REF!</f>
        <v>#REF!</v>
      </c>
      <c r="G24" s="118" t="e">
        <f>+'GIA CONG ACRYLIC'!#REF!</f>
        <v>#REF!</v>
      </c>
      <c r="H24" s="118" t="e">
        <f>+'GIA CONG ACRYLIC'!#REF!</f>
        <v>#REF!</v>
      </c>
      <c r="I24" s="118">
        <v>19</v>
      </c>
      <c r="J24" s="118">
        <v>2</v>
      </c>
      <c r="K24" s="118" t="e">
        <f>+'GIA CONG ACRYLIC'!#REF!</f>
        <v>#REF!</v>
      </c>
      <c r="L24" s="120" t="str">
        <f t="shared" si="2"/>
        <v>T</v>
      </c>
      <c r="M24" s="120" t="e">
        <f>IF('GIA CONG ACRYLIC'!#REF!='GIA CONG ACRYLIC'!#REF!,"V","T")</f>
        <v>#REF!</v>
      </c>
      <c r="N24" s="120" t="str">
        <f t="shared" si="3"/>
        <v>T</v>
      </c>
      <c r="O24" s="120" t="e">
        <f>IF('GIA CONG ACRYLIC'!#REF!='GIA CONG ACRYLIC'!#REF!,"V","T")</f>
        <v>#REF!</v>
      </c>
      <c r="P24" s="118">
        <v>1.0000000000000001E-5</v>
      </c>
      <c r="Q24" s="118">
        <v>1.0000000000000001E-5</v>
      </c>
      <c r="R24" s="118">
        <v>1.0000000000000001E-5</v>
      </c>
      <c r="S24" s="118">
        <v>1.0000000000000001E-5</v>
      </c>
      <c r="T24" s="121" t="e">
        <f>'GIA CONG ACRYLIC'!#REF!</f>
        <v>#REF!</v>
      </c>
    </row>
    <row r="25" spans="1:30" s="122" customFormat="1" ht="31.5" x14ac:dyDescent="0.25">
      <c r="A25" s="118" t="str">
        <f t="shared" si="0"/>
        <v>V</v>
      </c>
      <c r="B25" s="118" t="str">
        <f t="shared" si="1"/>
        <v>ACRILYC</v>
      </c>
      <c r="C25" s="119" t="str">
        <f>RIGHT('GIA CONG ACRYLIC'!$C$8,LEN('GIA CONG ACRYLIC'!$C$8)-LEN("Khách hàng: "))&amp;" "&amp;'GIA CONG ACRYLIC'!$H$7</f>
        <v>KH0663 - NT Tuấn (0973337761) L2345</v>
      </c>
      <c r="D25" s="118" t="e">
        <f>'GIA CONG ACRYLIC'!$H$7&amp;"."&amp;'GIA CONG ACRYLIC'!#REF!&amp;"."&amp;IF(LEN('GIA CONG ACRYLIC'!#REF!)=1,"00"&amp;'GIA CONG ACRYLIC'!#REF!,IF(LEN('GIA CONG ACRYLIC'!#REF!)=2,"0"&amp;'GIA CONG ACRYLIC'!#REF!,'GIA CONG ACRYLIC'!#REF!))</f>
        <v>#REF!</v>
      </c>
      <c r="E25" s="118" t="e">
        <f>IF('GIA CONG ACRYLIC'!#REF!=0,"",'GIA CONG ACRYLIC'!#REF!)</f>
        <v>#REF!</v>
      </c>
      <c r="F25" s="118" t="e">
        <f>+'GIA CONG ACRYLIC'!#REF!</f>
        <v>#REF!</v>
      </c>
      <c r="G25" s="118" t="e">
        <f>+'GIA CONG ACRYLIC'!#REF!</f>
        <v>#REF!</v>
      </c>
      <c r="H25" s="118" t="e">
        <f>+'GIA CONG ACRYLIC'!#REF!</f>
        <v>#REF!</v>
      </c>
      <c r="I25" s="118">
        <v>19</v>
      </c>
      <c r="J25" s="118">
        <v>2</v>
      </c>
      <c r="K25" s="118" t="e">
        <f>+'GIA CONG ACRYLIC'!#REF!</f>
        <v>#REF!</v>
      </c>
      <c r="L25" s="120" t="str">
        <f t="shared" si="2"/>
        <v>T</v>
      </c>
      <c r="M25" s="120" t="e">
        <f>IF('GIA CONG ACRYLIC'!#REF!='GIA CONG ACRYLIC'!#REF!,"V","T")</f>
        <v>#REF!</v>
      </c>
      <c r="N25" s="120" t="str">
        <f t="shared" si="3"/>
        <v>T</v>
      </c>
      <c r="O25" s="120" t="e">
        <f>IF('GIA CONG ACRYLIC'!#REF!='GIA CONG ACRYLIC'!#REF!,"V","T")</f>
        <v>#REF!</v>
      </c>
      <c r="P25" s="118">
        <v>1.0000000000000001E-5</v>
      </c>
      <c r="Q25" s="118">
        <v>1.0000000000000001E-5</v>
      </c>
      <c r="R25" s="118">
        <v>1.0000000000000001E-5</v>
      </c>
      <c r="S25" s="118">
        <v>1.0000000000000001E-5</v>
      </c>
      <c r="T25" s="121" t="e">
        <f>'GIA CONG ACRYLIC'!#REF!</f>
        <v>#REF!</v>
      </c>
    </row>
    <row r="26" spans="1:30" s="122" customFormat="1" ht="31.5" x14ac:dyDescent="0.25">
      <c r="A26" s="118" t="str">
        <f t="shared" si="0"/>
        <v>V</v>
      </c>
      <c r="B26" s="118" t="str">
        <f t="shared" si="1"/>
        <v>ACRILYC</v>
      </c>
      <c r="C26" s="119" t="str">
        <f>RIGHT('GIA CONG ACRYLIC'!$C$8,LEN('GIA CONG ACRYLIC'!$C$8)-LEN("Khách hàng: "))&amp;" "&amp;'GIA CONG ACRYLIC'!$H$7</f>
        <v>KH0663 - NT Tuấn (0973337761) L2345</v>
      </c>
      <c r="D26" s="118" t="e">
        <f>'GIA CONG ACRYLIC'!$H$7&amp;"."&amp;'GIA CONG ACRYLIC'!#REF!&amp;"."&amp;IF(LEN('GIA CONG ACRYLIC'!#REF!)=1,"00"&amp;'GIA CONG ACRYLIC'!#REF!,IF(LEN('GIA CONG ACRYLIC'!#REF!)=2,"0"&amp;'GIA CONG ACRYLIC'!#REF!,'GIA CONG ACRYLIC'!#REF!))</f>
        <v>#REF!</v>
      </c>
      <c r="E26" s="118" t="e">
        <f>IF('GIA CONG ACRYLIC'!#REF!=0,"",'GIA CONG ACRYLIC'!#REF!)</f>
        <v>#REF!</v>
      </c>
      <c r="F26" s="118" t="e">
        <f>+'GIA CONG ACRYLIC'!#REF!</f>
        <v>#REF!</v>
      </c>
      <c r="G26" s="118" t="e">
        <f>+'GIA CONG ACRYLIC'!#REF!</f>
        <v>#REF!</v>
      </c>
      <c r="H26" s="118" t="e">
        <f>+'GIA CONG ACRYLIC'!#REF!</f>
        <v>#REF!</v>
      </c>
      <c r="I26" s="118">
        <v>19</v>
      </c>
      <c r="J26" s="118">
        <v>2</v>
      </c>
      <c r="K26" s="118" t="e">
        <f>+'GIA CONG ACRYLIC'!#REF!</f>
        <v>#REF!</v>
      </c>
      <c r="L26" s="120" t="str">
        <f t="shared" si="2"/>
        <v>T</v>
      </c>
      <c r="M26" s="120" t="e">
        <f>IF('GIA CONG ACRYLIC'!#REF!='GIA CONG ACRYLIC'!#REF!,"V","T")</f>
        <v>#REF!</v>
      </c>
      <c r="N26" s="120" t="str">
        <f t="shared" si="3"/>
        <v>T</v>
      </c>
      <c r="O26" s="120" t="e">
        <f>IF('GIA CONG ACRYLIC'!#REF!='GIA CONG ACRYLIC'!#REF!,"V","T")</f>
        <v>#REF!</v>
      </c>
      <c r="P26" s="118">
        <v>1.0000000000000001E-5</v>
      </c>
      <c r="Q26" s="118">
        <v>1.0000000000000001E-5</v>
      </c>
      <c r="R26" s="118">
        <v>1.0000000000000001E-5</v>
      </c>
      <c r="S26" s="118">
        <v>1.0000000000000001E-5</v>
      </c>
      <c r="T26" s="121" t="e">
        <f>'GIA CONG ACRYLIC'!#REF!</f>
        <v>#REF!</v>
      </c>
    </row>
    <row r="27" spans="1:30" s="122" customFormat="1" ht="31.5" x14ac:dyDescent="0.25">
      <c r="A27" s="118" t="str">
        <f t="shared" si="0"/>
        <v>V</v>
      </c>
      <c r="B27" s="118" t="str">
        <f t="shared" si="1"/>
        <v>ACRILYC</v>
      </c>
      <c r="C27" s="119" t="str">
        <f>RIGHT('GIA CONG ACRYLIC'!$C$8,LEN('GIA CONG ACRYLIC'!$C$8)-LEN("Khách hàng: "))&amp;" "&amp;'GIA CONG ACRYLIC'!$H$7</f>
        <v>KH0663 - NT Tuấn (0973337761) L2345</v>
      </c>
      <c r="D27" s="118" t="e">
        <f>'GIA CONG ACRYLIC'!$H$7&amp;"."&amp;'GIA CONG ACRYLIC'!#REF!&amp;"."&amp;IF(LEN('GIA CONG ACRYLIC'!#REF!)=1,"00"&amp;'GIA CONG ACRYLIC'!#REF!,IF(LEN('GIA CONG ACRYLIC'!#REF!)=2,"0"&amp;'GIA CONG ACRYLIC'!#REF!,'GIA CONG ACRYLIC'!#REF!))</f>
        <v>#REF!</v>
      </c>
      <c r="E27" s="118" t="e">
        <f>IF('GIA CONG ACRYLIC'!#REF!=0,"",'GIA CONG ACRYLIC'!#REF!)</f>
        <v>#REF!</v>
      </c>
      <c r="F27" s="118" t="e">
        <f>+'GIA CONG ACRYLIC'!#REF!</f>
        <v>#REF!</v>
      </c>
      <c r="G27" s="118" t="e">
        <f>+'GIA CONG ACRYLIC'!#REF!</f>
        <v>#REF!</v>
      </c>
      <c r="H27" s="118" t="e">
        <f>+'GIA CONG ACRYLIC'!#REF!</f>
        <v>#REF!</v>
      </c>
      <c r="I27" s="118">
        <v>19</v>
      </c>
      <c r="J27" s="118">
        <v>2</v>
      </c>
      <c r="K27" s="118" t="e">
        <f>+'GIA CONG ACRYLIC'!#REF!</f>
        <v>#REF!</v>
      </c>
      <c r="L27" s="120" t="str">
        <f t="shared" si="2"/>
        <v>T</v>
      </c>
      <c r="M27" s="120" t="e">
        <f>IF('GIA CONG ACRYLIC'!#REF!='GIA CONG ACRYLIC'!#REF!,"V","T")</f>
        <v>#REF!</v>
      </c>
      <c r="N27" s="120" t="str">
        <f t="shared" si="3"/>
        <v>T</v>
      </c>
      <c r="O27" s="120" t="e">
        <f>IF('GIA CONG ACRYLIC'!#REF!='GIA CONG ACRYLIC'!#REF!,"V","T")</f>
        <v>#REF!</v>
      </c>
      <c r="P27" s="118">
        <v>1.0000000000000001E-5</v>
      </c>
      <c r="Q27" s="118">
        <v>1.0000000000000001E-5</v>
      </c>
      <c r="R27" s="118">
        <v>1.0000000000000001E-5</v>
      </c>
      <c r="S27" s="118">
        <v>1.0000000000000001E-5</v>
      </c>
      <c r="T27" s="121" t="e">
        <f>'GIA CONG ACRYLIC'!#REF!</f>
        <v>#REF!</v>
      </c>
      <c r="U27" s="122">
        <v>70</v>
      </c>
      <c r="V27" s="122">
        <v>70</v>
      </c>
      <c r="W27" s="122">
        <v>70</v>
      </c>
      <c r="X27" s="122">
        <v>70</v>
      </c>
      <c r="Y27" s="122">
        <v>60</v>
      </c>
      <c r="Z27" s="122">
        <v>60</v>
      </c>
      <c r="AA27" s="122">
        <v>60</v>
      </c>
      <c r="AB27" s="122">
        <v>60</v>
      </c>
      <c r="AC27" s="122">
        <v>10</v>
      </c>
      <c r="AD27" s="122">
        <v>6</v>
      </c>
    </row>
    <row r="28" spans="1:30" s="122" customFormat="1" ht="31.5" x14ac:dyDescent="0.25">
      <c r="A28" s="118" t="str">
        <f t="shared" si="0"/>
        <v>V</v>
      </c>
      <c r="B28" s="118" t="str">
        <f t="shared" si="1"/>
        <v>ACRILYC</v>
      </c>
      <c r="C28" s="119" t="str">
        <f>RIGHT('GIA CONG ACRYLIC'!$C$8,LEN('GIA CONG ACRYLIC'!$C$8)-LEN("Khách hàng: "))&amp;" "&amp;'GIA CONG ACRYLIC'!$H$7</f>
        <v>KH0663 - NT Tuấn (0973337761) L2345</v>
      </c>
      <c r="D28" s="118" t="e">
        <f>'GIA CONG ACRYLIC'!$H$7&amp;"."&amp;'GIA CONG ACRYLIC'!#REF!&amp;"."&amp;IF(LEN('GIA CONG ACRYLIC'!#REF!)=1,"00"&amp;'GIA CONG ACRYLIC'!#REF!,IF(LEN('GIA CONG ACRYLIC'!#REF!)=2,"0"&amp;'GIA CONG ACRYLIC'!#REF!,'GIA CONG ACRYLIC'!#REF!))</f>
        <v>#REF!</v>
      </c>
      <c r="E28" s="118" t="e">
        <f>IF('GIA CONG ACRYLIC'!#REF!=0,"",'GIA CONG ACRYLIC'!#REF!)</f>
        <v>#REF!</v>
      </c>
      <c r="F28" s="118" t="e">
        <f>+'GIA CONG ACRYLIC'!#REF!</f>
        <v>#REF!</v>
      </c>
      <c r="G28" s="118" t="e">
        <f>+'GIA CONG ACRYLIC'!#REF!</f>
        <v>#REF!</v>
      </c>
      <c r="H28" s="118" t="e">
        <f>+'GIA CONG ACRYLIC'!#REF!</f>
        <v>#REF!</v>
      </c>
      <c r="I28" s="118">
        <v>19</v>
      </c>
      <c r="J28" s="118">
        <v>2</v>
      </c>
      <c r="K28" s="118" t="e">
        <f>+'GIA CONG ACRYLIC'!#REF!</f>
        <v>#REF!</v>
      </c>
      <c r="L28" s="120" t="str">
        <f t="shared" si="2"/>
        <v>T</v>
      </c>
      <c r="M28" s="120" t="e">
        <f>IF('GIA CONG ACRYLIC'!#REF!='GIA CONG ACRYLIC'!#REF!,"V","T")</f>
        <v>#REF!</v>
      </c>
      <c r="N28" s="120" t="str">
        <f t="shared" si="3"/>
        <v>T</v>
      </c>
      <c r="O28" s="120" t="e">
        <f>IF('GIA CONG ACRYLIC'!#REF!='GIA CONG ACRYLIC'!#REF!,"V","T")</f>
        <v>#REF!</v>
      </c>
      <c r="P28" s="118">
        <v>1.0000000000000001E-5</v>
      </c>
      <c r="Q28" s="118">
        <v>1.0000000000000001E-5</v>
      </c>
      <c r="R28" s="118">
        <v>1.0000000000000001E-5</v>
      </c>
      <c r="S28" s="118">
        <v>1.0000000000000001E-5</v>
      </c>
      <c r="T28" s="121" t="e">
        <f>'GIA CONG ACRYLIC'!#REF!</f>
        <v>#REF!</v>
      </c>
      <c r="U28" s="122">
        <v>70</v>
      </c>
      <c r="V28" s="122">
        <v>70</v>
      </c>
      <c r="W28" s="122">
        <v>70</v>
      </c>
      <c r="X28" s="122">
        <v>70</v>
      </c>
      <c r="Y28" s="122">
        <v>60</v>
      </c>
      <c r="Z28" s="122">
        <v>60</v>
      </c>
      <c r="AA28" s="122">
        <v>60</v>
      </c>
      <c r="AB28" s="122">
        <v>60</v>
      </c>
      <c r="AC28" s="122">
        <v>10</v>
      </c>
      <c r="AD28" s="122">
        <v>6</v>
      </c>
    </row>
    <row r="29" spans="1:30" s="122" customFormat="1" ht="31.5" x14ac:dyDescent="0.25">
      <c r="A29" s="118" t="str">
        <f t="shared" si="0"/>
        <v>V</v>
      </c>
      <c r="B29" s="118" t="str">
        <f t="shared" si="1"/>
        <v>ACRILYC</v>
      </c>
      <c r="C29" s="119" t="str">
        <f>RIGHT('GIA CONG ACRYLIC'!$C$8,LEN('GIA CONG ACRYLIC'!$C$8)-LEN("Khách hàng: "))&amp;" "&amp;'GIA CONG ACRYLIC'!$H$7</f>
        <v>KH0663 - NT Tuấn (0973337761) L2345</v>
      </c>
      <c r="D29" s="118" t="e">
        <f>'GIA CONG ACRYLIC'!$H$7&amp;"."&amp;'GIA CONG ACRYLIC'!#REF!&amp;"."&amp;IF(LEN('GIA CONG ACRYLIC'!#REF!)=1,"00"&amp;'GIA CONG ACRYLIC'!#REF!,IF(LEN('GIA CONG ACRYLIC'!#REF!)=2,"0"&amp;'GIA CONG ACRYLIC'!#REF!,'GIA CONG ACRYLIC'!#REF!))</f>
        <v>#REF!</v>
      </c>
      <c r="E29" s="118" t="e">
        <f>IF('GIA CONG ACRYLIC'!#REF!=0,"",'GIA CONG ACRYLIC'!#REF!)</f>
        <v>#REF!</v>
      </c>
      <c r="F29" s="118" t="e">
        <f>+'GIA CONG ACRYLIC'!#REF!</f>
        <v>#REF!</v>
      </c>
      <c r="G29" s="118" t="e">
        <f>+'GIA CONG ACRYLIC'!#REF!</f>
        <v>#REF!</v>
      </c>
      <c r="H29" s="118" t="e">
        <f>+'GIA CONG ACRYLIC'!#REF!</f>
        <v>#REF!</v>
      </c>
      <c r="I29" s="118">
        <v>19</v>
      </c>
      <c r="J29" s="118">
        <v>2</v>
      </c>
      <c r="K29" s="118" t="e">
        <f>+'GIA CONG ACRYLIC'!#REF!</f>
        <v>#REF!</v>
      </c>
      <c r="L29" s="120" t="str">
        <f t="shared" si="2"/>
        <v>T</v>
      </c>
      <c r="M29" s="120" t="e">
        <f>IF('GIA CONG ACRYLIC'!#REF!='GIA CONG ACRYLIC'!#REF!,"V","T")</f>
        <v>#REF!</v>
      </c>
      <c r="N29" s="120" t="str">
        <f t="shared" si="3"/>
        <v>T</v>
      </c>
      <c r="O29" s="120" t="e">
        <f>IF('GIA CONG ACRYLIC'!#REF!='GIA CONG ACRYLIC'!#REF!,"V","T")</f>
        <v>#REF!</v>
      </c>
      <c r="P29" s="118">
        <v>1.0000000000000001E-5</v>
      </c>
      <c r="Q29" s="118">
        <v>1.0000000000000001E-5</v>
      </c>
      <c r="R29" s="118">
        <v>1.0000000000000001E-5</v>
      </c>
      <c r="S29" s="118">
        <v>1.0000000000000001E-5</v>
      </c>
      <c r="T29" s="121" t="e">
        <f>'GIA CONG ACRYLIC'!#REF!</f>
        <v>#REF!</v>
      </c>
      <c r="U29" s="122">
        <v>70</v>
      </c>
      <c r="V29" s="122">
        <v>70</v>
      </c>
      <c r="W29" s="122">
        <v>70</v>
      </c>
      <c r="X29" s="122">
        <v>70</v>
      </c>
      <c r="Y29" s="122">
        <v>60</v>
      </c>
      <c r="Z29" s="122">
        <v>60</v>
      </c>
      <c r="AA29" s="122">
        <v>60</v>
      </c>
      <c r="AB29" s="122">
        <v>60</v>
      </c>
      <c r="AC29" s="122">
        <v>10</v>
      </c>
      <c r="AD29" s="122">
        <v>6</v>
      </c>
    </row>
    <row r="30" spans="1:30" s="122" customFormat="1" ht="31.5" x14ac:dyDescent="0.25">
      <c r="A30" s="118" t="str">
        <f t="shared" si="0"/>
        <v>V</v>
      </c>
      <c r="B30" s="118" t="str">
        <f t="shared" si="1"/>
        <v>ACRILYC</v>
      </c>
      <c r="C30" s="119" t="str">
        <f>RIGHT('GIA CONG ACRYLIC'!$C$8,LEN('GIA CONG ACRYLIC'!$C$8)-LEN("Khách hàng: "))&amp;" "&amp;'GIA CONG ACRYLIC'!$H$7</f>
        <v>KH0663 - NT Tuấn (0973337761) L2345</v>
      </c>
      <c r="D30" s="118" t="e">
        <f>'GIA CONG ACRYLIC'!$H$7&amp;"."&amp;'GIA CONG ACRYLIC'!#REF!&amp;"."&amp;IF(LEN('GIA CONG ACRYLIC'!#REF!)=1,"00"&amp;'GIA CONG ACRYLIC'!#REF!,IF(LEN('GIA CONG ACRYLIC'!#REF!)=2,"0"&amp;'GIA CONG ACRYLIC'!#REF!,'GIA CONG ACRYLIC'!#REF!))</f>
        <v>#REF!</v>
      </c>
      <c r="E30" s="118" t="e">
        <f>IF('GIA CONG ACRYLIC'!#REF!=0,"",'GIA CONG ACRYLIC'!#REF!)</f>
        <v>#REF!</v>
      </c>
      <c r="F30" s="118" t="e">
        <f>+'GIA CONG ACRYLIC'!#REF!</f>
        <v>#REF!</v>
      </c>
      <c r="G30" s="118" t="e">
        <f>+'GIA CONG ACRYLIC'!#REF!</f>
        <v>#REF!</v>
      </c>
      <c r="H30" s="118" t="e">
        <f>+'GIA CONG ACRYLIC'!#REF!</f>
        <v>#REF!</v>
      </c>
      <c r="I30" s="118">
        <v>19</v>
      </c>
      <c r="J30" s="118">
        <v>2</v>
      </c>
      <c r="K30" s="118" t="e">
        <f>+'GIA CONG ACRYLIC'!#REF!</f>
        <v>#REF!</v>
      </c>
      <c r="L30" s="120" t="str">
        <f t="shared" si="2"/>
        <v>T</v>
      </c>
      <c r="M30" s="120" t="e">
        <f>IF('GIA CONG ACRYLIC'!#REF!='GIA CONG ACRYLIC'!#REF!,"V","T")</f>
        <v>#REF!</v>
      </c>
      <c r="N30" s="120" t="str">
        <f t="shared" si="3"/>
        <v>T</v>
      </c>
      <c r="O30" s="120" t="e">
        <f>IF('GIA CONG ACRYLIC'!#REF!='GIA CONG ACRYLIC'!#REF!,"V","T")</f>
        <v>#REF!</v>
      </c>
      <c r="P30" s="118">
        <v>1.0000000000000001E-5</v>
      </c>
      <c r="Q30" s="118">
        <v>1.0000000000000001E-5</v>
      </c>
      <c r="R30" s="118">
        <v>1.0000000000000001E-5</v>
      </c>
      <c r="S30" s="118">
        <v>1.0000000000000001E-5</v>
      </c>
      <c r="T30" s="121" t="e">
        <f>'GIA CONG ACRYLIC'!#REF!</f>
        <v>#REF!</v>
      </c>
      <c r="U30" s="122">
        <v>70</v>
      </c>
      <c r="V30" s="122">
        <v>70</v>
      </c>
      <c r="W30" s="122">
        <v>70</v>
      </c>
      <c r="X30" s="122">
        <v>70</v>
      </c>
      <c r="Y30" s="122">
        <v>60</v>
      </c>
      <c r="Z30" s="122">
        <v>60</v>
      </c>
      <c r="AA30" s="122">
        <v>60</v>
      </c>
      <c r="AB30" s="122">
        <v>60</v>
      </c>
      <c r="AC30" s="122">
        <v>10</v>
      </c>
      <c r="AD30" s="122">
        <v>6</v>
      </c>
    </row>
    <row r="31" spans="1:30" s="122" customFormat="1" ht="31.5" x14ac:dyDescent="0.25">
      <c r="A31" s="118" t="str">
        <f t="shared" si="0"/>
        <v>V</v>
      </c>
      <c r="B31" s="118" t="str">
        <f t="shared" si="1"/>
        <v>ACRILYC</v>
      </c>
      <c r="C31" s="119" t="str">
        <f>RIGHT('GIA CONG ACRYLIC'!$C$8,LEN('GIA CONG ACRYLIC'!$C$8)-LEN("Khách hàng: "))&amp;" "&amp;'GIA CONG ACRYLIC'!$H$7</f>
        <v>KH0663 - NT Tuấn (0973337761) L2345</v>
      </c>
      <c r="D31" s="118" t="e">
        <f>'GIA CONG ACRYLIC'!$H$7&amp;"."&amp;'GIA CONG ACRYLIC'!#REF!&amp;"."&amp;IF(LEN('GIA CONG ACRYLIC'!#REF!)=1,"00"&amp;'GIA CONG ACRYLIC'!#REF!,IF(LEN('GIA CONG ACRYLIC'!#REF!)=2,"0"&amp;'GIA CONG ACRYLIC'!#REF!,'GIA CONG ACRYLIC'!#REF!))</f>
        <v>#REF!</v>
      </c>
      <c r="E31" s="118" t="e">
        <f>IF('GIA CONG ACRYLIC'!#REF!=0,"",'GIA CONG ACRYLIC'!#REF!)</f>
        <v>#REF!</v>
      </c>
      <c r="F31" s="118" t="e">
        <f>+'GIA CONG ACRYLIC'!#REF!</f>
        <v>#REF!</v>
      </c>
      <c r="G31" s="118" t="e">
        <f>+'GIA CONG ACRYLIC'!#REF!</f>
        <v>#REF!</v>
      </c>
      <c r="H31" s="118" t="e">
        <f>+'GIA CONG ACRYLIC'!#REF!</f>
        <v>#REF!</v>
      </c>
      <c r="I31" s="118">
        <v>19</v>
      </c>
      <c r="J31" s="118">
        <v>2</v>
      </c>
      <c r="K31" s="118" t="e">
        <f>+'GIA CONG ACRYLIC'!#REF!</f>
        <v>#REF!</v>
      </c>
      <c r="L31" s="120" t="str">
        <f t="shared" si="2"/>
        <v>T</v>
      </c>
      <c r="M31" s="120" t="e">
        <f>IF('GIA CONG ACRYLIC'!#REF!='GIA CONG ACRYLIC'!#REF!,"V","T")</f>
        <v>#REF!</v>
      </c>
      <c r="N31" s="120" t="str">
        <f t="shared" si="3"/>
        <v>T</v>
      </c>
      <c r="O31" s="120" t="e">
        <f>IF('GIA CONG ACRYLIC'!#REF!='GIA CONG ACRYLIC'!#REF!,"V","T")</f>
        <v>#REF!</v>
      </c>
      <c r="P31" s="118">
        <v>1.0000000000000001E-5</v>
      </c>
      <c r="Q31" s="118">
        <v>1.0000000000000001E-5</v>
      </c>
      <c r="R31" s="118">
        <v>1.0000000000000001E-5</v>
      </c>
      <c r="S31" s="118">
        <v>1.0000000000000001E-5</v>
      </c>
      <c r="T31" s="121" t="e">
        <f>'GIA CONG ACRYLIC'!#REF!</f>
        <v>#REF!</v>
      </c>
    </row>
    <row r="32" spans="1:30" s="122" customFormat="1" ht="31.5" x14ac:dyDescent="0.25">
      <c r="A32" s="118" t="str">
        <f t="shared" si="0"/>
        <v>V</v>
      </c>
      <c r="B32" s="118" t="str">
        <f t="shared" si="1"/>
        <v>ACRILYC</v>
      </c>
      <c r="C32" s="119" t="str">
        <f>RIGHT('GIA CONG ACRYLIC'!$C$8,LEN('GIA CONG ACRYLIC'!$C$8)-LEN("Khách hàng: "))&amp;" "&amp;'GIA CONG ACRYLIC'!$H$7</f>
        <v>KH0663 - NT Tuấn (0973337761) L2345</v>
      </c>
      <c r="D32" s="118" t="e">
        <f>'GIA CONG ACRYLIC'!$H$7&amp;"."&amp;'GIA CONG ACRYLIC'!#REF!&amp;"."&amp;IF(LEN('GIA CONG ACRYLIC'!#REF!)=1,"00"&amp;'GIA CONG ACRYLIC'!#REF!,IF(LEN('GIA CONG ACRYLIC'!#REF!)=2,"0"&amp;'GIA CONG ACRYLIC'!#REF!,'GIA CONG ACRYLIC'!#REF!))</f>
        <v>#REF!</v>
      </c>
      <c r="E32" s="118" t="e">
        <f>IF('GIA CONG ACRYLIC'!#REF!=0,"",'GIA CONG ACRYLIC'!#REF!)</f>
        <v>#REF!</v>
      </c>
      <c r="F32" s="118" t="e">
        <f>+'GIA CONG ACRYLIC'!#REF!</f>
        <v>#REF!</v>
      </c>
      <c r="G32" s="118" t="e">
        <f>+'GIA CONG ACRYLIC'!#REF!</f>
        <v>#REF!</v>
      </c>
      <c r="H32" s="118" t="e">
        <f>+'GIA CONG ACRYLIC'!#REF!</f>
        <v>#REF!</v>
      </c>
      <c r="I32" s="118">
        <v>19</v>
      </c>
      <c r="J32" s="118">
        <v>2</v>
      </c>
      <c r="K32" s="118" t="e">
        <f>+'GIA CONG ACRYLIC'!#REF!</f>
        <v>#REF!</v>
      </c>
      <c r="L32" s="120" t="str">
        <f t="shared" si="2"/>
        <v>T</v>
      </c>
      <c r="M32" s="120" t="e">
        <f>IF('GIA CONG ACRYLIC'!#REF!='GIA CONG ACRYLIC'!#REF!,"V","T")</f>
        <v>#REF!</v>
      </c>
      <c r="N32" s="120" t="str">
        <f t="shared" si="3"/>
        <v>T</v>
      </c>
      <c r="O32" s="120" t="e">
        <f>IF('GIA CONG ACRYLIC'!#REF!='GIA CONG ACRYLIC'!#REF!,"V","T")</f>
        <v>#REF!</v>
      </c>
      <c r="P32" s="118">
        <v>1.0000000000000001E-5</v>
      </c>
      <c r="Q32" s="118">
        <v>1.0000000000000001E-5</v>
      </c>
      <c r="R32" s="118">
        <v>1.0000000000000001E-5</v>
      </c>
      <c r="S32" s="118">
        <v>1.0000000000000001E-5</v>
      </c>
      <c r="T32" s="121" t="e">
        <f>'GIA CONG ACRYLIC'!#REF!</f>
        <v>#REF!</v>
      </c>
    </row>
    <row r="33" spans="1:30" s="122" customFormat="1" ht="31.5" x14ac:dyDescent="0.25">
      <c r="A33" s="118" t="str">
        <f t="shared" si="0"/>
        <v>V</v>
      </c>
      <c r="B33" s="118" t="str">
        <f t="shared" si="1"/>
        <v>ACRILYC</v>
      </c>
      <c r="C33" s="119" t="str">
        <f>RIGHT('GIA CONG ACRYLIC'!$C$8,LEN('GIA CONG ACRYLIC'!$C$8)-LEN("Khách hàng: "))&amp;" "&amp;'GIA CONG ACRYLIC'!$H$7</f>
        <v>KH0663 - NT Tuấn (0973337761) L2345</v>
      </c>
      <c r="D33" s="118" t="e">
        <f>'GIA CONG ACRYLIC'!$H$7&amp;"."&amp;'GIA CONG ACRYLIC'!#REF!&amp;"."&amp;IF(LEN('GIA CONG ACRYLIC'!#REF!)=1,"00"&amp;'GIA CONG ACRYLIC'!#REF!,IF(LEN('GIA CONG ACRYLIC'!#REF!)=2,"0"&amp;'GIA CONG ACRYLIC'!#REF!,'GIA CONG ACRYLIC'!#REF!))</f>
        <v>#REF!</v>
      </c>
      <c r="E33" s="118" t="e">
        <f>IF('GIA CONG ACRYLIC'!#REF!=0,"",'GIA CONG ACRYLIC'!#REF!)</f>
        <v>#REF!</v>
      </c>
      <c r="F33" s="118" t="e">
        <f>+'GIA CONG ACRYLIC'!#REF!</f>
        <v>#REF!</v>
      </c>
      <c r="G33" s="118" t="e">
        <f>+'GIA CONG ACRYLIC'!#REF!</f>
        <v>#REF!</v>
      </c>
      <c r="H33" s="118" t="e">
        <f>+'GIA CONG ACRYLIC'!#REF!</f>
        <v>#REF!</v>
      </c>
      <c r="I33" s="118">
        <v>19</v>
      </c>
      <c r="J33" s="118">
        <v>2</v>
      </c>
      <c r="K33" s="118" t="e">
        <f>+'GIA CONG ACRYLIC'!#REF!</f>
        <v>#REF!</v>
      </c>
      <c r="L33" s="120" t="str">
        <f t="shared" si="2"/>
        <v>T</v>
      </c>
      <c r="M33" s="120" t="e">
        <f>IF('GIA CONG ACRYLIC'!#REF!='GIA CONG ACRYLIC'!#REF!,"V","T")</f>
        <v>#REF!</v>
      </c>
      <c r="N33" s="120" t="str">
        <f t="shared" si="3"/>
        <v>T</v>
      </c>
      <c r="O33" s="120" t="e">
        <f>IF('GIA CONG ACRYLIC'!#REF!='GIA CONG ACRYLIC'!#REF!,"V","T")</f>
        <v>#REF!</v>
      </c>
      <c r="P33" s="118">
        <v>1.0000000000000001E-5</v>
      </c>
      <c r="Q33" s="118">
        <v>1.0000000000000001E-5</v>
      </c>
      <c r="R33" s="118">
        <v>1.0000000000000001E-5</v>
      </c>
      <c r="S33" s="118">
        <v>1.0000000000000001E-5</v>
      </c>
      <c r="T33" s="121" t="e">
        <f>'GIA CONG ACRYLIC'!#REF!</f>
        <v>#REF!</v>
      </c>
    </row>
    <row r="34" spans="1:30" s="122" customFormat="1" ht="31.5" x14ac:dyDescent="0.25">
      <c r="A34" s="118" t="str">
        <f t="shared" si="0"/>
        <v>V</v>
      </c>
      <c r="B34" s="118" t="str">
        <f t="shared" si="1"/>
        <v>ACRILYC</v>
      </c>
      <c r="C34" s="119" t="str">
        <f>RIGHT('GIA CONG ACRYLIC'!$C$8,LEN('GIA CONG ACRYLIC'!$C$8)-LEN("Khách hàng: "))&amp;" "&amp;'GIA CONG ACRYLIC'!$H$7</f>
        <v>KH0663 - NT Tuấn (0973337761) L2345</v>
      </c>
      <c r="D34" s="118" t="e">
        <f>'GIA CONG ACRYLIC'!$H$7&amp;"."&amp;'GIA CONG ACRYLIC'!#REF!&amp;"."&amp;IF(LEN('GIA CONG ACRYLIC'!#REF!)=1,"00"&amp;'GIA CONG ACRYLIC'!#REF!,IF(LEN('GIA CONG ACRYLIC'!#REF!)=2,"0"&amp;'GIA CONG ACRYLIC'!#REF!,'GIA CONG ACRYLIC'!#REF!))</f>
        <v>#REF!</v>
      </c>
      <c r="E34" s="118" t="e">
        <f>IF('GIA CONG ACRYLIC'!#REF!=0,"",'GIA CONG ACRYLIC'!#REF!)</f>
        <v>#REF!</v>
      </c>
      <c r="F34" s="118" t="e">
        <f>+'GIA CONG ACRYLIC'!#REF!</f>
        <v>#REF!</v>
      </c>
      <c r="G34" s="118" t="e">
        <f>+'GIA CONG ACRYLIC'!#REF!</f>
        <v>#REF!</v>
      </c>
      <c r="H34" s="118" t="e">
        <f>+'GIA CONG ACRYLIC'!#REF!</f>
        <v>#REF!</v>
      </c>
      <c r="I34" s="118">
        <v>19</v>
      </c>
      <c r="J34" s="118">
        <v>2</v>
      </c>
      <c r="K34" s="118" t="e">
        <f>+'GIA CONG ACRYLIC'!#REF!</f>
        <v>#REF!</v>
      </c>
      <c r="L34" s="120" t="str">
        <f t="shared" si="2"/>
        <v>T</v>
      </c>
      <c r="M34" s="120" t="e">
        <f>IF('GIA CONG ACRYLIC'!#REF!='GIA CONG ACRYLIC'!#REF!,"V","T")</f>
        <v>#REF!</v>
      </c>
      <c r="N34" s="120" t="str">
        <f t="shared" si="3"/>
        <v>T</v>
      </c>
      <c r="O34" s="120" t="e">
        <f>IF('GIA CONG ACRYLIC'!#REF!='GIA CONG ACRYLIC'!#REF!,"V","T")</f>
        <v>#REF!</v>
      </c>
      <c r="P34" s="118">
        <v>1.0000000000000001E-5</v>
      </c>
      <c r="Q34" s="118">
        <v>1.0000000000000001E-5</v>
      </c>
      <c r="R34" s="118">
        <v>1.0000000000000001E-5</v>
      </c>
      <c r="S34" s="118">
        <v>1.0000000000000001E-5</v>
      </c>
      <c r="T34" s="121" t="e">
        <f>'GIA CONG ACRYLIC'!#REF!</f>
        <v>#REF!</v>
      </c>
      <c r="U34" s="122">
        <v>70</v>
      </c>
      <c r="V34" s="122">
        <v>70</v>
      </c>
      <c r="W34" s="122">
        <v>70</v>
      </c>
      <c r="X34" s="122">
        <v>70</v>
      </c>
      <c r="Y34" s="122">
        <v>60</v>
      </c>
      <c r="Z34" s="122">
        <v>60</v>
      </c>
      <c r="AA34" s="122">
        <v>60</v>
      </c>
      <c r="AB34" s="122">
        <v>60</v>
      </c>
      <c r="AC34" s="122">
        <v>10</v>
      </c>
      <c r="AD34" s="122">
        <v>6</v>
      </c>
    </row>
  </sheetData>
  <pageMargins left="0.7" right="0.7" top="0.75" bottom="0.75" header="0.3" footer="0.3"/>
  <pageSetup paperSize="257" orientation="portrait" horizontalDpi="203" verticalDpi="203"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GIA CONG ACRYLIC</vt:lpstr>
      <vt:lpstr>LENH GIA CONG TAM</vt:lpstr>
      <vt:lpstr>DH LEN PHAN MEM</vt:lpstr>
      <vt:lpstr>BAZIS</vt:lpstr>
      <vt:lpstr>BAZIS-PM</vt:lpstr>
      <vt:lpstr>'GIA CONG ACRYLIC'!Print_Area</vt:lpstr>
      <vt:lpstr>'LENH GIA CONG TAM'!Print_Area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10</cp:lastModifiedBy>
  <cp:lastPrinted>2025-09-09T11:00:03Z</cp:lastPrinted>
  <dcterms:created xsi:type="dcterms:W3CDTF">2019-03-01T08:17:59Z</dcterms:created>
  <dcterms:modified xsi:type="dcterms:W3CDTF">2026-05-05T03:55:18Z</dcterms:modified>
</cp:coreProperties>
</file>