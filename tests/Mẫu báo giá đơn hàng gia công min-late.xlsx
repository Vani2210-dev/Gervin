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10.TQ\Desktop\"/>
    </mc:Choice>
  </mc:AlternateContent>
  <bookViews>
    <workbookView xWindow="0" yWindow="0" windowWidth="28710" windowHeight="12120" tabRatio="895"/>
  </bookViews>
  <sheets>
    <sheet name="GIA CONG LAMINATE" sheetId="18" r:id="rId1"/>
    <sheet name="LENH GIA CONG TAM" sheetId="21" r:id="rId2"/>
    <sheet name="DH" sheetId="22" r:id="rId3"/>
  </sheets>
  <definedNames>
    <definedName name="_xlnm.Print_Area" localSheetId="1">'LENH GIA CONG TAM'!$A$1:$J$36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0" i="18" l="1"/>
  <c r="S68" i="18"/>
  <c r="P68" i="18"/>
  <c r="O68" i="18"/>
  <c r="N68" i="18"/>
  <c r="M68" i="18"/>
  <c r="Q68" i="18" s="1"/>
  <c r="H68" i="18"/>
  <c r="S67" i="18"/>
  <c r="H67" i="18" s="1"/>
  <c r="Q67" i="18"/>
  <c r="P67" i="18"/>
  <c r="O67" i="18"/>
  <c r="N67" i="18"/>
  <c r="M67" i="18"/>
  <c r="S66" i="18"/>
  <c r="Q66" i="18"/>
  <c r="P66" i="18"/>
  <c r="O66" i="18"/>
  <c r="N66" i="18"/>
  <c r="M66" i="18"/>
  <c r="H66" i="18"/>
  <c r="S65" i="18"/>
  <c r="Q65" i="18"/>
  <c r="P65" i="18"/>
  <c r="O65" i="18"/>
  <c r="N65" i="18"/>
  <c r="M65" i="18"/>
  <c r="H65" i="18"/>
  <c r="S64" i="18"/>
  <c r="P64" i="18"/>
  <c r="O64" i="18"/>
  <c r="N64" i="18"/>
  <c r="M64" i="18"/>
  <c r="Q64" i="18" s="1"/>
  <c r="H64" i="18"/>
  <c r="S63" i="18"/>
  <c r="H63" i="18" s="1"/>
  <c r="Q63" i="18"/>
  <c r="P63" i="18"/>
  <c r="O63" i="18"/>
  <c r="N63" i="18"/>
  <c r="M63" i="18"/>
  <c r="S62" i="18"/>
  <c r="H62" i="18" s="1"/>
  <c r="Q62" i="18"/>
  <c r="P62" i="18"/>
  <c r="O62" i="18"/>
  <c r="N62" i="18"/>
  <c r="M62" i="18"/>
  <c r="S61" i="18"/>
  <c r="P61" i="18"/>
  <c r="O61" i="18"/>
  <c r="N61" i="18"/>
  <c r="M61" i="18"/>
  <c r="Q61" i="18" s="1"/>
  <c r="H61" i="18"/>
  <c r="S60" i="18"/>
  <c r="H60" i="18" s="1"/>
  <c r="Q60" i="18"/>
  <c r="P60" i="18"/>
  <c r="O60" i="18"/>
  <c r="N60" i="18"/>
  <c r="M60" i="18"/>
  <c r="S59" i="18"/>
  <c r="H59" i="18" s="1"/>
  <c r="P59" i="18"/>
  <c r="O59" i="18"/>
  <c r="N59" i="18"/>
  <c r="M59" i="18"/>
  <c r="Q59" i="18" s="1"/>
  <c r="S58" i="18"/>
  <c r="H58" i="18" s="1"/>
  <c r="P58" i="18"/>
  <c r="O58" i="18"/>
  <c r="N58" i="18"/>
  <c r="M58" i="18"/>
  <c r="Q58" i="18" s="1"/>
  <c r="S57" i="18"/>
  <c r="P57" i="18"/>
  <c r="O57" i="18"/>
  <c r="N57" i="18"/>
  <c r="M57" i="18"/>
  <c r="Q57" i="18" s="1"/>
  <c r="H57" i="18"/>
  <c r="S56" i="18"/>
  <c r="P56" i="18"/>
  <c r="O56" i="18"/>
  <c r="N56" i="18"/>
  <c r="M56" i="18"/>
  <c r="Q56" i="18" s="1"/>
  <c r="H56" i="18"/>
  <c r="S55" i="18"/>
  <c r="H55" i="18" s="1"/>
  <c r="Q55" i="18"/>
  <c r="P55" i="18"/>
  <c r="O55" i="18"/>
  <c r="N55" i="18"/>
  <c r="M55" i="18"/>
  <c r="S54" i="18"/>
  <c r="P54" i="18"/>
  <c r="O54" i="18"/>
  <c r="N54" i="18"/>
  <c r="M54" i="18"/>
  <c r="Q54" i="18" s="1"/>
  <c r="H54" i="18"/>
  <c r="S53" i="18"/>
  <c r="Q53" i="18"/>
  <c r="P53" i="18"/>
  <c r="O53" i="18"/>
  <c r="N53" i="18"/>
  <c r="M53" i="18"/>
  <c r="H53" i="18"/>
  <c r="S52" i="18"/>
  <c r="P52" i="18"/>
  <c r="O52" i="18"/>
  <c r="N52" i="18"/>
  <c r="M52" i="18"/>
  <c r="Q52" i="18" s="1"/>
  <c r="H52" i="18"/>
  <c r="S51" i="18"/>
  <c r="H51" i="18" s="1"/>
  <c r="P51" i="18"/>
  <c r="O51" i="18"/>
  <c r="N51" i="18"/>
  <c r="M51" i="18"/>
  <c r="Q51" i="18" s="1"/>
  <c r="S50" i="18"/>
  <c r="H50" i="18" s="1"/>
  <c r="Q50" i="18"/>
  <c r="P50" i="18"/>
  <c r="O50" i="18"/>
  <c r="N50" i="18"/>
  <c r="M50" i="18"/>
  <c r="S49" i="18"/>
  <c r="P49" i="18"/>
  <c r="O49" i="18"/>
  <c r="N49" i="18"/>
  <c r="M49" i="18"/>
  <c r="Q49" i="18" s="1"/>
  <c r="H49" i="18"/>
  <c r="S48" i="18"/>
  <c r="H48" i="18" s="1"/>
  <c r="Q48" i="18"/>
  <c r="P48" i="18"/>
  <c r="O48" i="18"/>
  <c r="N48" i="18"/>
  <c r="M48" i="18"/>
  <c r="S47" i="18"/>
  <c r="H47" i="18" s="1"/>
  <c r="P47" i="18"/>
  <c r="O47" i="18"/>
  <c r="N47" i="18"/>
  <c r="M47" i="18"/>
  <c r="Q47" i="18" s="1"/>
  <c r="S46" i="18"/>
  <c r="H46" i="18" s="1"/>
  <c r="P46" i="18"/>
  <c r="O46" i="18"/>
  <c r="N46" i="18"/>
  <c r="M46" i="18"/>
  <c r="Q46" i="18" s="1"/>
  <c r="S45" i="18"/>
  <c r="P45" i="18"/>
  <c r="O45" i="18"/>
  <c r="N45" i="18"/>
  <c r="M45" i="18"/>
  <c r="Q45" i="18" s="1"/>
  <c r="H45" i="18"/>
  <c r="S44" i="18"/>
  <c r="Q44" i="18"/>
  <c r="P44" i="18"/>
  <c r="O44" i="18"/>
  <c r="N44" i="18"/>
  <c r="M44" i="18"/>
  <c r="H44" i="18"/>
  <c r="S43" i="18"/>
  <c r="H43" i="18" s="1"/>
  <c r="Q43" i="18"/>
  <c r="P43" i="18"/>
  <c r="O43" i="18"/>
  <c r="N43" i="18"/>
  <c r="M43" i="18"/>
  <c r="S42" i="18"/>
  <c r="P42" i="18"/>
  <c r="O42" i="18"/>
  <c r="N42" i="18"/>
  <c r="M42" i="18"/>
  <c r="Q42" i="18" s="1"/>
  <c r="H42" i="18"/>
  <c r="S41" i="18"/>
  <c r="Q41" i="18"/>
  <c r="P41" i="18"/>
  <c r="O41" i="18"/>
  <c r="N41" i="18"/>
  <c r="M41" i="18"/>
  <c r="H41" i="18"/>
  <c r="S40" i="18"/>
  <c r="P40" i="18"/>
  <c r="O40" i="18"/>
  <c r="N40" i="18"/>
  <c r="M40" i="18"/>
  <c r="Q40" i="18" s="1"/>
  <c r="H40" i="18"/>
  <c r="S39" i="18"/>
  <c r="H39" i="18" s="1"/>
  <c r="P39" i="18"/>
  <c r="O39" i="18"/>
  <c r="N39" i="18"/>
  <c r="M39" i="18"/>
  <c r="Q39" i="18" s="1"/>
  <c r="S38" i="18"/>
  <c r="H38" i="18" s="1"/>
  <c r="Q38" i="18"/>
  <c r="P38" i="18"/>
  <c r="O38" i="18"/>
  <c r="N38" i="18"/>
  <c r="M38" i="18"/>
  <c r="S37" i="18"/>
  <c r="P37" i="18"/>
  <c r="O37" i="18"/>
  <c r="N37" i="18"/>
  <c r="M37" i="18"/>
  <c r="Q37" i="18" s="1"/>
  <c r="H37" i="18"/>
  <c r="S36" i="18"/>
  <c r="H36" i="18" s="1"/>
  <c r="Q36" i="18"/>
  <c r="P36" i="18"/>
  <c r="O36" i="18"/>
  <c r="N36" i="18"/>
  <c r="M36" i="18"/>
  <c r="S35" i="18"/>
  <c r="H35" i="18" s="1"/>
  <c r="P35" i="18"/>
  <c r="O35" i="18"/>
  <c r="N35" i="18"/>
  <c r="M35" i="18"/>
  <c r="Q35" i="18" s="1"/>
  <c r="S34" i="18"/>
  <c r="H34" i="18" s="1"/>
  <c r="P34" i="18"/>
  <c r="O34" i="18"/>
  <c r="N34" i="18"/>
  <c r="M34" i="18"/>
  <c r="Q34" i="18" s="1"/>
  <c r="S33" i="18"/>
  <c r="P33" i="18"/>
  <c r="O33" i="18"/>
  <c r="N33" i="18"/>
  <c r="M33" i="18"/>
  <c r="Q33" i="18" s="1"/>
  <c r="H33" i="18"/>
  <c r="S32" i="18"/>
  <c r="Q32" i="18"/>
  <c r="P32" i="18"/>
  <c r="O32" i="18"/>
  <c r="N32" i="18"/>
  <c r="M32" i="18"/>
  <c r="H32" i="18"/>
  <c r="S31" i="18"/>
  <c r="H31" i="18" s="1"/>
  <c r="Q31" i="18"/>
  <c r="P31" i="18"/>
  <c r="O31" i="18"/>
  <c r="N31" i="18"/>
  <c r="M31" i="18"/>
  <c r="S30" i="18"/>
  <c r="P30" i="18"/>
  <c r="O30" i="18"/>
  <c r="N30" i="18"/>
  <c r="M30" i="18"/>
  <c r="Q30" i="18" s="1"/>
  <c r="H30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15" i="18"/>
  <c r="S16" i="18"/>
  <c r="S17" i="18"/>
  <c r="S18" i="18"/>
  <c r="S19" i="18"/>
  <c r="S20" i="18"/>
  <c r="S21" i="18"/>
  <c r="S22" i="18"/>
  <c r="S23" i="18"/>
  <c r="S24" i="18"/>
  <c r="S25" i="18"/>
  <c r="S26" i="18"/>
  <c r="S27" i="18"/>
  <c r="S28" i="18"/>
  <c r="S15" i="18"/>
  <c r="A13" i="21" l="1"/>
  <c r="C13" i="21"/>
  <c r="F13" i="21"/>
  <c r="A14" i="21"/>
  <c r="B14" i="21"/>
  <c r="C14" i="21"/>
  <c r="F14" i="21"/>
  <c r="A15" i="21"/>
  <c r="B15" i="21"/>
  <c r="C15" i="21"/>
  <c r="A16" i="21"/>
  <c r="B16" i="21"/>
  <c r="C16" i="21"/>
  <c r="A17" i="21"/>
  <c r="B17" i="21"/>
  <c r="C17" i="21"/>
  <c r="A18" i="21"/>
  <c r="B18" i="21"/>
  <c r="C18" i="21"/>
  <c r="F18" i="21"/>
  <c r="A19" i="21"/>
  <c r="B19" i="21"/>
  <c r="C19" i="21"/>
  <c r="F19" i="21"/>
  <c r="R71" i="18" l="1"/>
  <c r="R77" i="18"/>
  <c r="G13" i="18" l="1"/>
  <c r="D71" i="18"/>
  <c r="B13" i="21" s="1"/>
  <c r="M16" i="18"/>
  <c r="Q16" i="18" s="1"/>
  <c r="N16" i="18"/>
  <c r="O16" i="18"/>
  <c r="P16" i="18"/>
  <c r="M17" i="18"/>
  <c r="N17" i="18"/>
  <c r="O17" i="18"/>
  <c r="P17" i="18"/>
  <c r="Q17" i="18"/>
  <c r="M18" i="18"/>
  <c r="Q18" i="18" s="1"/>
  <c r="N18" i="18"/>
  <c r="O18" i="18"/>
  <c r="P18" i="18"/>
  <c r="M19" i="18"/>
  <c r="Q19" i="18" s="1"/>
  <c r="N19" i="18"/>
  <c r="O19" i="18"/>
  <c r="P19" i="18"/>
  <c r="M20" i="18"/>
  <c r="Q20" i="18" s="1"/>
  <c r="N20" i="18"/>
  <c r="O20" i="18"/>
  <c r="P20" i="18"/>
  <c r="M21" i="18"/>
  <c r="Q21" i="18" s="1"/>
  <c r="N21" i="18"/>
  <c r="O21" i="18"/>
  <c r="P21" i="18"/>
  <c r="M22" i="18"/>
  <c r="Q22" i="18" s="1"/>
  <c r="N22" i="18"/>
  <c r="O22" i="18"/>
  <c r="P22" i="18"/>
  <c r="M23" i="18"/>
  <c r="N23" i="18"/>
  <c r="O23" i="18"/>
  <c r="P23" i="18"/>
  <c r="Q23" i="18"/>
  <c r="M24" i="18"/>
  <c r="Q24" i="18" s="1"/>
  <c r="N24" i="18"/>
  <c r="O24" i="18"/>
  <c r="P24" i="18"/>
  <c r="M25" i="18"/>
  <c r="Q25" i="18" s="1"/>
  <c r="N25" i="18"/>
  <c r="O25" i="18"/>
  <c r="P25" i="18"/>
  <c r="M26" i="18"/>
  <c r="N26" i="18"/>
  <c r="O26" i="18"/>
  <c r="P26" i="18"/>
  <c r="Q26" i="18"/>
  <c r="M27" i="18"/>
  <c r="Q27" i="18" s="1"/>
  <c r="N27" i="18"/>
  <c r="O27" i="18"/>
  <c r="P27" i="18"/>
  <c r="M28" i="18"/>
  <c r="Q28" i="18" s="1"/>
  <c r="N28" i="18"/>
  <c r="O28" i="18"/>
  <c r="P28" i="18"/>
  <c r="A15" i="22" l="1"/>
  <c r="B15" i="22"/>
  <c r="C15" i="22"/>
  <c r="D15" i="22"/>
  <c r="E15" i="22"/>
  <c r="F15" i="22"/>
  <c r="H15" i="22"/>
  <c r="I15" i="22"/>
  <c r="J15" i="22"/>
  <c r="K15" i="22"/>
  <c r="M15" i="22"/>
  <c r="N15" i="22"/>
  <c r="O15" i="22"/>
  <c r="Q15" i="22"/>
  <c r="R15" i="22"/>
  <c r="T15" i="22"/>
  <c r="U15" i="22"/>
  <c r="A16" i="22"/>
  <c r="B16" i="22"/>
  <c r="C16" i="22"/>
  <c r="D16" i="22"/>
  <c r="E16" i="22"/>
  <c r="F16" i="22"/>
  <c r="H16" i="22"/>
  <c r="I16" i="22"/>
  <c r="J16" i="22"/>
  <c r="K16" i="22"/>
  <c r="M16" i="22"/>
  <c r="N16" i="22"/>
  <c r="O16" i="22"/>
  <c r="Q16" i="22"/>
  <c r="R16" i="22"/>
  <c r="T16" i="22"/>
  <c r="U16" i="22"/>
  <c r="A17" i="22"/>
  <c r="B17" i="22"/>
  <c r="C17" i="22"/>
  <c r="D17" i="22"/>
  <c r="E17" i="22"/>
  <c r="F17" i="22"/>
  <c r="H17" i="22"/>
  <c r="I17" i="22"/>
  <c r="J17" i="22"/>
  <c r="K17" i="22"/>
  <c r="M17" i="22"/>
  <c r="N17" i="22"/>
  <c r="O17" i="22"/>
  <c r="Q17" i="22"/>
  <c r="R17" i="22"/>
  <c r="T17" i="22"/>
  <c r="U17" i="22"/>
  <c r="A18" i="22"/>
  <c r="B18" i="22"/>
  <c r="C18" i="22"/>
  <c r="D18" i="22"/>
  <c r="E18" i="22"/>
  <c r="F18" i="22"/>
  <c r="H18" i="22"/>
  <c r="I18" i="22"/>
  <c r="J18" i="22"/>
  <c r="K18" i="22"/>
  <c r="M18" i="22"/>
  <c r="N18" i="22"/>
  <c r="O18" i="22"/>
  <c r="Q18" i="22"/>
  <c r="R18" i="22"/>
  <c r="T18" i="22"/>
  <c r="U18" i="22"/>
  <c r="A19" i="22"/>
  <c r="B19" i="22"/>
  <c r="C19" i="22"/>
  <c r="D19" i="22"/>
  <c r="E19" i="22"/>
  <c r="F19" i="22"/>
  <c r="H19" i="22"/>
  <c r="I19" i="22"/>
  <c r="J19" i="22"/>
  <c r="K19" i="22"/>
  <c r="M19" i="22"/>
  <c r="N19" i="22"/>
  <c r="O19" i="22"/>
  <c r="Q19" i="22"/>
  <c r="R19" i="22"/>
  <c r="T19" i="22"/>
  <c r="U19" i="22"/>
  <c r="A20" i="22"/>
  <c r="B20" i="22"/>
  <c r="C20" i="22"/>
  <c r="D20" i="22"/>
  <c r="E20" i="22"/>
  <c r="F20" i="22"/>
  <c r="H20" i="22"/>
  <c r="I20" i="22"/>
  <c r="J20" i="22"/>
  <c r="K20" i="22"/>
  <c r="M20" i="22"/>
  <c r="N20" i="22"/>
  <c r="O20" i="22"/>
  <c r="Q20" i="22"/>
  <c r="R20" i="22"/>
  <c r="T20" i="22"/>
  <c r="U20" i="22"/>
  <c r="A21" i="22"/>
  <c r="B21" i="22"/>
  <c r="C21" i="22"/>
  <c r="D21" i="22"/>
  <c r="E21" i="22"/>
  <c r="F21" i="22"/>
  <c r="G21" i="22"/>
  <c r="H21" i="22"/>
  <c r="I21" i="22"/>
  <c r="J21" i="22"/>
  <c r="K21" i="22"/>
  <c r="L21" i="22"/>
  <c r="M21" i="22"/>
  <c r="N21" i="22"/>
  <c r="O21" i="22"/>
  <c r="Q21" i="22"/>
  <c r="R21" i="22"/>
  <c r="T21" i="22"/>
  <c r="U21" i="22"/>
  <c r="A22" i="22"/>
  <c r="B22" i="22"/>
  <c r="C22" i="22"/>
  <c r="D22" i="22"/>
  <c r="E22" i="22"/>
  <c r="F22" i="22"/>
  <c r="G22" i="22"/>
  <c r="H22" i="22"/>
  <c r="I22" i="22"/>
  <c r="J22" i="22"/>
  <c r="K22" i="22"/>
  <c r="L22" i="22"/>
  <c r="M22" i="22"/>
  <c r="N22" i="22"/>
  <c r="O22" i="22"/>
  <c r="Q22" i="22"/>
  <c r="R22" i="22"/>
  <c r="T22" i="22"/>
  <c r="U22" i="22"/>
  <c r="A23" i="22"/>
  <c r="B23" i="22"/>
  <c r="C23" i="22"/>
  <c r="D23" i="22"/>
  <c r="E23" i="22"/>
  <c r="F23" i="22"/>
  <c r="G23" i="22"/>
  <c r="H23" i="22"/>
  <c r="I23" i="22"/>
  <c r="J23" i="22"/>
  <c r="K23" i="22"/>
  <c r="L23" i="22"/>
  <c r="M23" i="22"/>
  <c r="N23" i="22"/>
  <c r="O23" i="22"/>
  <c r="P23" i="22"/>
  <c r="Q23" i="22"/>
  <c r="R23" i="22"/>
  <c r="T23" i="22"/>
  <c r="U23" i="22"/>
  <c r="A24" i="22"/>
  <c r="B24" i="22"/>
  <c r="C24" i="22"/>
  <c r="D24" i="22"/>
  <c r="E24" i="22"/>
  <c r="F24" i="22"/>
  <c r="G24" i="22"/>
  <c r="H24" i="22"/>
  <c r="I24" i="22"/>
  <c r="J24" i="22"/>
  <c r="K24" i="22"/>
  <c r="L24" i="22"/>
  <c r="M24" i="22"/>
  <c r="N24" i="22"/>
  <c r="O24" i="22"/>
  <c r="P24" i="22"/>
  <c r="Q24" i="22"/>
  <c r="R24" i="22"/>
  <c r="T24" i="22"/>
  <c r="U24" i="22"/>
  <c r="A25" i="22"/>
  <c r="B25" i="22"/>
  <c r="C25" i="22"/>
  <c r="D25" i="22"/>
  <c r="E25" i="22"/>
  <c r="F25" i="22"/>
  <c r="G25" i="22"/>
  <c r="H25" i="22"/>
  <c r="I25" i="22"/>
  <c r="J25" i="22"/>
  <c r="K25" i="22"/>
  <c r="L25" i="22"/>
  <c r="M25" i="22"/>
  <c r="N25" i="22"/>
  <c r="O25" i="22"/>
  <c r="Q25" i="22"/>
  <c r="R25" i="22"/>
  <c r="T25" i="22"/>
  <c r="U25" i="22"/>
  <c r="A26" i="22"/>
  <c r="B26" i="22"/>
  <c r="C26" i="22"/>
  <c r="D26" i="22"/>
  <c r="E26" i="22"/>
  <c r="F26" i="22"/>
  <c r="G26" i="22"/>
  <c r="H26" i="22"/>
  <c r="I26" i="22"/>
  <c r="J26" i="22"/>
  <c r="K26" i="22"/>
  <c r="L26" i="22"/>
  <c r="M26" i="22"/>
  <c r="N26" i="22"/>
  <c r="O26" i="22"/>
  <c r="P26" i="22"/>
  <c r="Q26" i="22"/>
  <c r="R26" i="22"/>
  <c r="T26" i="22"/>
  <c r="U26" i="22"/>
  <c r="A27" i="22"/>
  <c r="B27" i="22"/>
  <c r="C27" i="22"/>
  <c r="D27" i="22"/>
  <c r="E27" i="22"/>
  <c r="F27" i="22"/>
  <c r="G27" i="22"/>
  <c r="H27" i="22"/>
  <c r="I27" i="22"/>
  <c r="J27" i="22"/>
  <c r="K27" i="22"/>
  <c r="L27" i="22"/>
  <c r="M27" i="22"/>
  <c r="N27" i="22"/>
  <c r="O27" i="22"/>
  <c r="P27" i="22"/>
  <c r="Q27" i="22"/>
  <c r="R27" i="22"/>
  <c r="T27" i="22"/>
  <c r="U27" i="22"/>
  <c r="A28" i="22"/>
  <c r="B28" i="22"/>
  <c r="C28" i="22"/>
  <c r="D28" i="22"/>
  <c r="E28" i="22"/>
  <c r="F28" i="22"/>
  <c r="G28" i="22"/>
  <c r="H28" i="22"/>
  <c r="I28" i="22"/>
  <c r="J28" i="22"/>
  <c r="K28" i="22"/>
  <c r="L28" i="22"/>
  <c r="M28" i="22"/>
  <c r="N28" i="22"/>
  <c r="O28" i="22"/>
  <c r="P28" i="22"/>
  <c r="Q28" i="22"/>
  <c r="R28" i="22"/>
  <c r="T28" i="22"/>
  <c r="U28" i="22"/>
  <c r="A29" i="22"/>
  <c r="B29" i="22"/>
  <c r="C29" i="22"/>
  <c r="D29" i="22"/>
  <c r="E29" i="22"/>
  <c r="F29" i="22"/>
  <c r="G29" i="22"/>
  <c r="H29" i="22"/>
  <c r="I29" i="22"/>
  <c r="J29" i="22"/>
  <c r="K29" i="22"/>
  <c r="L29" i="22"/>
  <c r="M29" i="22"/>
  <c r="N29" i="22"/>
  <c r="O29" i="22"/>
  <c r="P29" i="22"/>
  <c r="Q29" i="22"/>
  <c r="R29" i="22"/>
  <c r="T29" i="22"/>
  <c r="U29" i="22"/>
  <c r="A30" i="22"/>
  <c r="B30" i="22"/>
  <c r="C30" i="22"/>
  <c r="D30" i="22"/>
  <c r="E30" i="22"/>
  <c r="F30" i="22"/>
  <c r="G30" i="22"/>
  <c r="H30" i="22"/>
  <c r="I30" i="22"/>
  <c r="J30" i="22"/>
  <c r="K30" i="22"/>
  <c r="L30" i="22"/>
  <c r="M30" i="22"/>
  <c r="N30" i="22"/>
  <c r="O30" i="22"/>
  <c r="P30" i="22"/>
  <c r="Q30" i="22"/>
  <c r="R30" i="22"/>
  <c r="T30" i="22"/>
  <c r="U30" i="22"/>
  <c r="A31" i="22"/>
  <c r="B31" i="22"/>
  <c r="C31" i="22"/>
  <c r="D31" i="22"/>
  <c r="E31" i="22"/>
  <c r="F31" i="22"/>
  <c r="G31" i="22"/>
  <c r="H31" i="22"/>
  <c r="I31" i="22"/>
  <c r="J31" i="22"/>
  <c r="K31" i="22"/>
  <c r="L31" i="22"/>
  <c r="M31" i="22"/>
  <c r="N31" i="22"/>
  <c r="O31" i="22"/>
  <c r="P31" i="22"/>
  <c r="Q31" i="22"/>
  <c r="R31" i="22"/>
  <c r="T31" i="22"/>
  <c r="U31" i="22"/>
  <c r="A32" i="22"/>
  <c r="B32" i="22"/>
  <c r="C32" i="22"/>
  <c r="D32" i="22"/>
  <c r="E32" i="22"/>
  <c r="F32" i="22"/>
  <c r="G32" i="22"/>
  <c r="H32" i="22"/>
  <c r="I32" i="22"/>
  <c r="J32" i="22"/>
  <c r="K32" i="22"/>
  <c r="L32" i="22"/>
  <c r="M32" i="22"/>
  <c r="N32" i="22"/>
  <c r="O32" i="22"/>
  <c r="P32" i="22"/>
  <c r="Q32" i="22"/>
  <c r="R32" i="22"/>
  <c r="T32" i="22"/>
  <c r="U32" i="22"/>
  <c r="R76" i="18" l="1"/>
  <c r="P21" i="22"/>
  <c r="P20" i="22" l="1"/>
  <c r="L20" i="22"/>
  <c r="G20" i="22"/>
  <c r="U14" i="22" l="1"/>
  <c r="U33" i="22"/>
  <c r="U34" i="22"/>
  <c r="U35" i="22"/>
  <c r="U36" i="22"/>
  <c r="U37" i="22"/>
  <c r="U38" i="22"/>
  <c r="U13" i="22"/>
  <c r="T33" i="22"/>
  <c r="T34" i="22"/>
  <c r="T35" i="22"/>
  <c r="T36" i="22"/>
  <c r="T37" i="22"/>
  <c r="T38" i="22"/>
  <c r="T14" i="22"/>
  <c r="T13" i="22"/>
  <c r="R38" i="22"/>
  <c r="R8" i="18"/>
  <c r="V16" i="22" l="1"/>
  <c r="V18" i="22"/>
  <c r="V21" i="22"/>
  <c r="V28" i="22"/>
  <c r="V32" i="22"/>
  <c r="V15" i="22"/>
  <c r="V19" i="22"/>
  <c r="V24" i="22"/>
  <c r="V20" i="22"/>
  <c r="V27" i="22"/>
  <c r="V31" i="22"/>
  <c r="V23" i="22"/>
  <c r="V17" i="22"/>
  <c r="V26" i="22"/>
  <c r="V30" i="22"/>
  <c r="V22" i="22"/>
  <c r="V25" i="22"/>
  <c r="V29" i="22"/>
  <c r="V13" i="22"/>
  <c r="V38" i="22"/>
  <c r="V14" i="22"/>
  <c r="V37" i="22"/>
  <c r="V36" i="22"/>
  <c r="V35" i="22"/>
  <c r="V34" i="22"/>
  <c r="V33" i="22"/>
  <c r="A33" i="22"/>
  <c r="B33" i="22"/>
  <c r="C33" i="22"/>
  <c r="D33" i="22"/>
  <c r="E33" i="22"/>
  <c r="F33" i="22"/>
  <c r="G33" i="22"/>
  <c r="H33" i="22"/>
  <c r="I33" i="22"/>
  <c r="J33" i="22"/>
  <c r="K33" i="22"/>
  <c r="L33" i="22"/>
  <c r="M33" i="22"/>
  <c r="N33" i="22"/>
  <c r="O33" i="22"/>
  <c r="P33" i="22"/>
  <c r="Q33" i="22"/>
  <c r="R33" i="22"/>
  <c r="A34" i="22"/>
  <c r="B34" i="22"/>
  <c r="C34" i="22"/>
  <c r="D34" i="22"/>
  <c r="E34" i="22"/>
  <c r="F34" i="22"/>
  <c r="G34" i="22"/>
  <c r="H34" i="22"/>
  <c r="I34" i="22"/>
  <c r="J34" i="22"/>
  <c r="K34" i="22"/>
  <c r="L34" i="22"/>
  <c r="M34" i="22"/>
  <c r="N34" i="22"/>
  <c r="O34" i="22"/>
  <c r="P34" i="22"/>
  <c r="Q34" i="22"/>
  <c r="R34" i="22"/>
  <c r="R72" i="18" l="1"/>
  <c r="P15" i="22" l="1"/>
  <c r="G15" i="22"/>
  <c r="L15" i="22"/>
  <c r="D70" i="18"/>
  <c r="P15" i="18" l="1"/>
  <c r="P13" i="18" s="1"/>
  <c r="G17" i="22" l="1"/>
  <c r="L17" i="22"/>
  <c r="P17" i="22"/>
  <c r="A14" i="22"/>
  <c r="B14" i="22"/>
  <c r="C14" i="22"/>
  <c r="D14" i="22"/>
  <c r="E14" i="22"/>
  <c r="F14" i="22"/>
  <c r="G14" i="22"/>
  <c r="H14" i="22"/>
  <c r="I14" i="22"/>
  <c r="J14" i="22"/>
  <c r="K14" i="22"/>
  <c r="L14" i="22"/>
  <c r="M14" i="22"/>
  <c r="N14" i="22"/>
  <c r="O14" i="22"/>
  <c r="Q14" i="22"/>
  <c r="R14" i="22"/>
  <c r="A35" i="22"/>
  <c r="B35" i="22"/>
  <c r="C35" i="22"/>
  <c r="D35" i="22"/>
  <c r="E35" i="22"/>
  <c r="F35" i="22"/>
  <c r="G35" i="22"/>
  <c r="H35" i="22"/>
  <c r="I35" i="22"/>
  <c r="J35" i="22"/>
  <c r="K35" i="22"/>
  <c r="L35" i="22"/>
  <c r="M35" i="22"/>
  <c r="N35" i="22"/>
  <c r="O35" i="22"/>
  <c r="P35" i="22"/>
  <c r="Q35" i="22"/>
  <c r="R35" i="22"/>
  <c r="A36" i="22"/>
  <c r="B36" i="22"/>
  <c r="C36" i="22"/>
  <c r="D36" i="22"/>
  <c r="E36" i="22"/>
  <c r="F36" i="22"/>
  <c r="G36" i="22"/>
  <c r="H36" i="22"/>
  <c r="I36" i="22"/>
  <c r="J36" i="22"/>
  <c r="K36" i="22"/>
  <c r="L36" i="22"/>
  <c r="M36" i="22"/>
  <c r="N36" i="22"/>
  <c r="O36" i="22"/>
  <c r="P36" i="22"/>
  <c r="Q36" i="22"/>
  <c r="R36" i="22"/>
  <c r="A37" i="22"/>
  <c r="B37" i="22"/>
  <c r="C37" i="22"/>
  <c r="D37" i="22"/>
  <c r="E37" i="22"/>
  <c r="F37" i="22"/>
  <c r="G37" i="22"/>
  <c r="H37" i="22"/>
  <c r="I37" i="22"/>
  <c r="J37" i="22"/>
  <c r="K37" i="22"/>
  <c r="L37" i="22"/>
  <c r="M37" i="22"/>
  <c r="N37" i="22"/>
  <c r="O37" i="22"/>
  <c r="P37" i="22"/>
  <c r="Q37" i="22"/>
  <c r="R37" i="22"/>
  <c r="A38" i="22"/>
  <c r="B38" i="22"/>
  <c r="C38" i="22"/>
  <c r="D38" i="22"/>
  <c r="E38" i="22"/>
  <c r="F38" i="22"/>
  <c r="G38" i="22"/>
  <c r="H38" i="22"/>
  <c r="I38" i="22"/>
  <c r="J38" i="22"/>
  <c r="K38" i="22"/>
  <c r="L38" i="22"/>
  <c r="M38" i="22"/>
  <c r="N38" i="22"/>
  <c r="O38" i="22"/>
  <c r="P38" i="22"/>
  <c r="Q38" i="22"/>
  <c r="G13" i="22" l="1"/>
  <c r="A13" i="22" l="1"/>
  <c r="B13" i="22"/>
  <c r="C13" i="22"/>
  <c r="D13" i="22"/>
  <c r="E13" i="22"/>
  <c r="F13" i="22"/>
  <c r="H13" i="22"/>
  <c r="I13" i="22"/>
  <c r="J13" i="22"/>
  <c r="K13" i="22"/>
  <c r="L13" i="22"/>
  <c r="M13" i="22"/>
  <c r="N13" i="22"/>
  <c r="O13" i="22"/>
  <c r="P13" i="22"/>
  <c r="Q13" i="22"/>
  <c r="R13" i="22"/>
  <c r="A12" i="21" l="1"/>
  <c r="C12" i="21"/>
  <c r="F12" i="21"/>
  <c r="B12" i="21" l="1"/>
  <c r="O15" i="18" l="1"/>
  <c r="O13" i="18" s="1"/>
  <c r="M15" i="18"/>
  <c r="M13" i="18" s="1"/>
  <c r="Q15" i="18" l="1"/>
  <c r="Q13" i="18" s="1"/>
  <c r="F16" i="21" l="1"/>
  <c r="F15" i="21"/>
  <c r="R73" i="18"/>
  <c r="L18" i="22"/>
  <c r="G18" i="22"/>
  <c r="P18" i="22"/>
  <c r="R74" i="18" l="1"/>
  <c r="G16" i="22"/>
  <c r="L16" i="22"/>
  <c r="P14" i="22"/>
  <c r="A11" i="21"/>
  <c r="B11" i="21"/>
  <c r="C11" i="21"/>
  <c r="F11" i="21"/>
  <c r="B9" i="21"/>
  <c r="B8" i="21"/>
  <c r="E7" i="21"/>
  <c r="D7" i="21"/>
  <c r="D6" i="21"/>
  <c r="P16" i="22" l="1"/>
  <c r="N15" i="18"/>
  <c r="N13" i="18" s="1"/>
  <c r="F17" i="21" l="1"/>
  <c r="AE96" i="18"/>
  <c r="AF96" i="18" s="1"/>
  <c r="AO97" i="18" s="1"/>
  <c r="R75" i="18" l="1"/>
  <c r="R78" i="18" s="1"/>
  <c r="G19" i="22"/>
  <c r="L19" i="22"/>
  <c r="AL97" i="18"/>
  <c r="AR97" i="18"/>
  <c r="AJ97" i="18"/>
  <c r="AP97" i="18"/>
  <c r="AH97" i="18"/>
  <c r="AG97" i="18"/>
  <c r="AN97" i="18"/>
  <c r="AM97" i="18"/>
  <c r="AK97" i="18"/>
  <c r="AQ97" i="18"/>
  <c r="AI97" i="18"/>
  <c r="P19" i="22" l="1"/>
  <c r="P22" i="22"/>
  <c r="R80" i="18"/>
  <c r="P25" i="22" s="1"/>
</calcChain>
</file>

<file path=xl/comments1.xml><?xml version="1.0" encoding="utf-8"?>
<comments xmlns="http://schemas.openxmlformats.org/spreadsheetml/2006/main">
  <authors>
    <author>TQC</author>
  </authors>
  <commentList>
    <comment ref="Q11" authorId="0" shapeId="0">
      <text>
        <r>
          <rPr>
            <b/>
            <sz val="9"/>
            <color indexed="81"/>
            <rFont val="Tahoma"/>
            <family val="2"/>
          </rPr>
          <t>TQC:</t>
        </r>
        <r>
          <rPr>
            <sz val="9"/>
            <color indexed="81"/>
            <rFont val="Tahoma"/>
            <family val="2"/>
          </rPr>
          <t xml:space="preserve">
XÉT THEO KÍCH THƯỚC GIỐNG PHÀO</t>
        </r>
      </text>
    </comment>
  </commentList>
</comments>
</file>

<file path=xl/sharedStrings.xml><?xml version="1.0" encoding="utf-8"?>
<sst xmlns="http://schemas.openxmlformats.org/spreadsheetml/2006/main" count="212" uniqueCount="110">
  <si>
    <t>THÀNH TIỀN</t>
  </si>
  <si>
    <t>XÁC NHẬN BÊN MUA HÀNG</t>
  </si>
  <si>
    <t>(Ký, ghi rõ họ tên)</t>
  </si>
  <si>
    <t>Quý khách có thể thanh toán bằng tiền mặt hoặc chuyển khoản vào một trong các tài khoản sau:</t>
  </si>
  <si>
    <t>BÁO GIÁ KIÊM ĐƠN ĐẶT HÀNG</t>
  </si>
  <si>
    <t>Công ty TNHH Gỗ GERVIN xin cảm ơn quý khách hàng đã tin dùng sản phẩm của chúng tôi và xin được báo giá như sau:</t>
  </si>
  <si>
    <t>I</t>
  </si>
  <si>
    <t>Tính giá bán sản phẩm, dịch vụ:</t>
  </si>
  <si>
    <t>LỆNH GIA CÔNG TẤM</t>
  </si>
  <si>
    <t xml:space="preserve">          </t>
  </si>
  <si>
    <t>Đề nghị BP Kỹ thuật gia công các sản phẩm dưới đây:</t>
  </si>
  <si>
    <t>Số lượng</t>
  </si>
  <si>
    <t xml:space="preserve">Ứng trước 50% tiền đơn hàng gia công, thanh toán 50% còn lại trước khi lấy hàng tại kho, giao hàng tại nhà máy bên bán sau 2 đến 3 ngày. </t>
  </si>
  <si>
    <t>Đơn vị</t>
  </si>
  <si>
    <t>NGƯỜI CHÀO GIÁ</t>
  </si>
  <si>
    <t>Stt</t>
  </si>
  <si>
    <t>Tên hàng hóa, dịch vụ</t>
  </si>
  <si>
    <t xml:space="preserve"> Kích thước (mm) </t>
  </si>
  <si>
    <t>Rộng</t>
  </si>
  <si>
    <t>Dán cạnh</t>
  </si>
  <si>
    <t xml:space="preserve">Ghi chú: </t>
  </si>
  <si>
    <t>- Dán cạnh thẳng tích chữ "T", dán cạnh vát 45 độ tích chữ "V" vào ô dán cạnh tương ứng.</t>
  </si>
  <si>
    <t>Cao</t>
  </si>
  <si>
    <t>Khi mua tấm Quý khách vui lòng thanh toán 100% tiền hàng trước khi chuyển hàng ra khỏi kho bên bán.</t>
  </si>
  <si>
    <t>Bảo hành cong vênh, bong tróc 12 tháng, bảo trì vĩnh viễn. Không bảo hành mối và ngập nước.</t>
  </si>
  <si>
    <t>- Chiều  vân ván điền vào cột "CAO" ở bảng trên.</t>
  </si>
  <si>
    <t>Số mét dán thẳng</t>
  </si>
  <si>
    <t>VẬT TƯ</t>
  </si>
  <si>
    <t/>
  </si>
  <si>
    <t xml:space="preserve">Số phiếu: </t>
  </si>
  <si>
    <t>Ghi chú</t>
  </si>
  <si>
    <t>Đơn giá</t>
  </si>
  <si>
    <t>m</t>
  </si>
  <si>
    <t>Đơn giá chỉ</t>
  </si>
  <si>
    <t xml:space="preserve"> Bên giao lệnh          </t>
  </si>
  <si>
    <t>Kế toán</t>
  </si>
  <si>
    <t>Kỹ thuật</t>
  </si>
  <si>
    <t>Quản đốc/P.QĐ</t>
  </si>
  <si>
    <t xml:space="preserve">(Ký, ghi rõ họ tên)   </t>
  </si>
  <si>
    <t>Số mét dán thẳng bản nhỏ từ 17- 39mm</t>
  </si>
  <si>
    <t>Chiều vân</t>
  </si>
  <si>
    <t>Cạnh Vát</t>
  </si>
  <si>
    <t xml:space="preserve">Cao (chiều vân gỗ) </t>
  </si>
  <si>
    <t xml:space="preserve">Vát </t>
  </si>
  <si>
    <t>Số mét dán vát</t>
  </si>
  <si>
    <t>A</t>
  </si>
  <si>
    <t>B</t>
  </si>
  <si>
    <t>Đơn giá trên chưa bao gồm VAT.Đúng sai ±1 mm.</t>
  </si>
  <si>
    <t>Ngày 10 tháng 07 năm 2024</t>
  </si>
  <si>
    <r>
      <t xml:space="preserve">Khách hàng: </t>
    </r>
    <r>
      <rPr>
        <b/>
        <sz val="11"/>
        <color theme="1"/>
        <rFont val="Times New Roman"/>
        <family val="1"/>
      </rPr>
      <t>Orient 37 Gia công</t>
    </r>
  </si>
  <si>
    <r>
      <t xml:space="preserve">Địa chỉ: </t>
    </r>
    <r>
      <rPr>
        <b/>
        <sz val="11"/>
        <color theme="1"/>
        <rFont val="Times New Roman"/>
        <family val="1"/>
      </rPr>
      <t>Đường Lê Ngọc Hân, Nghi Đức, TP.Vinh, Nghệ An (SĐT: A Vinh: 0973362984) - Giao cùng đơn bảo hành</t>
    </r>
  </si>
  <si>
    <t>Chi tiết</t>
  </si>
  <si>
    <t>CT</t>
  </si>
  <si>
    <t>Mã hàng</t>
  </si>
  <si>
    <t>GC</t>
  </si>
  <si>
    <t>SODONHANG</t>
  </si>
  <si>
    <t>STT</t>
  </si>
  <si>
    <t>MAHANGHOA</t>
  </si>
  <si>
    <t>TENHANGHOA</t>
  </si>
  <si>
    <t>CHIEUDAI</t>
  </si>
  <si>
    <t>CHIEURONG</t>
  </si>
  <si>
    <t>SOLUONG</t>
  </si>
  <si>
    <t>CANHVAT</t>
  </si>
  <si>
    <t>SOMETDANTHANG</t>
  </si>
  <si>
    <t>SOMETDANVAT</t>
  </si>
  <si>
    <t>KHOILUONG</t>
  </si>
  <si>
    <t>DONGIA</t>
  </si>
  <si>
    <t>DONGIACHI</t>
  </si>
  <si>
    <t>SOTIENVND</t>
  </si>
  <si>
    <t>GHICHUND</t>
  </si>
  <si>
    <t>CHIEUVAN</t>
  </si>
  <si>
    <t>CANH</t>
  </si>
  <si>
    <t>THANHPHAO</t>
  </si>
  <si>
    <t>DONGIAGIANTHANG</t>
  </si>
  <si>
    <t>DONGIAGIANVAT</t>
  </si>
  <si>
    <t>SOMETDANMOI</t>
  </si>
  <si>
    <t>SOMETDANBR1759</t>
  </si>
  <si>
    <t>SOMETDANBR2535</t>
  </si>
  <si>
    <t>CONGDAN</t>
  </si>
  <si>
    <t>SOVATTAYNAMAM</t>
  </si>
  <si>
    <t>SOTAMCNC</t>
  </si>
  <si>
    <t>Đơn hàng</t>
  </si>
  <si>
    <t>KẾ TOÁN XÁC NHẬN</t>
  </si>
  <si>
    <t>Số mét dán bản rộng 25-35mm</t>
  </si>
  <si>
    <t>Đã CK:</t>
  </si>
  <si>
    <t>Còn lại:</t>
  </si>
  <si>
    <t>Cạnh vát</t>
  </si>
  <si>
    <t>Công cắt tấm</t>
  </si>
  <si>
    <t>tấm</t>
  </si>
  <si>
    <t>TỔNG TIỀN HÀNG:</t>
  </si>
  <si>
    <t>Số mét dán ván chiều rộng 40-59mm</t>
  </si>
  <si>
    <t>lần</t>
  </si>
  <si>
    <t>Số mét dán bản rộng 17-39mm</t>
  </si>
  <si>
    <t>Ngày giờ chốt đơn:</t>
  </si>
  <si>
    <t>Số ngày phải giao từ lúc chốt đơn:</t>
  </si>
  <si>
    <t>Ngày giờ phải giao hàng:</t>
  </si>
  <si>
    <t>NGAYCHOTDON</t>
  </si>
  <si>
    <t>SONGAY</t>
  </si>
  <si>
    <t>NGAYGIAO</t>
  </si>
  <si>
    <t>Nhân công và vật liệu đóng gói melamin, laminate</t>
  </si>
  <si>
    <t>Dán cạnh thẳng laminate, melamine sử dụng keo chống thấm nước PUR:
Áp dụng cho tấm ván có chiều rộng từ 60mm trở lên, độ dày ván 9-21mm, sử dụng máy dán Homag, Cộng hòa LB Đức.</t>
  </si>
  <si>
    <t>Dán cạnh Vát sử dụng máy dán acrylic:
Áp dụng cho tấm ván có chiều rộng từ 60mm trở lên, độ dày ván 9-21mm + Công hoàn thiện sản phẩm</t>
  </si>
  <si>
    <t>II</t>
  </si>
  <si>
    <t>Dán cạnh thẳng laminate, melamine sử dụng keo chống thấm nước PUR:
Áp dụng cho tấm ván có chiều rộng từ 40mm đến 59mm, độ dày ván 9-21mm nhân công, keo, băng dính dán cạnh thẳng laminate, melamine. (không bao gồm nẹp dán cạnh) sử dụng máy dán Homag, Cộng hòa LB Đức.</t>
  </si>
  <si>
    <t xml:space="preserve">Giao hàng tại Vinh </t>
  </si>
  <si>
    <t>Cốt MDF chống ẩm 17mm (Gervin), 2 mặt phủ Laminate AS-13005 CN74 màu đơn sắc (khách mang đến) = 2 tấm</t>
  </si>
  <si>
    <t>Cốt MDF chống ẩm 17mm (Gervin), 2 mặt phủ Laminate AS - 14029 CS98 màu vân gỗ (khách mang đến) = 3 tấm</t>
  </si>
  <si>
    <r>
      <t>Địa chỉ:</t>
    </r>
    <r>
      <rPr>
        <b/>
        <sz val="11"/>
        <color theme="1"/>
        <rFont val="Times New Roman"/>
        <family val="1"/>
      </rPr>
      <t xml:space="preserve"> </t>
    </r>
  </si>
  <si>
    <t>Ngày 10 tháng 03 năm 2026</t>
  </si>
  <si>
    <r>
      <t xml:space="preserve">Khách hàng: </t>
    </r>
    <r>
      <rPr>
        <b/>
        <sz val="11"/>
        <color theme="1"/>
        <rFont val="Times New Roman"/>
        <family val="1"/>
      </rPr>
      <t>KH0000 - Tên Khách hàng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</si>
</sst>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_(* #,##0_);_(* \(#,##0\);_(* &quot;-&quot;??_);_(@_)"/>
    <numFmt numFmtId="166" formatCode="[$-409]m/d/yy\ h:mm\ AM/PM;@"/>
    <numFmt numFmtId="167" formatCode="0.0000"/>
    <numFmt numFmtId="168" formatCode="0.00;[Red]0.00"/>
    <numFmt numFmtId="169" formatCode="dd/mm/yyyy\ h:mm:ss"/>
  </numFmts>
  <fonts count="38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2"/>
    </font>
    <font>
      <sz val="9"/>
      <color theme="1"/>
      <name val="Times New Roman"/>
      <family val="1"/>
    </font>
    <font>
      <sz val="9"/>
      <name val="Times New Roman"/>
      <family val="1"/>
    </font>
    <font>
      <b/>
      <i/>
      <sz val="11"/>
      <name val="Times New Roman"/>
      <family val="1"/>
    </font>
    <font>
      <b/>
      <sz val="11"/>
      <name val="Times New Roman"/>
      <family val="1"/>
    </font>
    <font>
      <sz val="11"/>
      <name val="VNI-Times"/>
    </font>
    <font>
      <b/>
      <sz val="9"/>
      <color theme="1"/>
      <name val=".VnTime"/>
      <family val="2"/>
    </font>
    <font>
      <sz val="10"/>
      <name val="VNI-Times"/>
    </font>
    <font>
      <b/>
      <sz val="9"/>
      <name val=".VnTime"/>
      <family val="2"/>
    </font>
    <font>
      <sz val="9"/>
      <color theme="1"/>
      <name val=".VnTime"/>
      <family val="2"/>
    </font>
    <font>
      <sz val="9"/>
      <name val=".VnTime"/>
      <family val="2"/>
    </font>
    <font>
      <sz val="11"/>
      <color theme="1"/>
      <name val="Times New Roman"/>
      <family val="2"/>
    </font>
    <font>
      <b/>
      <i/>
      <sz val="11"/>
      <name val=".VnTime"/>
      <family val="2"/>
    </font>
    <font>
      <b/>
      <sz val="18"/>
      <color theme="1"/>
      <name val="Times New Roman"/>
      <family val="1"/>
    </font>
    <font>
      <b/>
      <i/>
      <sz val="11"/>
      <color rgb="FFFF0000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1"/>
      <color indexed="8"/>
      <name val="Times New Roman"/>
      <family val="1"/>
    </font>
    <font>
      <sz val="10"/>
      <name val="Arial"/>
      <family val="2"/>
    </font>
    <font>
      <sz val="10"/>
      <name val="Arial"/>
      <family val="2"/>
      <charset val="163"/>
    </font>
    <font>
      <b/>
      <sz val="12"/>
      <color theme="1"/>
      <name val="Times New Roman"/>
      <family val="1"/>
    </font>
    <font>
      <sz val="11"/>
      <color rgb="FFFF0000"/>
      <name val="Times New Roman"/>
      <family val="2"/>
    </font>
    <font>
      <sz val="11"/>
      <name val="Times New Roman"/>
      <family val="2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Calibri"/>
      <family val="2"/>
      <scheme val="minor"/>
    </font>
    <font>
      <sz val="12"/>
      <color rgb="FF000000"/>
      <name val="Times New Roman"/>
      <family val="1"/>
    </font>
    <font>
      <b/>
      <sz val="20"/>
      <color theme="1"/>
      <name val="Times New Roman"/>
      <family val="1"/>
    </font>
    <font>
      <sz val="11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1" fillId="0" borderId="0"/>
    <xf numFmtId="0" fontId="13" fillId="0" borderId="0"/>
    <xf numFmtId="0" fontId="25" fillId="0" borderId="0"/>
    <xf numFmtId="164" fontId="26" fillId="0" borderId="0" applyFont="0" applyFill="0" applyBorder="0" applyAlignment="0" applyProtection="0"/>
    <xf numFmtId="0" fontId="34" fillId="0" borderId="0"/>
  </cellStyleXfs>
  <cellXfs count="156">
    <xf numFmtId="0" fontId="0" fillId="0" borderId="0" xfId="0"/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5" fontId="3" fillId="0" borderId="0" xfId="3" applyNumberFormat="1" applyFont="1" applyAlignment="1">
      <alignment vertical="center"/>
    </xf>
    <xf numFmtId="0" fontId="9" fillId="0" borderId="0" xfId="0" applyFont="1" applyAlignment="1">
      <alignment vertical="center"/>
    </xf>
    <xf numFmtId="43" fontId="3" fillId="0" borderId="0" xfId="3" applyFont="1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6" fontId="10" fillId="0" borderId="0" xfId="3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41" fontId="3" fillId="0" borderId="0" xfId="0" applyNumberFormat="1" applyFont="1" applyAlignment="1">
      <alignment vertical="center"/>
    </xf>
    <xf numFmtId="43" fontId="3" fillId="2" borderId="1" xfId="3" applyFont="1" applyFill="1" applyBorder="1" applyAlignment="1" applyProtection="1">
      <alignment horizontal="center" vertical="center" wrapText="1"/>
      <protection locked="0"/>
    </xf>
    <xf numFmtId="165" fontId="3" fillId="2" borderId="1" xfId="3" applyNumberFormat="1" applyFont="1" applyFill="1" applyBorder="1" applyAlignment="1" applyProtection="1">
      <alignment horizontal="center" vertical="center" wrapText="1"/>
      <protection locked="0"/>
    </xf>
    <xf numFmtId="165" fontId="5" fillId="2" borderId="0" xfId="3" applyNumberFormat="1" applyFont="1" applyFill="1" applyBorder="1" applyAlignment="1" applyProtection="1">
      <alignment vertical="center"/>
      <protection locked="0"/>
    </xf>
    <xf numFmtId="165" fontId="5" fillId="2" borderId="0" xfId="3" applyNumberFormat="1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vertical="center"/>
      <protection locked="0"/>
    </xf>
    <xf numFmtId="0" fontId="18" fillId="2" borderId="0" xfId="0" applyFont="1" applyFill="1" applyAlignment="1" applyProtection="1">
      <alignment horizontal="center" vertical="center" wrapText="1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165" fontId="4" fillId="2" borderId="1" xfId="3" applyNumberFormat="1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10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43" fontId="3" fillId="2" borderId="1" xfId="3" applyFont="1" applyFill="1" applyBorder="1" applyAlignment="1" applyProtection="1">
      <alignment vertical="center" wrapText="1"/>
      <protection locked="0"/>
    </xf>
    <xf numFmtId="0" fontId="0" fillId="0" borderId="1" xfId="0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2" borderId="0" xfId="0" applyFont="1" applyFill="1" applyAlignment="1" applyProtection="1">
      <alignment horizontal="left" vertical="center"/>
      <protection locked="0"/>
    </xf>
    <xf numFmtId="0" fontId="17" fillId="2" borderId="0" xfId="0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0" fillId="2" borderId="0" xfId="0" applyFill="1"/>
    <xf numFmtId="0" fontId="4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 applyProtection="1">
      <alignment horizontal="center" vertical="center" wrapText="1"/>
      <protection locked="0"/>
    </xf>
    <xf numFmtId="0" fontId="20" fillId="2" borderId="0" xfId="0" applyFont="1" applyFill="1" applyAlignment="1" applyProtection="1">
      <alignment horizontal="left" vertical="center"/>
      <protection locked="0"/>
    </xf>
    <xf numFmtId="0" fontId="20" fillId="2" borderId="0" xfId="0" quotePrefix="1" applyFont="1" applyFill="1" applyAlignment="1" applyProtection="1">
      <alignment horizontal="left" vertical="center"/>
      <protection locked="0"/>
    </xf>
    <xf numFmtId="0" fontId="10" fillId="2" borderId="0" xfId="0" applyFont="1" applyFill="1" applyAlignment="1" applyProtection="1">
      <alignment vertic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vertical="center" wrapText="1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165" fontId="3" fillId="2" borderId="0" xfId="3" applyNumberFormat="1" applyFont="1" applyFill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165" fontId="12" fillId="2" borderId="0" xfId="4" applyNumberFormat="1" applyFont="1" applyFill="1" applyAlignment="1" applyProtection="1">
      <alignment vertical="center"/>
      <protection locked="0"/>
    </xf>
    <xf numFmtId="0" fontId="12" fillId="2" borderId="0" xfId="5" applyFont="1" applyFill="1" applyAlignment="1" applyProtection="1">
      <alignment horizontal="center" vertical="center"/>
      <protection locked="0"/>
    </xf>
    <xf numFmtId="0" fontId="14" fillId="2" borderId="0" xfId="5" applyFont="1" applyFill="1" applyAlignment="1" applyProtection="1">
      <alignment horizontal="center" vertical="center"/>
      <protection locked="0"/>
    </xf>
    <xf numFmtId="0" fontId="15" fillId="2" borderId="0" xfId="4" applyFont="1" applyFill="1" applyAlignment="1" applyProtection="1">
      <alignment vertical="center"/>
      <protection locked="0"/>
    </xf>
    <xf numFmtId="0" fontId="15" fillId="2" borderId="0" xfId="5" applyFont="1" applyFill="1" applyAlignment="1" applyProtection="1">
      <alignment vertical="center"/>
      <protection locked="0"/>
    </xf>
    <xf numFmtId="0" fontId="16" fillId="2" borderId="0" xfId="5" applyFont="1" applyFill="1" applyAlignment="1" applyProtection="1">
      <alignment vertical="center"/>
      <protection locked="0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10" fillId="3" borderId="1" xfId="1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vertical="center"/>
      <protection locked="0"/>
    </xf>
    <xf numFmtId="0" fontId="5" fillId="4" borderId="0" xfId="0" applyFont="1" applyFill="1" applyAlignment="1" applyProtection="1">
      <alignment vertical="center"/>
      <protection locked="0"/>
    </xf>
    <xf numFmtId="0" fontId="5" fillId="5" borderId="1" xfId="0" applyFont="1" applyFill="1" applyBorder="1" applyAlignment="1" applyProtection="1">
      <alignment vertical="center"/>
      <protection locked="0"/>
    </xf>
    <xf numFmtId="165" fontId="27" fillId="5" borderId="1" xfId="3" applyNumberFormat="1" applyFont="1" applyFill="1" applyBorder="1" applyAlignment="1" applyProtection="1">
      <alignment horizontal="center" vertical="center" wrapText="1"/>
      <protection locked="0"/>
    </xf>
    <xf numFmtId="165" fontId="5" fillId="5" borderId="1" xfId="3" applyNumberFormat="1" applyFont="1" applyFill="1" applyBorder="1" applyAlignment="1" applyProtection="1">
      <alignment horizontal="center" vertical="center"/>
      <protection locked="0"/>
    </xf>
    <xf numFmtId="165" fontId="5" fillId="5" borderId="1" xfId="3" applyNumberFormat="1" applyFont="1" applyFill="1" applyBorder="1" applyAlignment="1" applyProtection="1">
      <alignment vertical="center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left" vertical="center"/>
      <protection locked="0"/>
    </xf>
    <xf numFmtId="2" fontId="10" fillId="3" borderId="1" xfId="1" applyNumberFormat="1" applyFont="1" applyFill="1" applyBorder="1" applyAlignment="1" applyProtection="1">
      <alignment horizontal="center" vertical="center" wrapText="1"/>
      <protection locked="0"/>
    </xf>
    <xf numFmtId="165" fontId="23" fillId="0" borderId="0" xfId="3" applyNumberFormat="1" applyFont="1" applyAlignment="1" applyProtection="1">
      <alignment horizontal="center" vertical="center"/>
    </xf>
    <xf numFmtId="165" fontId="21" fillId="0" borderId="0" xfId="3" applyNumberFormat="1" applyFont="1" applyAlignment="1" applyProtection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17" fillId="2" borderId="1" xfId="0" applyFont="1" applyFill="1" applyBorder="1"/>
    <xf numFmtId="0" fontId="5" fillId="3" borderId="1" xfId="0" applyFont="1" applyFill="1" applyBorder="1" applyAlignment="1" applyProtection="1">
      <alignment horizontal="left" vertical="center"/>
      <protection locked="0"/>
    </xf>
    <xf numFmtId="0" fontId="17" fillId="2" borderId="0" xfId="0" quotePrefix="1" applyFont="1" applyFill="1" applyAlignment="1" applyProtection="1">
      <alignment horizontal="center" vertical="center"/>
      <protection locked="0"/>
    </xf>
    <xf numFmtId="43" fontId="29" fillId="0" borderId="1" xfId="3" applyFont="1" applyFill="1" applyBorder="1" applyAlignment="1" applyProtection="1">
      <alignment horizontal="center" vertical="center" wrapText="1"/>
      <protection locked="0"/>
    </xf>
    <xf numFmtId="0" fontId="30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/>
      <protection locked="0"/>
    </xf>
    <xf numFmtId="0" fontId="31" fillId="2" borderId="1" xfId="0" applyFont="1" applyFill="1" applyBorder="1" applyAlignment="1" applyProtection="1">
      <alignment vertical="center"/>
      <protection locked="0"/>
    </xf>
    <xf numFmtId="0" fontId="17" fillId="0" borderId="1" xfId="0" applyFont="1" applyBorder="1"/>
    <xf numFmtId="0" fontId="31" fillId="4" borderId="0" xfId="0" applyFont="1" applyFill="1" applyAlignment="1" applyProtection="1">
      <alignment vertical="center"/>
      <protection locked="0"/>
    </xf>
    <xf numFmtId="43" fontId="5" fillId="3" borderId="1" xfId="0" applyNumberFormat="1" applyFont="1" applyFill="1" applyBorder="1" applyAlignment="1" applyProtection="1">
      <alignment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167" fontId="4" fillId="6" borderId="1" xfId="3" applyNumberFormat="1" applyFont="1" applyFill="1" applyBorder="1" applyAlignment="1" applyProtection="1">
      <alignment horizontal="center" vertical="center"/>
      <protection locked="0"/>
    </xf>
    <xf numFmtId="43" fontId="4" fillId="7" borderId="1" xfId="3" applyFont="1" applyFill="1" applyBorder="1" applyAlignment="1" applyProtection="1">
      <alignment horizontal="center" vertical="center"/>
      <protection locked="0"/>
    </xf>
    <xf numFmtId="1" fontId="4" fillId="7" borderId="1" xfId="3" applyNumberFormat="1" applyFont="1" applyFill="1" applyBorder="1" applyAlignment="1" applyProtection="1">
      <alignment horizontal="center" vertical="center"/>
      <protection locked="0"/>
    </xf>
    <xf numFmtId="168" fontId="4" fillId="7" borderId="1" xfId="0" applyNumberFormat="1" applyFont="1" applyFill="1" applyBorder="1" applyAlignment="1" applyProtection="1">
      <alignment horizontal="center" vertical="center"/>
      <protection locked="0"/>
    </xf>
    <xf numFmtId="2" fontId="4" fillId="7" borderId="1" xfId="3" applyNumberFormat="1" applyFont="1" applyFill="1" applyBorder="1" applyAlignment="1" applyProtection="1">
      <alignment horizontal="center" vertical="center"/>
      <protection locked="0"/>
    </xf>
    <xf numFmtId="43" fontId="5" fillId="0" borderId="1" xfId="3" applyFont="1" applyBorder="1" applyAlignment="1" applyProtection="1">
      <alignment horizontal="center" vertical="center"/>
      <protection locked="0"/>
    </xf>
    <xf numFmtId="0" fontId="4" fillId="6" borderId="1" xfId="0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>
      <alignment vertical="center" wrapText="1"/>
    </xf>
    <xf numFmtId="0" fontId="5" fillId="5" borderId="0" xfId="0" applyFont="1" applyFill="1" applyBorder="1" applyAlignment="1" applyProtection="1">
      <alignment vertical="center"/>
      <protection locked="0"/>
    </xf>
    <xf numFmtId="165" fontId="27" fillId="5" borderId="0" xfId="3" applyNumberFormat="1" applyFont="1" applyFill="1" applyBorder="1" applyAlignment="1" applyProtection="1">
      <alignment horizontal="center" vertical="center" wrapText="1"/>
      <protection locked="0"/>
    </xf>
    <xf numFmtId="165" fontId="5" fillId="5" borderId="0" xfId="3" applyNumberFormat="1" applyFont="1" applyFill="1" applyBorder="1" applyAlignment="1" applyProtection="1">
      <alignment horizontal="center" vertical="center"/>
      <protection locked="0"/>
    </xf>
    <xf numFmtId="165" fontId="5" fillId="5" borderId="0" xfId="3" applyNumberFormat="1" applyFont="1" applyFill="1" applyBorder="1" applyAlignment="1" applyProtection="1">
      <alignment vertical="center"/>
      <protection locked="0"/>
    </xf>
    <xf numFmtId="165" fontId="5" fillId="5" borderId="4" xfId="3" applyNumberFormat="1" applyFont="1" applyFill="1" applyBorder="1" applyAlignment="1" applyProtection="1">
      <alignment vertical="center"/>
      <protection locked="0"/>
    </xf>
    <xf numFmtId="165" fontId="5" fillId="5" borderId="1" xfId="3" applyNumberFormat="1" applyFont="1" applyFill="1" applyBorder="1" applyAlignment="1" applyProtection="1">
      <alignment horizontal="right" vertical="center"/>
      <protection locked="0"/>
    </xf>
    <xf numFmtId="165" fontId="5" fillId="8" borderId="1" xfId="3" applyNumberFormat="1" applyFont="1" applyFill="1" applyBorder="1" applyAlignment="1" applyProtection="1">
      <alignment horizontal="center" vertical="center"/>
      <protection locked="0"/>
    </xf>
    <xf numFmtId="165" fontId="5" fillId="8" borderId="1" xfId="3" applyNumberFormat="1" applyFont="1" applyFill="1" applyBorder="1" applyAlignment="1" applyProtection="1">
      <alignment horizontal="right" vertical="center"/>
      <protection locked="0"/>
    </xf>
    <xf numFmtId="165" fontId="3" fillId="2" borderId="4" xfId="3" applyNumberFormat="1" applyFont="1" applyFill="1" applyBorder="1" applyAlignment="1" applyProtection="1">
      <alignment horizontal="center" vertical="center" wrapText="1"/>
      <protection locked="0"/>
    </xf>
    <xf numFmtId="165" fontId="27" fillId="5" borderId="1" xfId="3" applyNumberFormat="1" applyFont="1" applyFill="1" applyBorder="1" applyAlignment="1" applyProtection="1">
      <alignment horizontal="right" vertical="center"/>
      <protection locked="0"/>
    </xf>
    <xf numFmtId="0" fontId="27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 applyProtection="1">
      <alignment vertical="center" wrapText="1"/>
      <protection locked="0"/>
    </xf>
    <xf numFmtId="43" fontId="17" fillId="5" borderId="1" xfId="3" applyFont="1" applyFill="1" applyBorder="1" applyAlignment="1" applyProtection="1">
      <alignment horizontal="center" vertical="center"/>
      <protection locked="0"/>
    </xf>
    <xf numFmtId="165" fontId="17" fillId="5" borderId="1" xfId="3" applyNumberFormat="1" applyFont="1" applyFill="1" applyBorder="1" applyAlignment="1" applyProtection="1">
      <alignment horizontal="center" vertical="center"/>
      <protection locked="0"/>
    </xf>
    <xf numFmtId="165" fontId="17" fillId="5" borderId="1" xfId="3" applyNumberFormat="1" applyFont="1" applyFill="1" applyBorder="1" applyAlignment="1" applyProtection="1">
      <alignment horizontal="right" vertical="center"/>
      <protection locked="0"/>
    </xf>
    <xf numFmtId="169" fontId="35" fillId="3" borderId="5" xfId="8" applyNumberFormat="1" applyFont="1" applyFill="1" applyBorder="1" applyAlignment="1">
      <alignment horizontal="center" vertical="center"/>
    </xf>
    <xf numFmtId="169" fontId="35" fillId="3" borderId="6" xfId="8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 applyProtection="1">
      <alignment vertical="center"/>
      <protection locked="0"/>
    </xf>
    <xf numFmtId="2" fontId="2" fillId="3" borderId="1" xfId="0" applyNumberFormat="1" applyFont="1" applyFill="1" applyBorder="1" applyAlignment="1" applyProtection="1">
      <alignment vertical="center"/>
      <protection locked="0"/>
    </xf>
    <xf numFmtId="165" fontId="37" fillId="2" borderId="1" xfId="3" applyNumberFormat="1" applyFont="1" applyFill="1" applyBorder="1" applyAlignment="1" applyProtection="1">
      <alignment horizontal="center" vertical="center" wrapText="1"/>
      <protection locked="0"/>
    </xf>
    <xf numFmtId="0" fontId="36" fillId="2" borderId="4" xfId="0" applyFont="1" applyFill="1" applyBorder="1" applyAlignment="1" applyProtection="1">
      <alignment horizontal="center" vertical="center"/>
      <protection locked="0"/>
    </xf>
    <xf numFmtId="0" fontId="36" fillId="2" borderId="7" xfId="0" applyFont="1" applyFill="1" applyBorder="1" applyAlignment="1" applyProtection="1">
      <alignment horizontal="center" vertical="center"/>
      <protection locked="0"/>
    </xf>
    <xf numFmtId="0" fontId="36" fillId="2" borderId="8" xfId="0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43" fontId="5" fillId="2" borderId="3" xfId="3" applyFont="1" applyFill="1" applyBorder="1" applyAlignment="1" applyProtection="1">
      <alignment horizontal="center" vertical="center" wrapText="1"/>
      <protection locked="0"/>
    </xf>
    <xf numFmtId="43" fontId="5" fillId="2" borderId="2" xfId="3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31" fillId="2" borderId="3" xfId="0" applyFont="1" applyFill="1" applyBorder="1" applyAlignment="1" applyProtection="1">
      <alignment horizontal="center" vertical="center" wrapText="1" shrinkToFit="1"/>
      <protection locked="0"/>
    </xf>
    <xf numFmtId="0" fontId="31" fillId="2" borderId="2" xfId="0" applyFont="1" applyFill="1" applyBorder="1" applyAlignment="1" applyProtection="1">
      <alignment horizontal="center" vertical="center" wrapText="1" shrinkToFit="1"/>
      <protection locked="0"/>
    </xf>
    <xf numFmtId="0" fontId="10" fillId="5" borderId="3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31" fillId="2" borderId="3" xfId="0" applyFont="1" applyFill="1" applyBorder="1" applyAlignment="1" applyProtection="1">
      <alignment horizontal="center" vertical="center"/>
      <protection locked="0"/>
    </xf>
    <xf numFmtId="0" fontId="31" fillId="2" borderId="2" xfId="0" applyFont="1" applyFill="1" applyBorder="1" applyAlignment="1" applyProtection="1">
      <alignment horizontal="center" vertical="center"/>
      <protection locked="0"/>
    </xf>
    <xf numFmtId="0" fontId="17" fillId="5" borderId="1" xfId="0" applyFont="1" applyFill="1" applyBorder="1" applyAlignment="1" applyProtection="1">
      <alignment horizontal="center" vertical="center"/>
      <protection locked="0"/>
    </xf>
    <xf numFmtId="43" fontId="5" fillId="2" borderId="1" xfId="3" applyFont="1" applyFill="1" applyBorder="1" applyAlignment="1" applyProtection="1">
      <alignment horizontal="center" vertical="center" wrapText="1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</cellXfs>
  <cellStyles count="9">
    <cellStyle name="Comma" xfId="3" builtinId="3"/>
    <cellStyle name="Comma 2" xfId="2"/>
    <cellStyle name="Comma 3" xfId="7"/>
    <cellStyle name="Normal" xfId="0" builtinId="0"/>
    <cellStyle name="Normal 10" xfId="6"/>
    <cellStyle name="Normal 2" xfId="1"/>
    <cellStyle name="Normal 3" xfId="8"/>
    <cellStyle name="Normal_DocSoUnicode" xfId="5"/>
    <cellStyle name="Normal_NhatKy0403" xfId="4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2057400</xdr:colOff>
      <xdr:row>0</xdr:row>
      <xdr:rowOff>0</xdr:rowOff>
    </xdr:from>
    <xdr:ext cx="5156200" cy="1419227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463800" y="0"/>
          <a:ext cx="5156200" cy="1419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2000" b="1">
              <a:latin typeface="Times New Roman" panose="02020603050405020304" pitchFamily="18" charset="0"/>
              <a:cs typeface="Times New Roman" panose="02020603050405020304" pitchFamily="18" charset="0"/>
            </a:rPr>
            <a:t>CÔNG TY TNHH GỖ GERVIN</a:t>
          </a:r>
        </a:p>
        <a:p>
          <a:pPr algn="ctr">
            <a:lnSpc>
              <a:spcPct val="150000"/>
            </a:lnSpc>
            <a:spcBef>
              <a:spcPts val="0"/>
            </a:spcBef>
            <a:spcAft>
              <a:spcPts val="0"/>
            </a:spcAft>
          </a:pP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Địa chỉ: Xóm 3, Hưng Thịnh, Hưng Nguyên, Nghệ An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lnSpc>
              <a:spcPct val="150000"/>
            </a:lnSpc>
            <a:spcBef>
              <a:spcPts val="0"/>
            </a:spcBef>
            <a:spcAft>
              <a:spcPts val="0"/>
            </a:spcAft>
          </a:pPr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Điện thoại: 0967.181.786 - Email: contact@gervinwood.com</a:t>
          </a:r>
          <a:r>
            <a:rPr lang="en-US" sz="1400"/>
            <a:t> </a:t>
          </a:r>
        </a:p>
        <a:p>
          <a:pPr algn="ctr">
            <a:lnSpc>
              <a:spcPct val="150000"/>
            </a:lnSpc>
            <a:spcBef>
              <a:spcPts val="0"/>
            </a:spcBef>
            <a:spcAft>
              <a:spcPts val="0"/>
            </a:spcAft>
          </a:pPr>
          <a:r>
            <a:rPr lang="en-US" sz="14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WWW.GERVINWOOD.COM</a:t>
          </a:r>
        </a:p>
      </xdr:txBody>
    </xdr:sp>
    <xdr:clientData/>
  </xdr:oneCellAnchor>
  <xdr:twoCellAnchor editAs="oneCell">
    <xdr:from>
      <xdr:col>3</xdr:col>
      <xdr:colOff>60324</xdr:colOff>
      <xdr:row>0</xdr:row>
      <xdr:rowOff>158749</xdr:rowOff>
    </xdr:from>
    <xdr:to>
      <xdr:col>3</xdr:col>
      <xdr:colOff>1803400</xdr:colOff>
      <xdr:row>5</xdr:row>
      <xdr:rowOff>44450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4" y="158749"/>
          <a:ext cx="1743076" cy="1739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714375</xdr:colOff>
          <xdr:row>84</xdr:row>
          <xdr:rowOff>28575</xdr:rowOff>
        </xdr:from>
        <xdr:to>
          <xdr:col>16</xdr:col>
          <xdr:colOff>257175</xdr:colOff>
          <xdr:row>90</xdr:row>
          <xdr:rowOff>0</xdr:rowOff>
        </xdr:to>
        <xdr:sp macro="" textlink="">
          <xdr:nvSpPr>
            <xdr:cNvPr id="22534" name="Object 6" hidden="1">
              <a:extLst>
                <a:ext uri="{63B3BB69-23CF-44E3-9099-C40C66FF867C}">
                  <a14:compatExt spid="_x0000_s22534"/>
                </a:ext>
                <a:ext uri="{FF2B5EF4-FFF2-40B4-BE49-F238E27FC236}">
                  <a16:creationId xmlns="" xmlns:a16="http://schemas.microsoft.com/office/drawing/2014/main" id="{00000000-0008-0000-0000-000006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19</xdr:col>
      <xdr:colOff>264583</xdr:colOff>
      <xdr:row>14</xdr:row>
      <xdr:rowOff>59247</xdr:rowOff>
    </xdr:from>
    <xdr:to>
      <xdr:col>26</xdr:col>
      <xdr:colOff>170064</xdr:colOff>
      <xdr:row>26</xdr:row>
      <xdr:rowOff>147535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06333" y="4451330"/>
          <a:ext cx="4720898" cy="2755288"/>
        </a:xfrm>
        <a:prstGeom prst="rect">
          <a:avLst/>
        </a:prstGeom>
      </xdr:spPr>
    </xdr:pic>
    <xdr:clientData/>
  </xdr:twoCellAnchor>
  <xdr:twoCellAnchor editAs="oneCell">
    <xdr:from>
      <xdr:col>19</xdr:col>
      <xdr:colOff>359834</xdr:colOff>
      <xdr:row>32</xdr:row>
      <xdr:rowOff>169334</xdr:rowOff>
    </xdr:from>
    <xdr:to>
      <xdr:col>25</xdr:col>
      <xdr:colOff>357235</xdr:colOff>
      <xdr:row>61</xdr:row>
      <xdr:rowOff>68619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01584" y="8625417"/>
          <a:ext cx="4124901" cy="63445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296394</xdr:colOff>
      <xdr:row>0</xdr:row>
      <xdr:rowOff>167713</xdr:rowOff>
    </xdr:from>
    <xdr:to>
      <xdr:col>1</xdr:col>
      <xdr:colOff>1897529</xdr:colOff>
      <xdr:row>4</xdr:row>
      <xdr:rowOff>134470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169" y="167713"/>
          <a:ext cx="1601135" cy="153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2755900</xdr:colOff>
      <xdr:row>0</xdr:row>
      <xdr:rowOff>0</xdr:rowOff>
    </xdr:from>
    <xdr:ext cx="5222687" cy="1419227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241675" y="0"/>
          <a:ext cx="5222687" cy="1419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2000" b="1">
              <a:latin typeface="Times New Roman" panose="02020603050405020304" pitchFamily="18" charset="0"/>
              <a:cs typeface="Times New Roman" panose="02020603050405020304" pitchFamily="18" charset="0"/>
            </a:rPr>
            <a:t>CÔNG TY TNHH GỖ GERVIN</a:t>
          </a:r>
        </a:p>
        <a:p>
          <a:pPr algn="ctr">
            <a:lnSpc>
              <a:spcPct val="150000"/>
            </a:lnSpc>
            <a:spcBef>
              <a:spcPts val="0"/>
            </a:spcBef>
            <a:spcAft>
              <a:spcPts val="0"/>
            </a:spcAft>
          </a:pP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Địa chỉ: Xóm 3, Hưng Thịnh, Hưng Nguyên, Nghệ An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lnSpc>
              <a:spcPct val="150000"/>
            </a:lnSpc>
            <a:spcBef>
              <a:spcPts val="0"/>
            </a:spcBef>
            <a:spcAft>
              <a:spcPts val="0"/>
            </a:spcAft>
          </a:pPr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Điện thoại: 0967.181.786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- Email: contact@gervinwood.com</a:t>
          </a:r>
          <a:r>
            <a:rPr lang="en-US" sz="1400"/>
            <a:t> </a:t>
          </a:r>
        </a:p>
        <a:p>
          <a:pPr algn="ctr">
            <a:lnSpc>
              <a:spcPct val="150000"/>
            </a:lnSpc>
            <a:spcBef>
              <a:spcPts val="0"/>
            </a:spcBef>
            <a:spcAft>
              <a:spcPts val="0"/>
            </a:spcAft>
          </a:pPr>
          <a:r>
            <a:rPr lang="en-US" sz="14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WWW.GERVINWOOD.COM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T221"/>
  <sheetViews>
    <sheetView tabSelected="1" zoomScale="90" zoomScaleNormal="90" zoomScaleSheetLayoutView="85" workbookViewId="0">
      <selection activeCell="D9" sqref="D9"/>
    </sheetView>
  </sheetViews>
  <sheetFormatPr defaultColWidth="9" defaultRowHeight="15" x14ac:dyDescent="0.25"/>
  <cols>
    <col min="1" max="1" width="4.625" style="19" customWidth="1"/>
    <col min="2" max="2" width="6.375" style="21" customWidth="1"/>
    <col min="3" max="3" width="11.25" style="21" customWidth="1"/>
    <col min="4" max="4" width="47.375" style="35" customWidth="1"/>
    <col min="5" max="6" width="6.75" style="21" customWidth="1"/>
    <col min="7" max="7" width="7.875" style="21" customWidth="1"/>
    <col min="8" max="8" width="11.25" style="21" customWidth="1"/>
    <col min="9" max="11" width="7.375" style="21" customWidth="1"/>
    <col min="12" max="12" width="7.375" style="19" customWidth="1"/>
    <col min="13" max="17" width="10.625" style="19" customWidth="1"/>
    <col min="18" max="18" width="23.75" style="21" customWidth="1"/>
    <col min="19" max="19" width="8" style="19" customWidth="1"/>
    <col min="20" max="16384" width="9" style="19"/>
  </cols>
  <sheetData>
    <row r="1" spans="1:20" ht="37.5" customHeight="1" x14ac:dyDescent="0.25">
      <c r="D1" s="34"/>
      <c r="R1" s="19"/>
    </row>
    <row r="2" spans="1:20" ht="37.5" customHeight="1" x14ac:dyDescent="0.25">
      <c r="O2" s="133"/>
      <c r="P2" s="134"/>
      <c r="Q2" s="134"/>
      <c r="R2" s="135"/>
    </row>
    <row r="3" spans="1:20" ht="37.5" customHeight="1" x14ac:dyDescent="0.25">
      <c r="R3" s="19"/>
    </row>
    <row r="4" spans="1:20" ht="11.25" customHeight="1" x14ac:dyDescent="0.25">
      <c r="R4" s="19"/>
    </row>
    <row r="5" spans="1:20" ht="22.5" x14ac:dyDescent="0.25">
      <c r="D5" s="34"/>
      <c r="E5" s="36"/>
      <c r="F5" s="36"/>
      <c r="I5" s="27" t="s">
        <v>4</v>
      </c>
      <c r="J5" s="27"/>
      <c r="K5" s="27"/>
      <c r="L5" s="37"/>
      <c r="M5" s="27"/>
      <c r="N5" s="27"/>
      <c r="O5" s="27"/>
      <c r="P5" s="27"/>
      <c r="Q5" s="27"/>
      <c r="R5" s="36"/>
    </row>
    <row r="6" spans="1:20" ht="15.75" x14ac:dyDescent="0.25">
      <c r="I6" s="21" t="s">
        <v>108</v>
      </c>
      <c r="M6" s="21"/>
      <c r="N6" s="21"/>
      <c r="O6" s="125"/>
      <c r="P6" s="126"/>
      <c r="Q6" s="127" t="s">
        <v>93</v>
      </c>
      <c r="R6" s="128">
        <v>46091.447916666664</v>
      </c>
    </row>
    <row r="7" spans="1:20" ht="15.75" x14ac:dyDescent="0.25">
      <c r="I7" s="21" t="s">
        <v>29</v>
      </c>
      <c r="J7" s="80"/>
      <c r="M7" s="21"/>
      <c r="N7" s="21"/>
      <c r="O7" s="125"/>
      <c r="P7" s="126"/>
      <c r="Q7" s="127" t="s">
        <v>94</v>
      </c>
      <c r="R7" s="131">
        <v>2</v>
      </c>
    </row>
    <row r="8" spans="1:20" ht="15.75" x14ac:dyDescent="0.25">
      <c r="D8" s="72" t="s">
        <v>109</v>
      </c>
      <c r="O8" s="125"/>
      <c r="P8" s="126"/>
      <c r="Q8" s="127" t="s">
        <v>95</v>
      </c>
      <c r="R8" s="128">
        <f>R6+R7</f>
        <v>46093.447916666664</v>
      </c>
    </row>
    <row r="9" spans="1:20" x14ac:dyDescent="0.25">
      <c r="D9" s="72" t="s">
        <v>107</v>
      </c>
      <c r="R9" s="19"/>
    </row>
    <row r="10" spans="1:20" x14ac:dyDescent="0.25">
      <c r="D10" s="35" t="s">
        <v>5</v>
      </c>
      <c r="R10" s="19"/>
    </row>
    <row r="11" spans="1:20" s="21" customFormat="1" ht="32.1" customHeight="1" x14ac:dyDescent="0.25">
      <c r="A11" s="136" t="s">
        <v>51</v>
      </c>
      <c r="B11" s="140" t="s">
        <v>15</v>
      </c>
      <c r="C11" s="137" t="s">
        <v>53</v>
      </c>
      <c r="D11" s="140" t="s">
        <v>16</v>
      </c>
      <c r="E11" s="141" t="s">
        <v>17</v>
      </c>
      <c r="F11" s="141"/>
      <c r="G11" s="141" t="s">
        <v>11</v>
      </c>
      <c r="H11" s="142" t="s">
        <v>86</v>
      </c>
      <c r="I11" s="141" t="s">
        <v>19</v>
      </c>
      <c r="J11" s="141"/>
      <c r="K11" s="141"/>
      <c r="L11" s="141"/>
      <c r="M11" s="142" t="s">
        <v>26</v>
      </c>
      <c r="N11" s="142" t="s">
        <v>44</v>
      </c>
      <c r="O11" s="144" t="s">
        <v>83</v>
      </c>
      <c r="P11" s="144" t="s">
        <v>90</v>
      </c>
      <c r="Q11" s="146" t="s">
        <v>92</v>
      </c>
      <c r="R11" s="138" t="s">
        <v>30</v>
      </c>
      <c r="S11" s="89"/>
    </row>
    <row r="12" spans="1:20" s="21" customFormat="1" ht="45" customHeight="1" x14ac:dyDescent="0.25">
      <c r="A12" s="136"/>
      <c r="B12" s="140"/>
      <c r="C12" s="137"/>
      <c r="D12" s="140"/>
      <c r="E12" s="82" t="s">
        <v>42</v>
      </c>
      <c r="F12" s="38" t="s">
        <v>18</v>
      </c>
      <c r="G12" s="141"/>
      <c r="H12" s="143"/>
      <c r="I12" s="70" t="s">
        <v>22</v>
      </c>
      <c r="J12" s="70" t="s">
        <v>22</v>
      </c>
      <c r="K12" s="38" t="s">
        <v>18</v>
      </c>
      <c r="L12" s="38" t="s">
        <v>18</v>
      </c>
      <c r="M12" s="143"/>
      <c r="N12" s="143"/>
      <c r="O12" s="145"/>
      <c r="P12" s="145"/>
      <c r="Q12" s="147"/>
      <c r="R12" s="139"/>
      <c r="S12" s="90" t="s">
        <v>40</v>
      </c>
    </row>
    <row r="13" spans="1:20" s="39" customFormat="1" ht="22.5" customHeight="1" x14ac:dyDescent="0.25">
      <c r="A13" s="97" t="s">
        <v>52</v>
      </c>
      <c r="B13" s="60" t="s">
        <v>45</v>
      </c>
      <c r="C13" s="60"/>
      <c r="D13" s="79" t="s">
        <v>27</v>
      </c>
      <c r="E13" s="61"/>
      <c r="F13" s="61"/>
      <c r="G13" s="61">
        <f>SUM(G15:G68)</f>
        <v>0</v>
      </c>
      <c r="H13" s="61"/>
      <c r="I13" s="61"/>
      <c r="J13" s="61"/>
      <c r="K13" s="61"/>
      <c r="L13" s="61"/>
      <c r="M13" s="73">
        <f>SUM(M15:M68)</f>
        <v>0</v>
      </c>
      <c r="N13" s="73">
        <f t="shared" ref="N13:Q13" si="0">SUM(N15:N68)</f>
        <v>0</v>
      </c>
      <c r="O13" s="73">
        <f t="shared" si="0"/>
        <v>0</v>
      </c>
      <c r="P13" s="73">
        <f t="shared" si="0"/>
        <v>0</v>
      </c>
      <c r="Q13" s="73">
        <f t="shared" si="0"/>
        <v>0</v>
      </c>
      <c r="R13" s="61"/>
      <c r="S13" s="90" t="s">
        <v>43</v>
      </c>
      <c r="T13" s="21"/>
    </row>
    <row r="14" spans="1:20" s="39" customFormat="1" ht="22.5" customHeight="1" x14ac:dyDescent="0.25">
      <c r="A14" s="97" t="s">
        <v>52</v>
      </c>
      <c r="B14" s="83" t="s">
        <v>6</v>
      </c>
      <c r="C14" s="83"/>
      <c r="D14" s="84" t="s">
        <v>105</v>
      </c>
      <c r="E14" s="60"/>
      <c r="F14" s="60"/>
      <c r="G14" s="60"/>
      <c r="H14" s="60"/>
      <c r="I14" s="60"/>
      <c r="J14" s="60"/>
      <c r="K14" s="60"/>
      <c r="L14" s="62"/>
      <c r="M14" s="93"/>
      <c r="N14" s="93"/>
      <c r="O14" s="93"/>
      <c r="P14" s="93"/>
      <c r="Q14" s="93"/>
      <c r="R14" s="62"/>
      <c r="S14" s="91" t="s">
        <v>28</v>
      </c>
    </row>
    <row r="15" spans="1:20" s="39" customFormat="1" ht="17.25" customHeight="1" x14ac:dyDescent="0.25">
      <c r="A15" s="97" t="s">
        <v>52</v>
      </c>
      <c r="B15" s="76">
        <v>1</v>
      </c>
      <c r="C15" s="76"/>
      <c r="D15" s="78"/>
      <c r="E15" s="71"/>
      <c r="F15" s="71"/>
      <c r="G15" s="71"/>
      <c r="H15" s="71" t="str">
        <f>$S$13&amp;S15</f>
        <v>Vát 0</v>
      </c>
      <c r="I15" s="77"/>
      <c r="J15" s="77"/>
      <c r="K15" s="77"/>
      <c r="L15" s="77"/>
      <c r="M15" s="15">
        <f>(IF(I15="T", E15,0)+IF(J15="T", E15,0)+IF(K15="T", F15,0)+IF(L15="T", F15,0))/1000*G15</f>
        <v>0</v>
      </c>
      <c r="N15" s="81">
        <f>(IF(I15="V", E15,0)+IF(J15="V", E15,0)+IF(K15="V", F15,0)+IF(L15="V", F15,0))/1000*G15</f>
        <v>0</v>
      </c>
      <c r="O15" s="81">
        <f>(IF(I15="T42", E15,0)+IF(J15="T42", E15,0)+IF(K15="T42", F15,0)+IF(L15="T42", F15,0))/1000*G15</f>
        <v>0</v>
      </c>
      <c r="P15" s="81">
        <f>IF(OR(AND(E15&gt;=40,E15&lt;=59),AND(F15&gt;=40,F15&lt;=59)),M15,0)</f>
        <v>0</v>
      </c>
      <c r="Q15" s="81">
        <f>IF(OR(E15&lt;=39,F15 &lt;= 39), M15,0)</f>
        <v>0</v>
      </c>
      <c r="R15" s="76"/>
      <c r="S15" s="78">
        <f>F15</f>
        <v>0</v>
      </c>
    </row>
    <row r="16" spans="1:20" s="39" customFormat="1" ht="17.25" customHeight="1" x14ac:dyDescent="0.25">
      <c r="A16" s="97" t="s">
        <v>52</v>
      </c>
      <c r="B16" s="76">
        <v>2</v>
      </c>
      <c r="C16" s="76"/>
      <c r="D16" s="78"/>
      <c r="E16" s="71"/>
      <c r="F16" s="71"/>
      <c r="G16" s="71"/>
      <c r="H16" s="71" t="str">
        <f t="shared" ref="H16:H28" si="1">$S$13&amp;S16</f>
        <v>Vát 0</v>
      </c>
      <c r="I16" s="77"/>
      <c r="J16" s="77"/>
      <c r="K16" s="77"/>
      <c r="L16" s="77"/>
      <c r="M16" s="15">
        <f t="shared" ref="M16:M28" si="2">(IF(I16="T", E16,0)+IF(J16="T", E16,0)+IF(K16="T", F16,0)+IF(L16="T", F16,0))/1000*G16</f>
        <v>0</v>
      </c>
      <c r="N16" s="81">
        <f t="shared" ref="N16:N28" si="3">(IF(I16="V", E16,0)+IF(J16="V", E16,0)+IF(K16="V", F16,0)+IF(L16="V", F16,0))/1000*G16</f>
        <v>0</v>
      </c>
      <c r="O16" s="81">
        <f t="shared" ref="O16:O28" si="4">(IF(I16="T42", E16,0)+IF(J16="T42", E16,0)+IF(K16="T42", F16,0)+IF(L16="T42", F16,0))/1000*G16</f>
        <v>0</v>
      </c>
      <c r="P16" s="81">
        <f t="shared" ref="P16:P28" si="5">IF(OR(AND(E16&gt;=40,E16&lt;=59),AND(F16&gt;=40,F16&lt;=59)),M16,0)</f>
        <v>0</v>
      </c>
      <c r="Q16" s="81">
        <f t="shared" ref="Q16:Q28" si="6">IF(OR(E16&lt;=39,F16 &lt;= 39), M16,0)</f>
        <v>0</v>
      </c>
      <c r="R16" s="76"/>
      <c r="S16" s="78">
        <f t="shared" ref="S16:S28" si="7">F16</f>
        <v>0</v>
      </c>
    </row>
    <row r="17" spans="1:19" s="39" customFormat="1" ht="17.25" customHeight="1" x14ac:dyDescent="0.25">
      <c r="A17" s="97" t="s">
        <v>52</v>
      </c>
      <c r="B17" s="76">
        <v>3</v>
      </c>
      <c r="C17" s="76"/>
      <c r="D17" s="78"/>
      <c r="E17" s="71"/>
      <c r="F17" s="71"/>
      <c r="G17" s="71"/>
      <c r="H17" s="71" t="str">
        <f t="shared" si="1"/>
        <v>Vát 0</v>
      </c>
      <c r="I17" s="77"/>
      <c r="J17" s="77"/>
      <c r="K17" s="77"/>
      <c r="L17" s="77"/>
      <c r="M17" s="15">
        <f t="shared" si="2"/>
        <v>0</v>
      </c>
      <c r="N17" s="81">
        <f t="shared" si="3"/>
        <v>0</v>
      </c>
      <c r="O17" s="81">
        <f t="shared" si="4"/>
        <v>0</v>
      </c>
      <c r="P17" s="81">
        <f t="shared" si="5"/>
        <v>0</v>
      </c>
      <c r="Q17" s="81">
        <f t="shared" si="6"/>
        <v>0</v>
      </c>
      <c r="R17" s="76"/>
      <c r="S17" s="78">
        <f t="shared" si="7"/>
        <v>0</v>
      </c>
    </row>
    <row r="18" spans="1:19" s="39" customFormat="1" ht="17.25" customHeight="1" x14ac:dyDescent="0.25">
      <c r="A18" s="97" t="s">
        <v>52</v>
      </c>
      <c r="B18" s="76">
        <v>4</v>
      </c>
      <c r="C18" s="76"/>
      <c r="D18" s="78"/>
      <c r="E18" s="71"/>
      <c r="F18" s="71"/>
      <c r="G18" s="71"/>
      <c r="H18" s="71" t="str">
        <f t="shared" si="1"/>
        <v>Vát 0</v>
      </c>
      <c r="I18" s="77"/>
      <c r="J18" s="77"/>
      <c r="K18" s="77"/>
      <c r="L18" s="77"/>
      <c r="M18" s="15">
        <f t="shared" si="2"/>
        <v>0</v>
      </c>
      <c r="N18" s="81">
        <f t="shared" si="3"/>
        <v>0</v>
      </c>
      <c r="O18" s="81">
        <f t="shared" si="4"/>
        <v>0</v>
      </c>
      <c r="P18" s="81">
        <f t="shared" si="5"/>
        <v>0</v>
      </c>
      <c r="Q18" s="81">
        <f t="shared" si="6"/>
        <v>0</v>
      </c>
      <c r="R18" s="76"/>
      <c r="S18" s="78">
        <f t="shared" si="7"/>
        <v>0</v>
      </c>
    </row>
    <row r="19" spans="1:19" s="39" customFormat="1" ht="17.25" customHeight="1" x14ac:dyDescent="0.25">
      <c r="A19" s="97" t="s">
        <v>52</v>
      </c>
      <c r="B19" s="76">
        <v>5</v>
      </c>
      <c r="C19" s="76"/>
      <c r="D19" s="78"/>
      <c r="E19" s="71"/>
      <c r="F19" s="71"/>
      <c r="G19" s="71"/>
      <c r="H19" s="71" t="str">
        <f t="shared" si="1"/>
        <v>Vát 0</v>
      </c>
      <c r="I19" s="77"/>
      <c r="J19" s="77"/>
      <c r="K19" s="77"/>
      <c r="L19" s="77"/>
      <c r="M19" s="15">
        <f t="shared" si="2"/>
        <v>0</v>
      </c>
      <c r="N19" s="81">
        <f t="shared" si="3"/>
        <v>0</v>
      </c>
      <c r="O19" s="81">
        <f t="shared" si="4"/>
        <v>0</v>
      </c>
      <c r="P19" s="81">
        <f t="shared" si="5"/>
        <v>0</v>
      </c>
      <c r="Q19" s="81">
        <f t="shared" si="6"/>
        <v>0</v>
      </c>
      <c r="R19" s="76"/>
      <c r="S19" s="78">
        <f t="shared" si="7"/>
        <v>0</v>
      </c>
    </row>
    <row r="20" spans="1:19" s="39" customFormat="1" ht="17.25" customHeight="1" x14ac:dyDescent="0.25">
      <c r="A20" s="97" t="s">
        <v>52</v>
      </c>
      <c r="B20" s="76">
        <v>6</v>
      </c>
      <c r="C20" s="76"/>
      <c r="D20" s="78"/>
      <c r="E20" s="71"/>
      <c r="F20" s="71"/>
      <c r="G20" s="71"/>
      <c r="H20" s="71" t="str">
        <f t="shared" si="1"/>
        <v>Vát 0</v>
      </c>
      <c r="I20" s="77"/>
      <c r="J20" s="77"/>
      <c r="K20" s="77"/>
      <c r="L20" s="77"/>
      <c r="M20" s="15">
        <f t="shared" si="2"/>
        <v>0</v>
      </c>
      <c r="N20" s="81">
        <f t="shared" si="3"/>
        <v>0</v>
      </c>
      <c r="O20" s="81">
        <f t="shared" si="4"/>
        <v>0</v>
      </c>
      <c r="P20" s="81">
        <f t="shared" si="5"/>
        <v>0</v>
      </c>
      <c r="Q20" s="81">
        <f t="shared" si="6"/>
        <v>0</v>
      </c>
      <c r="R20" s="76"/>
      <c r="S20" s="78">
        <f t="shared" si="7"/>
        <v>0</v>
      </c>
    </row>
    <row r="21" spans="1:19" s="39" customFormat="1" ht="17.25" customHeight="1" x14ac:dyDescent="0.25">
      <c r="A21" s="97" t="s">
        <v>52</v>
      </c>
      <c r="B21" s="76">
        <v>7</v>
      </c>
      <c r="C21" s="76"/>
      <c r="D21" s="78"/>
      <c r="E21" s="71"/>
      <c r="F21" s="71"/>
      <c r="G21" s="71"/>
      <c r="H21" s="71" t="str">
        <f t="shared" si="1"/>
        <v>Vát 0</v>
      </c>
      <c r="I21" s="77"/>
      <c r="J21" s="77"/>
      <c r="K21" s="77"/>
      <c r="L21" s="77"/>
      <c r="M21" s="15">
        <f t="shared" si="2"/>
        <v>0</v>
      </c>
      <c r="N21" s="81">
        <f t="shared" si="3"/>
        <v>0</v>
      </c>
      <c r="O21" s="81">
        <f t="shared" si="4"/>
        <v>0</v>
      </c>
      <c r="P21" s="81">
        <f t="shared" si="5"/>
        <v>0</v>
      </c>
      <c r="Q21" s="81">
        <f t="shared" si="6"/>
        <v>0</v>
      </c>
      <c r="R21" s="76"/>
      <c r="S21" s="78">
        <f t="shared" si="7"/>
        <v>0</v>
      </c>
    </row>
    <row r="22" spans="1:19" s="39" customFormat="1" ht="17.25" customHeight="1" x14ac:dyDescent="0.25">
      <c r="A22" s="97" t="s">
        <v>52</v>
      </c>
      <c r="B22" s="76">
        <v>8</v>
      </c>
      <c r="C22" s="76"/>
      <c r="D22" s="78"/>
      <c r="E22" s="71"/>
      <c r="F22" s="71"/>
      <c r="G22" s="71"/>
      <c r="H22" s="71" t="str">
        <f t="shared" si="1"/>
        <v>Vát 0</v>
      </c>
      <c r="I22" s="77"/>
      <c r="J22" s="77"/>
      <c r="K22" s="77"/>
      <c r="L22" s="77"/>
      <c r="M22" s="15">
        <f t="shared" si="2"/>
        <v>0</v>
      </c>
      <c r="N22" s="81">
        <f t="shared" si="3"/>
        <v>0</v>
      </c>
      <c r="O22" s="81">
        <f t="shared" si="4"/>
        <v>0</v>
      </c>
      <c r="P22" s="81">
        <f t="shared" si="5"/>
        <v>0</v>
      </c>
      <c r="Q22" s="81">
        <f t="shared" si="6"/>
        <v>0</v>
      </c>
      <c r="R22" s="76"/>
      <c r="S22" s="78">
        <f t="shared" si="7"/>
        <v>0</v>
      </c>
    </row>
    <row r="23" spans="1:19" s="39" customFormat="1" ht="17.25" customHeight="1" x14ac:dyDescent="0.25">
      <c r="A23" s="97" t="s">
        <v>52</v>
      </c>
      <c r="B23" s="76">
        <v>9</v>
      </c>
      <c r="C23" s="76"/>
      <c r="D23" s="78"/>
      <c r="E23" s="71"/>
      <c r="F23" s="71"/>
      <c r="G23" s="71"/>
      <c r="H23" s="71" t="str">
        <f t="shared" si="1"/>
        <v>Vát 0</v>
      </c>
      <c r="I23" s="77"/>
      <c r="J23" s="77"/>
      <c r="K23" s="77"/>
      <c r="L23" s="77"/>
      <c r="M23" s="15">
        <f t="shared" si="2"/>
        <v>0</v>
      </c>
      <c r="N23" s="81">
        <f t="shared" si="3"/>
        <v>0</v>
      </c>
      <c r="O23" s="81">
        <f t="shared" si="4"/>
        <v>0</v>
      </c>
      <c r="P23" s="81">
        <f t="shared" si="5"/>
        <v>0</v>
      </c>
      <c r="Q23" s="81">
        <f t="shared" si="6"/>
        <v>0</v>
      </c>
      <c r="R23" s="76"/>
      <c r="S23" s="78">
        <f t="shared" si="7"/>
        <v>0</v>
      </c>
    </row>
    <row r="24" spans="1:19" s="39" customFormat="1" ht="17.25" customHeight="1" x14ac:dyDescent="0.25">
      <c r="A24" s="97" t="s">
        <v>52</v>
      </c>
      <c r="B24" s="76">
        <v>10</v>
      </c>
      <c r="C24" s="76"/>
      <c r="D24" s="78"/>
      <c r="E24" s="71"/>
      <c r="F24" s="71"/>
      <c r="G24" s="71"/>
      <c r="H24" s="71" t="str">
        <f t="shared" si="1"/>
        <v>Vát 0</v>
      </c>
      <c r="I24" s="77"/>
      <c r="J24" s="77"/>
      <c r="K24" s="77"/>
      <c r="L24" s="77"/>
      <c r="M24" s="15">
        <f t="shared" si="2"/>
        <v>0</v>
      </c>
      <c r="N24" s="81">
        <f t="shared" si="3"/>
        <v>0</v>
      </c>
      <c r="O24" s="81">
        <f t="shared" si="4"/>
        <v>0</v>
      </c>
      <c r="P24" s="81">
        <f t="shared" si="5"/>
        <v>0</v>
      </c>
      <c r="Q24" s="81">
        <f t="shared" si="6"/>
        <v>0</v>
      </c>
      <c r="R24" s="76"/>
      <c r="S24" s="78">
        <f t="shared" si="7"/>
        <v>0</v>
      </c>
    </row>
    <row r="25" spans="1:19" s="39" customFormat="1" ht="17.25" customHeight="1" x14ac:dyDescent="0.25">
      <c r="A25" s="97" t="s">
        <v>52</v>
      </c>
      <c r="B25" s="76">
        <v>11</v>
      </c>
      <c r="C25" s="76"/>
      <c r="D25" s="78"/>
      <c r="E25" s="71"/>
      <c r="F25" s="71"/>
      <c r="G25" s="71"/>
      <c r="H25" s="71" t="str">
        <f t="shared" si="1"/>
        <v>Vát 0</v>
      </c>
      <c r="I25" s="77"/>
      <c r="J25" s="77"/>
      <c r="K25" s="77"/>
      <c r="L25" s="77"/>
      <c r="M25" s="15">
        <f t="shared" si="2"/>
        <v>0</v>
      </c>
      <c r="N25" s="81">
        <f t="shared" si="3"/>
        <v>0</v>
      </c>
      <c r="O25" s="81">
        <f t="shared" si="4"/>
        <v>0</v>
      </c>
      <c r="P25" s="81">
        <f t="shared" si="5"/>
        <v>0</v>
      </c>
      <c r="Q25" s="81">
        <f t="shared" si="6"/>
        <v>0</v>
      </c>
      <c r="R25" s="76"/>
      <c r="S25" s="78">
        <f t="shared" si="7"/>
        <v>0</v>
      </c>
    </row>
    <row r="26" spans="1:19" s="39" customFormat="1" ht="17.25" customHeight="1" x14ac:dyDescent="0.25">
      <c r="A26" s="97" t="s">
        <v>52</v>
      </c>
      <c r="B26" s="76">
        <v>12</v>
      </c>
      <c r="C26" s="76"/>
      <c r="D26" s="78"/>
      <c r="E26" s="71"/>
      <c r="F26" s="71"/>
      <c r="G26" s="71"/>
      <c r="H26" s="71" t="str">
        <f t="shared" si="1"/>
        <v>Vát 0</v>
      </c>
      <c r="I26" s="77"/>
      <c r="J26" s="77"/>
      <c r="K26" s="77"/>
      <c r="L26" s="77"/>
      <c r="M26" s="15">
        <f t="shared" si="2"/>
        <v>0</v>
      </c>
      <c r="N26" s="81">
        <f t="shared" si="3"/>
        <v>0</v>
      </c>
      <c r="O26" s="81">
        <f t="shared" si="4"/>
        <v>0</v>
      </c>
      <c r="P26" s="81">
        <f t="shared" si="5"/>
        <v>0</v>
      </c>
      <c r="Q26" s="81">
        <f t="shared" si="6"/>
        <v>0</v>
      </c>
      <c r="R26" s="76"/>
      <c r="S26" s="78">
        <f t="shared" si="7"/>
        <v>0</v>
      </c>
    </row>
    <row r="27" spans="1:19" s="39" customFormat="1" ht="17.25" customHeight="1" x14ac:dyDescent="0.25">
      <c r="A27" s="97" t="s">
        <v>52</v>
      </c>
      <c r="B27" s="76">
        <v>13</v>
      </c>
      <c r="C27" s="76"/>
      <c r="D27" s="78"/>
      <c r="E27" s="71"/>
      <c r="F27" s="71"/>
      <c r="G27" s="71"/>
      <c r="H27" s="71" t="str">
        <f t="shared" si="1"/>
        <v>Vát 0</v>
      </c>
      <c r="I27" s="77"/>
      <c r="J27" s="77"/>
      <c r="K27" s="77"/>
      <c r="L27" s="77"/>
      <c r="M27" s="15">
        <f t="shared" si="2"/>
        <v>0</v>
      </c>
      <c r="N27" s="81">
        <f t="shared" si="3"/>
        <v>0</v>
      </c>
      <c r="O27" s="81">
        <f t="shared" si="4"/>
        <v>0</v>
      </c>
      <c r="P27" s="81">
        <f t="shared" si="5"/>
        <v>0</v>
      </c>
      <c r="Q27" s="81">
        <f t="shared" si="6"/>
        <v>0</v>
      </c>
      <c r="R27" s="76"/>
      <c r="S27" s="78">
        <f t="shared" si="7"/>
        <v>0</v>
      </c>
    </row>
    <row r="28" spans="1:19" s="39" customFormat="1" ht="17.25" customHeight="1" x14ac:dyDescent="0.25">
      <c r="A28" s="97" t="s">
        <v>52</v>
      </c>
      <c r="B28" s="76">
        <v>14</v>
      </c>
      <c r="C28" s="76"/>
      <c r="D28" s="78"/>
      <c r="E28" s="71"/>
      <c r="F28" s="71"/>
      <c r="G28" s="71"/>
      <c r="H28" s="71" t="str">
        <f t="shared" si="1"/>
        <v>Vát 0</v>
      </c>
      <c r="I28" s="77"/>
      <c r="J28" s="77"/>
      <c r="K28" s="77"/>
      <c r="L28" s="77"/>
      <c r="M28" s="15">
        <f t="shared" si="2"/>
        <v>0</v>
      </c>
      <c r="N28" s="81">
        <f t="shared" si="3"/>
        <v>0</v>
      </c>
      <c r="O28" s="81">
        <f t="shared" si="4"/>
        <v>0</v>
      </c>
      <c r="P28" s="81">
        <f t="shared" si="5"/>
        <v>0</v>
      </c>
      <c r="Q28" s="81">
        <f t="shared" si="6"/>
        <v>0</v>
      </c>
      <c r="R28" s="76"/>
      <c r="S28" s="78">
        <f t="shared" si="7"/>
        <v>0</v>
      </c>
    </row>
    <row r="29" spans="1:19" s="39" customFormat="1" ht="22.5" customHeight="1" x14ac:dyDescent="0.25">
      <c r="A29" s="97" t="s">
        <v>52</v>
      </c>
      <c r="B29" s="83" t="s">
        <v>102</v>
      </c>
      <c r="C29" s="83"/>
      <c r="D29" s="84" t="s">
        <v>106</v>
      </c>
      <c r="E29" s="60"/>
      <c r="F29" s="60"/>
      <c r="G29" s="60"/>
      <c r="H29" s="60"/>
      <c r="I29" s="60"/>
      <c r="J29" s="60"/>
      <c r="K29" s="60"/>
      <c r="L29" s="62"/>
      <c r="M29" s="93"/>
      <c r="N29" s="93"/>
      <c r="O29" s="93"/>
      <c r="P29" s="93"/>
      <c r="Q29" s="93"/>
      <c r="R29" s="62"/>
      <c r="S29" s="91" t="s">
        <v>28</v>
      </c>
    </row>
    <row r="30" spans="1:19" s="39" customFormat="1" ht="17.25" customHeight="1" x14ac:dyDescent="0.25">
      <c r="A30" s="97" t="s">
        <v>52</v>
      </c>
      <c r="B30" s="76">
        <v>1</v>
      </c>
      <c r="C30" s="76"/>
      <c r="D30" s="78"/>
      <c r="E30" s="71"/>
      <c r="F30" s="71"/>
      <c r="G30" s="71"/>
      <c r="H30" s="71" t="str">
        <f t="shared" ref="H30:H68" si="8">$S$13&amp;S30</f>
        <v>Vát 0</v>
      </c>
      <c r="I30" s="77"/>
      <c r="J30" s="77"/>
      <c r="K30" s="77"/>
      <c r="L30" s="77"/>
      <c r="M30" s="15">
        <f t="shared" ref="M30:M68" si="9">(IF(I30="T", E30,0)+IF(J30="T", E30,0)+IF(K30="T", F30,0)+IF(L30="T", F30,0))/1000*G30</f>
        <v>0</v>
      </c>
      <c r="N30" s="81">
        <f t="shared" ref="N30:N68" si="10">(IF(I30="V", E30,0)+IF(J30="V", E30,0)+IF(K30="V", F30,0)+IF(L30="V", F30,0))/1000*G30</f>
        <v>0</v>
      </c>
      <c r="O30" s="81">
        <f t="shared" ref="O30:O68" si="11">(IF(I30="T42", E30,0)+IF(J30="T42", E30,0)+IF(K30="T42", F30,0)+IF(L30="T42", F30,0))/1000*G30</f>
        <v>0</v>
      </c>
      <c r="P30" s="81">
        <f t="shared" ref="P30:P68" si="12">IF(OR(AND(E30&gt;=40,E30&lt;=59),AND(F30&gt;=40,F30&lt;=59)),M30,0)</f>
        <v>0</v>
      </c>
      <c r="Q30" s="81">
        <f t="shared" ref="Q30:Q68" si="13">IF(OR(E30&lt;=39,F30 &lt;= 39), M30,0)</f>
        <v>0</v>
      </c>
      <c r="R30" s="76"/>
      <c r="S30" s="78">
        <f t="shared" ref="S30:S68" si="14">F30</f>
        <v>0</v>
      </c>
    </row>
    <row r="31" spans="1:19" s="39" customFormat="1" ht="17.25" customHeight="1" x14ac:dyDescent="0.25">
      <c r="A31" s="97" t="s">
        <v>52</v>
      </c>
      <c r="B31" s="76">
        <v>2</v>
      </c>
      <c r="C31" s="76"/>
      <c r="D31" s="78"/>
      <c r="E31" s="71"/>
      <c r="F31" s="71"/>
      <c r="G31" s="71"/>
      <c r="H31" s="71" t="str">
        <f t="shared" si="8"/>
        <v>Vát 0</v>
      </c>
      <c r="I31" s="77"/>
      <c r="J31" s="77"/>
      <c r="K31" s="77"/>
      <c r="L31" s="77"/>
      <c r="M31" s="15">
        <f t="shared" si="9"/>
        <v>0</v>
      </c>
      <c r="N31" s="81">
        <f t="shared" si="10"/>
        <v>0</v>
      </c>
      <c r="O31" s="81">
        <f t="shared" si="11"/>
        <v>0</v>
      </c>
      <c r="P31" s="81">
        <f t="shared" si="12"/>
        <v>0</v>
      </c>
      <c r="Q31" s="81">
        <f t="shared" si="13"/>
        <v>0</v>
      </c>
      <c r="R31" s="76"/>
      <c r="S31" s="78">
        <f t="shared" si="14"/>
        <v>0</v>
      </c>
    </row>
    <row r="32" spans="1:19" s="39" customFormat="1" ht="17.25" customHeight="1" x14ac:dyDescent="0.25">
      <c r="A32" s="97" t="s">
        <v>52</v>
      </c>
      <c r="B32" s="76">
        <v>3</v>
      </c>
      <c r="C32" s="76"/>
      <c r="D32" s="78"/>
      <c r="E32" s="71"/>
      <c r="F32" s="71"/>
      <c r="G32" s="71"/>
      <c r="H32" s="71" t="str">
        <f t="shared" si="8"/>
        <v>Vát 0</v>
      </c>
      <c r="I32" s="77"/>
      <c r="J32" s="77"/>
      <c r="K32" s="77"/>
      <c r="L32" s="77"/>
      <c r="M32" s="15">
        <f t="shared" si="9"/>
        <v>0</v>
      </c>
      <c r="N32" s="81">
        <f t="shared" si="10"/>
        <v>0</v>
      </c>
      <c r="O32" s="81">
        <f t="shared" si="11"/>
        <v>0</v>
      </c>
      <c r="P32" s="81">
        <f t="shared" si="12"/>
        <v>0</v>
      </c>
      <c r="Q32" s="81">
        <f t="shared" si="13"/>
        <v>0</v>
      </c>
      <c r="R32" s="76"/>
      <c r="S32" s="78">
        <f t="shared" si="14"/>
        <v>0</v>
      </c>
    </row>
    <row r="33" spans="1:19" s="39" customFormat="1" ht="17.25" customHeight="1" x14ac:dyDescent="0.25">
      <c r="A33" s="97" t="s">
        <v>52</v>
      </c>
      <c r="B33" s="76">
        <v>4</v>
      </c>
      <c r="C33" s="76"/>
      <c r="D33" s="78"/>
      <c r="E33" s="71"/>
      <c r="F33" s="71"/>
      <c r="G33" s="71"/>
      <c r="H33" s="71" t="str">
        <f t="shared" si="8"/>
        <v>Vát 0</v>
      </c>
      <c r="I33" s="77"/>
      <c r="J33" s="77"/>
      <c r="K33" s="77"/>
      <c r="L33" s="77"/>
      <c r="M33" s="15">
        <f t="shared" si="9"/>
        <v>0</v>
      </c>
      <c r="N33" s="81">
        <f t="shared" si="10"/>
        <v>0</v>
      </c>
      <c r="O33" s="81">
        <f t="shared" si="11"/>
        <v>0</v>
      </c>
      <c r="P33" s="81">
        <f t="shared" si="12"/>
        <v>0</v>
      </c>
      <c r="Q33" s="81">
        <f t="shared" si="13"/>
        <v>0</v>
      </c>
      <c r="R33" s="76"/>
      <c r="S33" s="78">
        <f t="shared" si="14"/>
        <v>0</v>
      </c>
    </row>
    <row r="34" spans="1:19" s="39" customFormat="1" ht="17.25" customHeight="1" x14ac:dyDescent="0.25">
      <c r="A34" s="97" t="s">
        <v>52</v>
      </c>
      <c r="B34" s="76">
        <v>5</v>
      </c>
      <c r="C34" s="76"/>
      <c r="D34" s="78"/>
      <c r="E34" s="71"/>
      <c r="F34" s="71"/>
      <c r="G34" s="71"/>
      <c r="H34" s="71" t="str">
        <f t="shared" si="8"/>
        <v>Vát 0</v>
      </c>
      <c r="I34" s="77"/>
      <c r="J34" s="77"/>
      <c r="K34" s="77"/>
      <c r="L34" s="77"/>
      <c r="M34" s="15">
        <f t="shared" si="9"/>
        <v>0</v>
      </c>
      <c r="N34" s="81">
        <f t="shared" si="10"/>
        <v>0</v>
      </c>
      <c r="O34" s="81">
        <f t="shared" si="11"/>
        <v>0</v>
      </c>
      <c r="P34" s="81">
        <f t="shared" si="12"/>
        <v>0</v>
      </c>
      <c r="Q34" s="81">
        <f t="shared" si="13"/>
        <v>0</v>
      </c>
      <c r="R34" s="76"/>
      <c r="S34" s="78">
        <f t="shared" si="14"/>
        <v>0</v>
      </c>
    </row>
    <row r="35" spans="1:19" s="39" customFormat="1" ht="17.25" customHeight="1" x14ac:dyDescent="0.25">
      <c r="A35" s="97" t="s">
        <v>52</v>
      </c>
      <c r="B35" s="76">
        <v>6</v>
      </c>
      <c r="C35" s="76"/>
      <c r="D35" s="78"/>
      <c r="E35" s="71"/>
      <c r="F35" s="71"/>
      <c r="G35" s="71"/>
      <c r="H35" s="71" t="str">
        <f t="shared" si="8"/>
        <v>Vát 0</v>
      </c>
      <c r="I35" s="77"/>
      <c r="J35" s="77"/>
      <c r="K35" s="77"/>
      <c r="L35" s="77"/>
      <c r="M35" s="15">
        <f t="shared" si="9"/>
        <v>0</v>
      </c>
      <c r="N35" s="81">
        <f t="shared" si="10"/>
        <v>0</v>
      </c>
      <c r="O35" s="81">
        <f t="shared" si="11"/>
        <v>0</v>
      </c>
      <c r="P35" s="81">
        <f t="shared" si="12"/>
        <v>0</v>
      </c>
      <c r="Q35" s="81">
        <f t="shared" si="13"/>
        <v>0</v>
      </c>
      <c r="R35" s="76"/>
      <c r="S35" s="78">
        <f t="shared" si="14"/>
        <v>0</v>
      </c>
    </row>
    <row r="36" spans="1:19" s="39" customFormat="1" ht="17.25" customHeight="1" x14ac:dyDescent="0.25">
      <c r="A36" s="97" t="s">
        <v>52</v>
      </c>
      <c r="B36" s="76">
        <v>7</v>
      </c>
      <c r="C36" s="76"/>
      <c r="D36" s="78"/>
      <c r="E36" s="71"/>
      <c r="F36" s="71"/>
      <c r="G36" s="71"/>
      <c r="H36" s="71" t="str">
        <f t="shared" si="8"/>
        <v>Vát 0</v>
      </c>
      <c r="I36" s="77"/>
      <c r="J36" s="77"/>
      <c r="K36" s="77"/>
      <c r="L36" s="77"/>
      <c r="M36" s="15">
        <f t="shared" si="9"/>
        <v>0</v>
      </c>
      <c r="N36" s="81">
        <f t="shared" si="10"/>
        <v>0</v>
      </c>
      <c r="O36" s="81">
        <f t="shared" si="11"/>
        <v>0</v>
      </c>
      <c r="P36" s="81">
        <f t="shared" si="12"/>
        <v>0</v>
      </c>
      <c r="Q36" s="81">
        <f t="shared" si="13"/>
        <v>0</v>
      </c>
      <c r="R36" s="76"/>
      <c r="S36" s="78">
        <f t="shared" si="14"/>
        <v>0</v>
      </c>
    </row>
    <row r="37" spans="1:19" s="39" customFormat="1" ht="17.25" customHeight="1" x14ac:dyDescent="0.25">
      <c r="A37" s="97" t="s">
        <v>52</v>
      </c>
      <c r="B37" s="76">
        <v>8</v>
      </c>
      <c r="C37" s="76"/>
      <c r="D37" s="78"/>
      <c r="E37" s="71"/>
      <c r="F37" s="71"/>
      <c r="G37" s="71"/>
      <c r="H37" s="71" t="str">
        <f t="shared" si="8"/>
        <v>Vát 0</v>
      </c>
      <c r="I37" s="77"/>
      <c r="J37" s="77"/>
      <c r="K37" s="77"/>
      <c r="L37" s="77"/>
      <c r="M37" s="15">
        <f t="shared" si="9"/>
        <v>0</v>
      </c>
      <c r="N37" s="81">
        <f t="shared" si="10"/>
        <v>0</v>
      </c>
      <c r="O37" s="81">
        <f t="shared" si="11"/>
        <v>0</v>
      </c>
      <c r="P37" s="81">
        <f t="shared" si="12"/>
        <v>0</v>
      </c>
      <c r="Q37" s="81">
        <f t="shared" si="13"/>
        <v>0</v>
      </c>
      <c r="R37" s="76"/>
      <c r="S37" s="78">
        <f t="shared" si="14"/>
        <v>0</v>
      </c>
    </row>
    <row r="38" spans="1:19" s="39" customFormat="1" ht="17.25" customHeight="1" x14ac:dyDescent="0.25">
      <c r="A38" s="97" t="s">
        <v>52</v>
      </c>
      <c r="B38" s="76">
        <v>9</v>
      </c>
      <c r="C38" s="76"/>
      <c r="D38" s="78"/>
      <c r="E38" s="71"/>
      <c r="F38" s="71"/>
      <c r="G38" s="71"/>
      <c r="H38" s="71" t="str">
        <f t="shared" si="8"/>
        <v>Vát 0</v>
      </c>
      <c r="I38" s="77"/>
      <c r="J38" s="77"/>
      <c r="K38" s="77"/>
      <c r="L38" s="77"/>
      <c r="M38" s="15">
        <f t="shared" si="9"/>
        <v>0</v>
      </c>
      <c r="N38" s="81">
        <f t="shared" si="10"/>
        <v>0</v>
      </c>
      <c r="O38" s="81">
        <f t="shared" si="11"/>
        <v>0</v>
      </c>
      <c r="P38" s="81">
        <f t="shared" si="12"/>
        <v>0</v>
      </c>
      <c r="Q38" s="81">
        <f t="shared" si="13"/>
        <v>0</v>
      </c>
      <c r="R38" s="76"/>
      <c r="S38" s="78">
        <f t="shared" si="14"/>
        <v>0</v>
      </c>
    </row>
    <row r="39" spans="1:19" s="39" customFormat="1" ht="17.25" customHeight="1" x14ac:dyDescent="0.25">
      <c r="A39" s="97" t="s">
        <v>52</v>
      </c>
      <c r="B39" s="76">
        <v>10</v>
      </c>
      <c r="C39" s="76"/>
      <c r="D39" s="78"/>
      <c r="E39" s="71"/>
      <c r="F39" s="71"/>
      <c r="G39" s="71"/>
      <c r="H39" s="71" t="str">
        <f t="shared" si="8"/>
        <v>Vát 0</v>
      </c>
      <c r="I39" s="77"/>
      <c r="J39" s="77"/>
      <c r="K39" s="77"/>
      <c r="L39" s="77"/>
      <c r="M39" s="15">
        <f t="shared" si="9"/>
        <v>0</v>
      </c>
      <c r="N39" s="81">
        <f t="shared" si="10"/>
        <v>0</v>
      </c>
      <c r="O39" s="81">
        <f t="shared" si="11"/>
        <v>0</v>
      </c>
      <c r="P39" s="81">
        <f t="shared" si="12"/>
        <v>0</v>
      </c>
      <c r="Q39" s="81">
        <f t="shared" si="13"/>
        <v>0</v>
      </c>
      <c r="R39" s="76"/>
      <c r="S39" s="78">
        <f t="shared" si="14"/>
        <v>0</v>
      </c>
    </row>
    <row r="40" spans="1:19" s="39" customFormat="1" ht="17.25" customHeight="1" x14ac:dyDescent="0.25">
      <c r="A40" s="97" t="s">
        <v>52</v>
      </c>
      <c r="B40" s="76">
        <v>11</v>
      </c>
      <c r="C40" s="76"/>
      <c r="D40" s="78"/>
      <c r="E40" s="71"/>
      <c r="F40" s="71"/>
      <c r="G40" s="71"/>
      <c r="H40" s="71" t="str">
        <f t="shared" si="8"/>
        <v>Vát 0</v>
      </c>
      <c r="I40" s="77"/>
      <c r="J40" s="77"/>
      <c r="K40" s="77"/>
      <c r="L40" s="77"/>
      <c r="M40" s="15">
        <f t="shared" si="9"/>
        <v>0</v>
      </c>
      <c r="N40" s="81">
        <f t="shared" si="10"/>
        <v>0</v>
      </c>
      <c r="O40" s="81">
        <f t="shared" si="11"/>
        <v>0</v>
      </c>
      <c r="P40" s="81">
        <f t="shared" si="12"/>
        <v>0</v>
      </c>
      <c r="Q40" s="81">
        <f t="shared" si="13"/>
        <v>0</v>
      </c>
      <c r="R40" s="76"/>
      <c r="S40" s="78">
        <f t="shared" si="14"/>
        <v>0</v>
      </c>
    </row>
    <row r="41" spans="1:19" s="39" customFormat="1" ht="17.25" customHeight="1" x14ac:dyDescent="0.25">
      <c r="A41" s="97" t="s">
        <v>52</v>
      </c>
      <c r="B41" s="76">
        <v>12</v>
      </c>
      <c r="C41" s="76"/>
      <c r="D41" s="78"/>
      <c r="E41" s="71"/>
      <c r="F41" s="71"/>
      <c r="G41" s="71"/>
      <c r="H41" s="71" t="str">
        <f t="shared" si="8"/>
        <v>Vát 0</v>
      </c>
      <c r="I41" s="77"/>
      <c r="J41" s="77"/>
      <c r="K41" s="77"/>
      <c r="L41" s="77"/>
      <c r="M41" s="15">
        <f t="shared" si="9"/>
        <v>0</v>
      </c>
      <c r="N41" s="81">
        <f t="shared" si="10"/>
        <v>0</v>
      </c>
      <c r="O41" s="81">
        <f t="shared" si="11"/>
        <v>0</v>
      </c>
      <c r="P41" s="81">
        <f t="shared" si="12"/>
        <v>0</v>
      </c>
      <c r="Q41" s="81">
        <f t="shared" si="13"/>
        <v>0</v>
      </c>
      <c r="R41" s="76"/>
      <c r="S41" s="78">
        <f t="shared" si="14"/>
        <v>0</v>
      </c>
    </row>
    <row r="42" spans="1:19" s="39" customFormat="1" ht="17.25" customHeight="1" x14ac:dyDescent="0.25">
      <c r="A42" s="97" t="s">
        <v>52</v>
      </c>
      <c r="B42" s="76">
        <v>13</v>
      </c>
      <c r="C42" s="76"/>
      <c r="D42" s="78"/>
      <c r="E42" s="71"/>
      <c r="F42" s="71"/>
      <c r="G42" s="71"/>
      <c r="H42" s="71" t="str">
        <f t="shared" si="8"/>
        <v>Vát 0</v>
      </c>
      <c r="I42" s="77"/>
      <c r="J42" s="77"/>
      <c r="K42" s="77"/>
      <c r="L42" s="77"/>
      <c r="M42" s="15">
        <f t="shared" si="9"/>
        <v>0</v>
      </c>
      <c r="N42" s="81">
        <f t="shared" si="10"/>
        <v>0</v>
      </c>
      <c r="O42" s="81">
        <f t="shared" si="11"/>
        <v>0</v>
      </c>
      <c r="P42" s="81">
        <f t="shared" si="12"/>
        <v>0</v>
      </c>
      <c r="Q42" s="81">
        <f t="shared" si="13"/>
        <v>0</v>
      </c>
      <c r="R42" s="76"/>
      <c r="S42" s="78">
        <f t="shared" si="14"/>
        <v>0</v>
      </c>
    </row>
    <row r="43" spans="1:19" s="39" customFormat="1" ht="17.25" customHeight="1" x14ac:dyDescent="0.25">
      <c r="A43" s="97" t="s">
        <v>52</v>
      </c>
      <c r="B43" s="76">
        <v>14</v>
      </c>
      <c r="C43" s="76"/>
      <c r="D43" s="78"/>
      <c r="E43" s="71"/>
      <c r="F43" s="71"/>
      <c r="G43" s="71"/>
      <c r="H43" s="71" t="str">
        <f t="shared" si="8"/>
        <v>Vát 0</v>
      </c>
      <c r="I43" s="77"/>
      <c r="J43" s="77"/>
      <c r="K43" s="77"/>
      <c r="L43" s="77"/>
      <c r="M43" s="15">
        <f t="shared" si="9"/>
        <v>0</v>
      </c>
      <c r="N43" s="81">
        <f t="shared" si="10"/>
        <v>0</v>
      </c>
      <c r="O43" s="81">
        <f t="shared" si="11"/>
        <v>0</v>
      </c>
      <c r="P43" s="81">
        <f t="shared" si="12"/>
        <v>0</v>
      </c>
      <c r="Q43" s="81">
        <f t="shared" si="13"/>
        <v>0</v>
      </c>
      <c r="R43" s="76"/>
      <c r="S43" s="78">
        <f t="shared" si="14"/>
        <v>0</v>
      </c>
    </row>
    <row r="44" spans="1:19" s="39" customFormat="1" ht="17.25" customHeight="1" x14ac:dyDescent="0.25">
      <c r="A44" s="97" t="s">
        <v>52</v>
      </c>
      <c r="B44" s="76">
        <v>15</v>
      </c>
      <c r="C44" s="76"/>
      <c r="D44" s="78"/>
      <c r="E44" s="71"/>
      <c r="F44" s="71"/>
      <c r="G44" s="71"/>
      <c r="H44" s="71" t="str">
        <f t="shared" si="8"/>
        <v>Vát 0</v>
      </c>
      <c r="I44" s="77"/>
      <c r="J44" s="77"/>
      <c r="K44" s="77"/>
      <c r="L44" s="77"/>
      <c r="M44" s="15">
        <f t="shared" si="9"/>
        <v>0</v>
      </c>
      <c r="N44" s="81">
        <f t="shared" si="10"/>
        <v>0</v>
      </c>
      <c r="O44" s="81">
        <f t="shared" si="11"/>
        <v>0</v>
      </c>
      <c r="P44" s="81">
        <f t="shared" si="12"/>
        <v>0</v>
      </c>
      <c r="Q44" s="81">
        <f t="shared" si="13"/>
        <v>0</v>
      </c>
      <c r="R44" s="76"/>
      <c r="S44" s="78">
        <f t="shared" si="14"/>
        <v>0</v>
      </c>
    </row>
    <row r="45" spans="1:19" s="39" customFormat="1" ht="17.25" customHeight="1" x14ac:dyDescent="0.25">
      <c r="A45" s="97" t="s">
        <v>52</v>
      </c>
      <c r="B45" s="76">
        <v>16</v>
      </c>
      <c r="C45" s="76"/>
      <c r="D45" s="78"/>
      <c r="E45" s="71"/>
      <c r="F45" s="71"/>
      <c r="G45" s="71"/>
      <c r="H45" s="71" t="str">
        <f t="shared" si="8"/>
        <v>Vát 0</v>
      </c>
      <c r="I45" s="77"/>
      <c r="J45" s="77"/>
      <c r="K45" s="77"/>
      <c r="L45" s="77"/>
      <c r="M45" s="15">
        <f t="shared" si="9"/>
        <v>0</v>
      </c>
      <c r="N45" s="81">
        <f t="shared" si="10"/>
        <v>0</v>
      </c>
      <c r="O45" s="81">
        <f t="shared" si="11"/>
        <v>0</v>
      </c>
      <c r="P45" s="81">
        <f t="shared" si="12"/>
        <v>0</v>
      </c>
      <c r="Q45" s="81">
        <f t="shared" si="13"/>
        <v>0</v>
      </c>
      <c r="R45" s="76"/>
      <c r="S45" s="78">
        <f t="shared" si="14"/>
        <v>0</v>
      </c>
    </row>
    <row r="46" spans="1:19" s="39" customFormat="1" ht="17.25" customHeight="1" x14ac:dyDescent="0.25">
      <c r="A46" s="97" t="s">
        <v>52</v>
      </c>
      <c r="B46" s="76">
        <v>17</v>
      </c>
      <c r="C46" s="76"/>
      <c r="D46" s="78"/>
      <c r="E46" s="71"/>
      <c r="F46" s="71"/>
      <c r="G46" s="71"/>
      <c r="H46" s="71" t="str">
        <f t="shared" si="8"/>
        <v>Vát 0</v>
      </c>
      <c r="I46" s="77"/>
      <c r="J46" s="77"/>
      <c r="K46" s="77"/>
      <c r="L46" s="77"/>
      <c r="M46" s="15">
        <f t="shared" si="9"/>
        <v>0</v>
      </c>
      <c r="N46" s="81">
        <f t="shared" si="10"/>
        <v>0</v>
      </c>
      <c r="O46" s="81">
        <f t="shared" si="11"/>
        <v>0</v>
      </c>
      <c r="P46" s="81">
        <f t="shared" si="12"/>
        <v>0</v>
      </c>
      <c r="Q46" s="81">
        <f t="shared" si="13"/>
        <v>0</v>
      </c>
      <c r="R46" s="76"/>
      <c r="S46" s="78">
        <f t="shared" si="14"/>
        <v>0</v>
      </c>
    </row>
    <row r="47" spans="1:19" s="39" customFormat="1" ht="17.25" customHeight="1" x14ac:dyDescent="0.25">
      <c r="A47" s="97" t="s">
        <v>52</v>
      </c>
      <c r="B47" s="76">
        <v>18</v>
      </c>
      <c r="C47" s="76"/>
      <c r="D47" s="78"/>
      <c r="E47" s="71"/>
      <c r="F47" s="71"/>
      <c r="G47" s="71"/>
      <c r="H47" s="71" t="str">
        <f t="shared" si="8"/>
        <v>Vát 0</v>
      </c>
      <c r="I47" s="77"/>
      <c r="J47" s="77"/>
      <c r="K47" s="77"/>
      <c r="L47" s="77"/>
      <c r="M47" s="15">
        <f t="shared" si="9"/>
        <v>0</v>
      </c>
      <c r="N47" s="81">
        <f t="shared" si="10"/>
        <v>0</v>
      </c>
      <c r="O47" s="81">
        <f t="shared" si="11"/>
        <v>0</v>
      </c>
      <c r="P47" s="81">
        <f t="shared" si="12"/>
        <v>0</v>
      </c>
      <c r="Q47" s="81">
        <f t="shared" si="13"/>
        <v>0</v>
      </c>
      <c r="R47" s="76"/>
      <c r="S47" s="78">
        <f t="shared" si="14"/>
        <v>0</v>
      </c>
    </row>
    <row r="48" spans="1:19" s="39" customFormat="1" ht="17.25" customHeight="1" x14ac:dyDescent="0.25">
      <c r="A48" s="97" t="s">
        <v>52</v>
      </c>
      <c r="B48" s="76">
        <v>19</v>
      </c>
      <c r="C48" s="76"/>
      <c r="D48" s="78"/>
      <c r="E48" s="71"/>
      <c r="F48" s="71"/>
      <c r="G48" s="71"/>
      <c r="H48" s="71" t="str">
        <f t="shared" si="8"/>
        <v>Vát 0</v>
      </c>
      <c r="I48" s="77"/>
      <c r="J48" s="77"/>
      <c r="K48" s="77"/>
      <c r="L48" s="77"/>
      <c r="M48" s="15">
        <f t="shared" si="9"/>
        <v>0</v>
      </c>
      <c r="N48" s="81">
        <f t="shared" si="10"/>
        <v>0</v>
      </c>
      <c r="O48" s="81">
        <f t="shared" si="11"/>
        <v>0</v>
      </c>
      <c r="P48" s="81">
        <f t="shared" si="12"/>
        <v>0</v>
      </c>
      <c r="Q48" s="81">
        <f t="shared" si="13"/>
        <v>0</v>
      </c>
      <c r="R48" s="76"/>
      <c r="S48" s="78">
        <f t="shared" si="14"/>
        <v>0</v>
      </c>
    </row>
    <row r="49" spans="1:19" s="39" customFormat="1" ht="17.25" customHeight="1" x14ac:dyDescent="0.25">
      <c r="A49" s="97" t="s">
        <v>52</v>
      </c>
      <c r="B49" s="76">
        <v>20</v>
      </c>
      <c r="C49" s="76"/>
      <c r="D49" s="78"/>
      <c r="E49" s="71"/>
      <c r="F49" s="71"/>
      <c r="G49" s="71"/>
      <c r="H49" s="71" t="str">
        <f t="shared" si="8"/>
        <v>Vát 0</v>
      </c>
      <c r="I49" s="77"/>
      <c r="J49" s="77"/>
      <c r="K49" s="77"/>
      <c r="L49" s="77"/>
      <c r="M49" s="15">
        <f t="shared" si="9"/>
        <v>0</v>
      </c>
      <c r="N49" s="81">
        <f t="shared" si="10"/>
        <v>0</v>
      </c>
      <c r="O49" s="81">
        <f t="shared" si="11"/>
        <v>0</v>
      </c>
      <c r="P49" s="81">
        <f t="shared" si="12"/>
        <v>0</v>
      </c>
      <c r="Q49" s="81">
        <f t="shared" si="13"/>
        <v>0</v>
      </c>
      <c r="R49" s="76"/>
      <c r="S49" s="78">
        <f t="shared" si="14"/>
        <v>0</v>
      </c>
    </row>
    <row r="50" spans="1:19" s="39" customFormat="1" ht="17.25" customHeight="1" x14ac:dyDescent="0.25">
      <c r="A50" s="97" t="s">
        <v>52</v>
      </c>
      <c r="B50" s="76">
        <v>21</v>
      </c>
      <c r="C50" s="76"/>
      <c r="D50" s="78"/>
      <c r="E50" s="71"/>
      <c r="F50" s="71"/>
      <c r="G50" s="71"/>
      <c r="H50" s="71" t="str">
        <f t="shared" si="8"/>
        <v>Vát 0</v>
      </c>
      <c r="I50" s="77"/>
      <c r="J50" s="77"/>
      <c r="K50" s="77"/>
      <c r="L50" s="77"/>
      <c r="M50" s="15">
        <f t="shared" si="9"/>
        <v>0</v>
      </c>
      <c r="N50" s="81">
        <f t="shared" si="10"/>
        <v>0</v>
      </c>
      <c r="O50" s="81">
        <f t="shared" si="11"/>
        <v>0</v>
      </c>
      <c r="P50" s="81">
        <f t="shared" si="12"/>
        <v>0</v>
      </c>
      <c r="Q50" s="81">
        <f t="shared" si="13"/>
        <v>0</v>
      </c>
      <c r="R50" s="76"/>
      <c r="S50" s="78">
        <f t="shared" si="14"/>
        <v>0</v>
      </c>
    </row>
    <row r="51" spans="1:19" s="39" customFormat="1" ht="17.25" customHeight="1" x14ac:dyDescent="0.25">
      <c r="A51" s="97" t="s">
        <v>52</v>
      </c>
      <c r="B51" s="76">
        <v>22</v>
      </c>
      <c r="C51" s="76"/>
      <c r="D51" s="78"/>
      <c r="E51" s="71"/>
      <c r="F51" s="71"/>
      <c r="G51" s="71"/>
      <c r="H51" s="71" t="str">
        <f t="shared" si="8"/>
        <v>Vát 0</v>
      </c>
      <c r="I51" s="77"/>
      <c r="J51" s="77"/>
      <c r="K51" s="77"/>
      <c r="L51" s="77"/>
      <c r="M51" s="15">
        <f t="shared" si="9"/>
        <v>0</v>
      </c>
      <c r="N51" s="81">
        <f t="shared" si="10"/>
        <v>0</v>
      </c>
      <c r="O51" s="81">
        <f t="shared" si="11"/>
        <v>0</v>
      </c>
      <c r="P51" s="81">
        <f t="shared" si="12"/>
        <v>0</v>
      </c>
      <c r="Q51" s="81">
        <f t="shared" si="13"/>
        <v>0</v>
      </c>
      <c r="R51" s="76"/>
      <c r="S51" s="78">
        <f t="shared" si="14"/>
        <v>0</v>
      </c>
    </row>
    <row r="52" spans="1:19" s="39" customFormat="1" ht="17.25" customHeight="1" x14ac:dyDescent="0.25">
      <c r="A52" s="97" t="s">
        <v>52</v>
      </c>
      <c r="B52" s="76">
        <v>23</v>
      </c>
      <c r="C52" s="76"/>
      <c r="D52" s="78"/>
      <c r="E52" s="71"/>
      <c r="F52" s="71"/>
      <c r="G52" s="71"/>
      <c r="H52" s="71" t="str">
        <f t="shared" si="8"/>
        <v>Vát 0</v>
      </c>
      <c r="I52" s="77"/>
      <c r="J52" s="77"/>
      <c r="K52" s="77"/>
      <c r="L52" s="77"/>
      <c r="M52" s="15">
        <f t="shared" si="9"/>
        <v>0</v>
      </c>
      <c r="N52" s="81">
        <f t="shared" si="10"/>
        <v>0</v>
      </c>
      <c r="O52" s="81">
        <f t="shared" si="11"/>
        <v>0</v>
      </c>
      <c r="P52" s="81">
        <f t="shared" si="12"/>
        <v>0</v>
      </c>
      <c r="Q52" s="81">
        <f t="shared" si="13"/>
        <v>0</v>
      </c>
      <c r="R52" s="76"/>
      <c r="S52" s="78">
        <f t="shared" si="14"/>
        <v>0</v>
      </c>
    </row>
    <row r="53" spans="1:19" s="39" customFormat="1" ht="17.25" customHeight="1" x14ac:dyDescent="0.25">
      <c r="A53" s="97" t="s">
        <v>52</v>
      </c>
      <c r="B53" s="76">
        <v>24</v>
      </c>
      <c r="C53" s="76"/>
      <c r="D53" s="78"/>
      <c r="E53" s="71"/>
      <c r="F53" s="71"/>
      <c r="G53" s="71"/>
      <c r="H53" s="71" t="str">
        <f t="shared" si="8"/>
        <v>Vát 0</v>
      </c>
      <c r="I53" s="77"/>
      <c r="J53" s="77"/>
      <c r="K53" s="77"/>
      <c r="L53" s="77"/>
      <c r="M53" s="15">
        <f t="shared" si="9"/>
        <v>0</v>
      </c>
      <c r="N53" s="81">
        <f t="shared" si="10"/>
        <v>0</v>
      </c>
      <c r="O53" s="81">
        <f t="shared" si="11"/>
        <v>0</v>
      </c>
      <c r="P53" s="81">
        <f t="shared" si="12"/>
        <v>0</v>
      </c>
      <c r="Q53" s="81">
        <f t="shared" si="13"/>
        <v>0</v>
      </c>
      <c r="R53" s="76"/>
      <c r="S53" s="78">
        <f t="shared" si="14"/>
        <v>0</v>
      </c>
    </row>
    <row r="54" spans="1:19" s="39" customFormat="1" ht="17.25" customHeight="1" x14ac:dyDescent="0.25">
      <c r="A54" s="97" t="s">
        <v>52</v>
      </c>
      <c r="B54" s="76">
        <v>25</v>
      </c>
      <c r="C54" s="76"/>
      <c r="D54" s="78"/>
      <c r="E54" s="71"/>
      <c r="F54" s="71"/>
      <c r="G54" s="71"/>
      <c r="H54" s="71" t="str">
        <f t="shared" si="8"/>
        <v>Vát 0</v>
      </c>
      <c r="I54" s="77"/>
      <c r="J54" s="77"/>
      <c r="K54" s="77"/>
      <c r="L54" s="77"/>
      <c r="M54" s="15">
        <f t="shared" si="9"/>
        <v>0</v>
      </c>
      <c r="N54" s="81">
        <f t="shared" si="10"/>
        <v>0</v>
      </c>
      <c r="O54" s="81">
        <f t="shared" si="11"/>
        <v>0</v>
      </c>
      <c r="P54" s="81">
        <f t="shared" si="12"/>
        <v>0</v>
      </c>
      <c r="Q54" s="81">
        <f t="shared" si="13"/>
        <v>0</v>
      </c>
      <c r="R54" s="76"/>
      <c r="S54" s="78">
        <f t="shared" si="14"/>
        <v>0</v>
      </c>
    </row>
    <row r="55" spans="1:19" s="39" customFormat="1" ht="17.25" customHeight="1" x14ac:dyDescent="0.25">
      <c r="A55" s="97" t="s">
        <v>52</v>
      </c>
      <c r="B55" s="76">
        <v>26</v>
      </c>
      <c r="C55" s="76"/>
      <c r="D55" s="78"/>
      <c r="E55" s="71"/>
      <c r="F55" s="71"/>
      <c r="G55" s="71"/>
      <c r="H55" s="71" t="str">
        <f t="shared" si="8"/>
        <v>Vát 0</v>
      </c>
      <c r="I55" s="77"/>
      <c r="J55" s="77"/>
      <c r="K55" s="77"/>
      <c r="L55" s="77"/>
      <c r="M55" s="15">
        <f t="shared" si="9"/>
        <v>0</v>
      </c>
      <c r="N55" s="81">
        <f t="shared" si="10"/>
        <v>0</v>
      </c>
      <c r="O55" s="81">
        <f t="shared" si="11"/>
        <v>0</v>
      </c>
      <c r="P55" s="81">
        <f t="shared" si="12"/>
        <v>0</v>
      </c>
      <c r="Q55" s="81">
        <f t="shared" si="13"/>
        <v>0</v>
      </c>
      <c r="R55" s="76"/>
      <c r="S55" s="78">
        <f t="shared" si="14"/>
        <v>0</v>
      </c>
    </row>
    <row r="56" spans="1:19" s="39" customFormat="1" ht="17.25" customHeight="1" x14ac:dyDescent="0.25">
      <c r="A56" s="97" t="s">
        <v>52</v>
      </c>
      <c r="B56" s="76">
        <v>27</v>
      </c>
      <c r="C56" s="76"/>
      <c r="D56" s="78"/>
      <c r="E56" s="71"/>
      <c r="F56" s="71"/>
      <c r="G56" s="71"/>
      <c r="H56" s="71" t="str">
        <f t="shared" si="8"/>
        <v>Vát 0</v>
      </c>
      <c r="I56" s="77"/>
      <c r="J56" s="77"/>
      <c r="K56" s="77"/>
      <c r="L56" s="77"/>
      <c r="M56" s="15">
        <f t="shared" si="9"/>
        <v>0</v>
      </c>
      <c r="N56" s="81">
        <f t="shared" si="10"/>
        <v>0</v>
      </c>
      <c r="O56" s="81">
        <f t="shared" si="11"/>
        <v>0</v>
      </c>
      <c r="P56" s="81">
        <f t="shared" si="12"/>
        <v>0</v>
      </c>
      <c r="Q56" s="81">
        <f t="shared" si="13"/>
        <v>0</v>
      </c>
      <c r="R56" s="76"/>
      <c r="S56" s="78">
        <f t="shared" si="14"/>
        <v>0</v>
      </c>
    </row>
    <row r="57" spans="1:19" s="39" customFormat="1" ht="17.25" customHeight="1" x14ac:dyDescent="0.25">
      <c r="A57" s="97" t="s">
        <v>52</v>
      </c>
      <c r="B57" s="76">
        <v>28</v>
      </c>
      <c r="C57" s="76"/>
      <c r="D57" s="78"/>
      <c r="E57" s="71"/>
      <c r="F57" s="71"/>
      <c r="G57" s="71"/>
      <c r="H57" s="71" t="str">
        <f t="shared" si="8"/>
        <v>Vát 0</v>
      </c>
      <c r="I57" s="77"/>
      <c r="J57" s="77"/>
      <c r="K57" s="77"/>
      <c r="L57" s="77"/>
      <c r="M57" s="15">
        <f t="shared" si="9"/>
        <v>0</v>
      </c>
      <c r="N57" s="81">
        <f t="shared" si="10"/>
        <v>0</v>
      </c>
      <c r="O57" s="81">
        <f t="shared" si="11"/>
        <v>0</v>
      </c>
      <c r="P57" s="81">
        <f t="shared" si="12"/>
        <v>0</v>
      </c>
      <c r="Q57" s="81">
        <f t="shared" si="13"/>
        <v>0</v>
      </c>
      <c r="R57" s="76"/>
      <c r="S57" s="78">
        <f t="shared" si="14"/>
        <v>0</v>
      </c>
    </row>
    <row r="58" spans="1:19" s="39" customFormat="1" ht="17.25" customHeight="1" x14ac:dyDescent="0.25">
      <c r="A58" s="97" t="s">
        <v>52</v>
      </c>
      <c r="B58" s="76">
        <v>29</v>
      </c>
      <c r="C58" s="76"/>
      <c r="D58" s="78"/>
      <c r="E58" s="71"/>
      <c r="F58" s="71"/>
      <c r="G58" s="71"/>
      <c r="H58" s="71" t="str">
        <f t="shared" si="8"/>
        <v>Vát 0</v>
      </c>
      <c r="I58" s="77"/>
      <c r="J58" s="77"/>
      <c r="K58" s="77"/>
      <c r="L58" s="77"/>
      <c r="M58" s="15">
        <f t="shared" si="9"/>
        <v>0</v>
      </c>
      <c r="N58" s="81">
        <f t="shared" si="10"/>
        <v>0</v>
      </c>
      <c r="O58" s="81">
        <f t="shared" si="11"/>
        <v>0</v>
      </c>
      <c r="P58" s="81">
        <f t="shared" si="12"/>
        <v>0</v>
      </c>
      <c r="Q58" s="81">
        <f t="shared" si="13"/>
        <v>0</v>
      </c>
      <c r="R58" s="76"/>
      <c r="S58" s="78">
        <f t="shared" si="14"/>
        <v>0</v>
      </c>
    </row>
    <row r="59" spans="1:19" s="39" customFormat="1" ht="17.25" customHeight="1" x14ac:dyDescent="0.25">
      <c r="A59" s="97" t="s">
        <v>52</v>
      </c>
      <c r="B59" s="76">
        <v>30</v>
      </c>
      <c r="C59" s="76"/>
      <c r="D59" s="78"/>
      <c r="E59" s="71"/>
      <c r="F59" s="71"/>
      <c r="G59" s="71"/>
      <c r="H59" s="71" t="str">
        <f t="shared" si="8"/>
        <v>Vát 0</v>
      </c>
      <c r="I59" s="77"/>
      <c r="J59" s="77"/>
      <c r="K59" s="77"/>
      <c r="L59" s="77"/>
      <c r="M59" s="15">
        <f t="shared" si="9"/>
        <v>0</v>
      </c>
      <c r="N59" s="81">
        <f t="shared" si="10"/>
        <v>0</v>
      </c>
      <c r="O59" s="81">
        <f t="shared" si="11"/>
        <v>0</v>
      </c>
      <c r="P59" s="81">
        <f t="shared" si="12"/>
        <v>0</v>
      </c>
      <c r="Q59" s="81">
        <f t="shared" si="13"/>
        <v>0</v>
      </c>
      <c r="R59" s="76"/>
      <c r="S59" s="78">
        <f t="shared" si="14"/>
        <v>0</v>
      </c>
    </row>
    <row r="60" spans="1:19" s="39" customFormat="1" ht="17.25" customHeight="1" x14ac:dyDescent="0.25">
      <c r="A60" s="97" t="s">
        <v>52</v>
      </c>
      <c r="B60" s="76">
        <v>31</v>
      </c>
      <c r="C60" s="76"/>
      <c r="D60" s="78"/>
      <c r="E60" s="71"/>
      <c r="F60" s="71"/>
      <c r="G60" s="71"/>
      <c r="H60" s="71" t="str">
        <f t="shared" si="8"/>
        <v>Vát 0</v>
      </c>
      <c r="I60" s="77"/>
      <c r="J60" s="77"/>
      <c r="K60" s="77"/>
      <c r="L60" s="77"/>
      <c r="M60" s="15">
        <f t="shared" si="9"/>
        <v>0</v>
      </c>
      <c r="N60" s="81">
        <f t="shared" si="10"/>
        <v>0</v>
      </c>
      <c r="O60" s="81">
        <f t="shared" si="11"/>
        <v>0</v>
      </c>
      <c r="P60" s="81">
        <f t="shared" si="12"/>
        <v>0</v>
      </c>
      <c r="Q60" s="81">
        <f t="shared" si="13"/>
        <v>0</v>
      </c>
      <c r="R60" s="76"/>
      <c r="S60" s="78">
        <f t="shared" si="14"/>
        <v>0</v>
      </c>
    </row>
    <row r="61" spans="1:19" s="39" customFormat="1" ht="17.25" customHeight="1" x14ac:dyDescent="0.25">
      <c r="A61" s="97" t="s">
        <v>52</v>
      </c>
      <c r="B61" s="76">
        <v>32</v>
      </c>
      <c r="C61" s="76"/>
      <c r="D61" s="78"/>
      <c r="E61" s="71"/>
      <c r="F61" s="71"/>
      <c r="G61" s="71"/>
      <c r="H61" s="71" t="str">
        <f t="shared" si="8"/>
        <v>Vát 0</v>
      </c>
      <c r="I61" s="77"/>
      <c r="J61" s="77"/>
      <c r="K61" s="77"/>
      <c r="L61" s="77"/>
      <c r="M61" s="15">
        <f t="shared" si="9"/>
        <v>0</v>
      </c>
      <c r="N61" s="81">
        <f t="shared" si="10"/>
        <v>0</v>
      </c>
      <c r="O61" s="81">
        <f t="shared" si="11"/>
        <v>0</v>
      </c>
      <c r="P61" s="81">
        <f t="shared" si="12"/>
        <v>0</v>
      </c>
      <c r="Q61" s="81">
        <f t="shared" si="13"/>
        <v>0</v>
      </c>
      <c r="R61" s="76"/>
      <c r="S61" s="78">
        <f t="shared" si="14"/>
        <v>0</v>
      </c>
    </row>
    <row r="62" spans="1:19" s="39" customFormat="1" ht="17.25" customHeight="1" x14ac:dyDescent="0.25">
      <c r="A62" s="97" t="s">
        <v>52</v>
      </c>
      <c r="B62" s="76">
        <v>33</v>
      </c>
      <c r="C62" s="76"/>
      <c r="D62" s="78"/>
      <c r="E62" s="71"/>
      <c r="F62" s="71"/>
      <c r="G62" s="71"/>
      <c r="H62" s="71" t="str">
        <f t="shared" si="8"/>
        <v>Vát 0</v>
      </c>
      <c r="I62" s="77"/>
      <c r="J62" s="77"/>
      <c r="K62" s="77"/>
      <c r="L62" s="77"/>
      <c r="M62" s="15">
        <f t="shared" si="9"/>
        <v>0</v>
      </c>
      <c r="N62" s="81">
        <f t="shared" si="10"/>
        <v>0</v>
      </c>
      <c r="O62" s="81">
        <f t="shared" si="11"/>
        <v>0</v>
      </c>
      <c r="P62" s="81">
        <f t="shared" si="12"/>
        <v>0</v>
      </c>
      <c r="Q62" s="81">
        <f t="shared" si="13"/>
        <v>0</v>
      </c>
      <c r="R62" s="76"/>
      <c r="S62" s="78">
        <f t="shared" si="14"/>
        <v>0</v>
      </c>
    </row>
    <row r="63" spans="1:19" s="39" customFormat="1" ht="17.25" customHeight="1" x14ac:dyDescent="0.25">
      <c r="A63" s="97" t="s">
        <v>52</v>
      </c>
      <c r="B63" s="76">
        <v>34</v>
      </c>
      <c r="C63" s="76"/>
      <c r="D63" s="78"/>
      <c r="E63" s="71"/>
      <c r="F63" s="71"/>
      <c r="G63" s="71"/>
      <c r="H63" s="71" t="str">
        <f t="shared" si="8"/>
        <v>Vát 0</v>
      </c>
      <c r="I63" s="77"/>
      <c r="J63" s="77"/>
      <c r="K63" s="77"/>
      <c r="L63" s="77"/>
      <c r="M63" s="15">
        <f t="shared" si="9"/>
        <v>0</v>
      </c>
      <c r="N63" s="81">
        <f t="shared" si="10"/>
        <v>0</v>
      </c>
      <c r="O63" s="81">
        <f t="shared" si="11"/>
        <v>0</v>
      </c>
      <c r="P63" s="81">
        <f t="shared" si="12"/>
        <v>0</v>
      </c>
      <c r="Q63" s="81">
        <f t="shared" si="13"/>
        <v>0</v>
      </c>
      <c r="R63" s="76"/>
      <c r="S63" s="78">
        <f t="shared" si="14"/>
        <v>0</v>
      </c>
    </row>
    <row r="64" spans="1:19" s="39" customFormat="1" ht="17.25" customHeight="1" x14ac:dyDescent="0.25">
      <c r="A64" s="97" t="s">
        <v>52</v>
      </c>
      <c r="B64" s="76">
        <v>35</v>
      </c>
      <c r="C64" s="76"/>
      <c r="D64" s="78"/>
      <c r="E64" s="71"/>
      <c r="F64" s="71"/>
      <c r="G64" s="71"/>
      <c r="H64" s="71" t="str">
        <f t="shared" si="8"/>
        <v>Vát 0</v>
      </c>
      <c r="I64" s="77"/>
      <c r="J64" s="77"/>
      <c r="K64" s="77"/>
      <c r="L64" s="77"/>
      <c r="M64" s="15">
        <f t="shared" si="9"/>
        <v>0</v>
      </c>
      <c r="N64" s="81">
        <f t="shared" si="10"/>
        <v>0</v>
      </c>
      <c r="O64" s="81">
        <f t="shared" si="11"/>
        <v>0</v>
      </c>
      <c r="P64" s="81">
        <f t="shared" si="12"/>
        <v>0</v>
      </c>
      <c r="Q64" s="81">
        <f t="shared" si="13"/>
        <v>0</v>
      </c>
      <c r="R64" s="76"/>
      <c r="S64" s="78">
        <f t="shared" si="14"/>
        <v>0</v>
      </c>
    </row>
    <row r="65" spans="1:22" s="39" customFormat="1" ht="17.25" customHeight="1" x14ac:dyDescent="0.25">
      <c r="A65" s="97" t="s">
        <v>52</v>
      </c>
      <c r="B65" s="76">
        <v>36</v>
      </c>
      <c r="C65" s="76"/>
      <c r="D65" s="78"/>
      <c r="E65" s="71"/>
      <c r="F65" s="71"/>
      <c r="G65" s="71"/>
      <c r="H65" s="71" t="str">
        <f t="shared" si="8"/>
        <v>Vát 0</v>
      </c>
      <c r="I65" s="77"/>
      <c r="J65" s="77"/>
      <c r="K65" s="77"/>
      <c r="L65" s="77"/>
      <c r="M65" s="15">
        <f t="shared" si="9"/>
        <v>0</v>
      </c>
      <c r="N65" s="81">
        <f t="shared" si="10"/>
        <v>0</v>
      </c>
      <c r="O65" s="81">
        <f t="shared" si="11"/>
        <v>0</v>
      </c>
      <c r="P65" s="81">
        <f t="shared" si="12"/>
        <v>0</v>
      </c>
      <c r="Q65" s="81">
        <f t="shared" si="13"/>
        <v>0</v>
      </c>
      <c r="R65" s="76"/>
      <c r="S65" s="78">
        <f t="shared" si="14"/>
        <v>0</v>
      </c>
    </row>
    <row r="66" spans="1:22" s="39" customFormat="1" ht="17.25" customHeight="1" x14ac:dyDescent="0.25">
      <c r="A66" s="97" t="s">
        <v>52</v>
      </c>
      <c r="B66" s="76">
        <v>37</v>
      </c>
      <c r="C66" s="76"/>
      <c r="D66" s="78"/>
      <c r="E66" s="71"/>
      <c r="F66" s="71"/>
      <c r="G66" s="71"/>
      <c r="H66" s="71" t="str">
        <f t="shared" si="8"/>
        <v>Vát 0</v>
      </c>
      <c r="I66" s="77"/>
      <c r="J66" s="77"/>
      <c r="K66" s="77"/>
      <c r="L66" s="77"/>
      <c r="M66" s="15">
        <f t="shared" si="9"/>
        <v>0</v>
      </c>
      <c r="N66" s="81">
        <f t="shared" si="10"/>
        <v>0</v>
      </c>
      <c r="O66" s="81">
        <f t="shared" si="11"/>
        <v>0</v>
      </c>
      <c r="P66" s="81">
        <f t="shared" si="12"/>
        <v>0</v>
      </c>
      <c r="Q66" s="81">
        <f t="shared" si="13"/>
        <v>0</v>
      </c>
      <c r="R66" s="76"/>
      <c r="S66" s="78">
        <f t="shared" si="14"/>
        <v>0</v>
      </c>
    </row>
    <row r="67" spans="1:22" s="39" customFormat="1" ht="17.25" customHeight="1" x14ac:dyDescent="0.25">
      <c r="A67" s="97" t="s">
        <v>52</v>
      </c>
      <c r="B67" s="76">
        <v>38</v>
      </c>
      <c r="C67" s="76"/>
      <c r="D67" s="78"/>
      <c r="E67" s="71"/>
      <c r="F67" s="71"/>
      <c r="G67" s="71"/>
      <c r="H67" s="71" t="str">
        <f t="shared" si="8"/>
        <v>Vát 0</v>
      </c>
      <c r="I67" s="77"/>
      <c r="J67" s="77"/>
      <c r="K67" s="77"/>
      <c r="L67" s="77"/>
      <c r="M67" s="15">
        <f t="shared" si="9"/>
        <v>0</v>
      </c>
      <c r="N67" s="81">
        <f t="shared" si="10"/>
        <v>0</v>
      </c>
      <c r="O67" s="81">
        <f t="shared" si="11"/>
        <v>0</v>
      </c>
      <c r="P67" s="81">
        <f t="shared" si="12"/>
        <v>0</v>
      </c>
      <c r="Q67" s="81">
        <f t="shared" si="13"/>
        <v>0</v>
      </c>
      <c r="R67" s="76"/>
      <c r="S67" s="78">
        <f t="shared" si="14"/>
        <v>0</v>
      </c>
    </row>
    <row r="68" spans="1:22" s="39" customFormat="1" ht="17.25" customHeight="1" x14ac:dyDescent="0.25">
      <c r="A68" s="97" t="s">
        <v>52</v>
      </c>
      <c r="B68" s="76">
        <v>39</v>
      </c>
      <c r="C68" s="76"/>
      <c r="D68" s="78"/>
      <c r="E68" s="71"/>
      <c r="F68" s="71"/>
      <c r="G68" s="71"/>
      <c r="H68" s="71" t="str">
        <f t="shared" si="8"/>
        <v>Vát 0</v>
      </c>
      <c r="I68" s="77"/>
      <c r="J68" s="77"/>
      <c r="K68" s="77"/>
      <c r="L68" s="77"/>
      <c r="M68" s="15">
        <f t="shared" si="9"/>
        <v>0</v>
      </c>
      <c r="N68" s="81">
        <f t="shared" si="10"/>
        <v>0</v>
      </c>
      <c r="O68" s="81">
        <f t="shared" si="11"/>
        <v>0</v>
      </c>
      <c r="P68" s="81">
        <f t="shared" si="12"/>
        <v>0</v>
      </c>
      <c r="Q68" s="81">
        <f t="shared" si="13"/>
        <v>0</v>
      </c>
      <c r="R68" s="76"/>
      <c r="S68" s="78">
        <f t="shared" si="14"/>
        <v>0</v>
      </c>
    </row>
    <row r="69" spans="1:22" s="65" customFormat="1" ht="22.5" customHeight="1" x14ac:dyDescent="0.25">
      <c r="A69" s="97" t="s">
        <v>52</v>
      </c>
      <c r="B69" s="86" t="s">
        <v>46</v>
      </c>
      <c r="C69" s="86"/>
      <c r="D69" s="85" t="s">
        <v>7</v>
      </c>
      <c r="E69" s="63"/>
      <c r="F69" s="63"/>
      <c r="G69" s="63"/>
      <c r="H69" s="63"/>
      <c r="I69" s="63" t="s">
        <v>13</v>
      </c>
      <c r="J69" s="63"/>
      <c r="K69" s="63"/>
      <c r="L69" s="64" t="s">
        <v>11</v>
      </c>
      <c r="M69" s="63" t="s">
        <v>31</v>
      </c>
      <c r="N69" s="63" t="s">
        <v>33</v>
      </c>
      <c r="O69" s="63"/>
      <c r="P69" s="63"/>
      <c r="Q69" s="63"/>
      <c r="R69" s="63" t="s">
        <v>0</v>
      </c>
      <c r="S69" s="92"/>
    </row>
    <row r="70" spans="1:22" ht="37.5" customHeight="1" x14ac:dyDescent="0.25">
      <c r="A70" s="19" t="s">
        <v>54</v>
      </c>
      <c r="B70" s="28">
        <v>1</v>
      </c>
      <c r="C70" s="111"/>
      <c r="D70" s="112" t="str">
        <f>D14</f>
        <v>Cốt MDF chống ẩm 17mm (Gervin), 2 mặt phủ Laminate AS-13005 CN74 màu đơn sắc (khách mang đến) = 2 tấm</v>
      </c>
      <c r="E70" s="132"/>
      <c r="F70" s="16"/>
      <c r="G70" s="16"/>
      <c r="H70" s="16"/>
      <c r="I70" s="16" t="s">
        <v>88</v>
      </c>
      <c r="J70" s="16"/>
      <c r="K70" s="16"/>
      <c r="L70" s="29"/>
      <c r="M70" s="16"/>
      <c r="N70" s="16"/>
      <c r="O70" s="16"/>
      <c r="P70" s="16"/>
      <c r="Q70" s="16"/>
      <c r="R70" s="22">
        <f>L70*M70+L70*N70</f>
        <v>0</v>
      </c>
      <c r="V70" s="40"/>
    </row>
    <row r="71" spans="1:22" ht="37.5" customHeight="1" x14ac:dyDescent="0.25">
      <c r="A71" s="19" t="s">
        <v>54</v>
      </c>
      <c r="B71" s="28">
        <v>2</v>
      </c>
      <c r="C71" s="111"/>
      <c r="D71" s="112" t="str">
        <f>D29</f>
        <v>Cốt MDF chống ẩm 17mm (Gervin), 2 mặt phủ Laminate AS - 14029 CS98 màu vân gỗ (khách mang đến) = 3 tấm</v>
      </c>
      <c r="E71" s="132"/>
      <c r="F71" s="16"/>
      <c r="G71" s="16"/>
      <c r="H71" s="16"/>
      <c r="I71" s="16" t="s">
        <v>88</v>
      </c>
      <c r="J71" s="16"/>
      <c r="K71" s="16"/>
      <c r="L71" s="29"/>
      <c r="M71" s="16"/>
      <c r="N71" s="16"/>
      <c r="O71" s="16"/>
      <c r="P71" s="16"/>
      <c r="Q71" s="16"/>
      <c r="R71" s="22">
        <f t="shared" ref="R71:R77" si="15">L71*M71+L71*N71</f>
        <v>0</v>
      </c>
      <c r="V71" s="40"/>
    </row>
    <row r="72" spans="1:22" ht="28.5" customHeight="1" x14ac:dyDescent="0.25">
      <c r="A72" s="19" t="s">
        <v>54</v>
      </c>
      <c r="B72" s="28">
        <v>3</v>
      </c>
      <c r="C72" s="111"/>
      <c r="D72" s="112" t="s">
        <v>87</v>
      </c>
      <c r="E72" s="16"/>
      <c r="F72" s="16"/>
      <c r="G72" s="16"/>
      <c r="H72" s="16"/>
      <c r="I72" s="16" t="s">
        <v>88</v>
      </c>
      <c r="J72" s="16"/>
      <c r="K72" s="16"/>
      <c r="L72" s="29"/>
      <c r="M72" s="16"/>
      <c r="N72" s="16"/>
      <c r="O72" s="16"/>
      <c r="P72" s="16"/>
      <c r="Q72" s="16"/>
      <c r="R72" s="22">
        <f t="shared" si="15"/>
        <v>0</v>
      </c>
      <c r="V72" s="40"/>
    </row>
    <row r="73" spans="1:22" ht="72.75" customHeight="1" x14ac:dyDescent="0.25">
      <c r="A73" s="19" t="s">
        <v>54</v>
      </c>
      <c r="B73" s="28">
        <v>4</v>
      </c>
      <c r="C73" s="111"/>
      <c r="D73" s="112" t="s">
        <v>100</v>
      </c>
      <c r="E73" s="16"/>
      <c r="F73" s="16"/>
      <c r="G73" s="16"/>
      <c r="H73" s="16"/>
      <c r="I73" s="16" t="s">
        <v>32</v>
      </c>
      <c r="J73" s="16"/>
      <c r="K73" s="16"/>
      <c r="L73" s="29"/>
      <c r="M73" s="16"/>
      <c r="N73" s="16"/>
      <c r="O73" s="16"/>
      <c r="P73" s="16"/>
      <c r="Q73" s="16"/>
      <c r="R73" s="22">
        <f t="shared" si="15"/>
        <v>0</v>
      </c>
      <c r="V73" s="40"/>
    </row>
    <row r="74" spans="1:22" ht="94.5" customHeight="1" x14ac:dyDescent="0.25">
      <c r="B74" s="28">
        <v>5</v>
      </c>
      <c r="C74" s="111"/>
      <c r="D74" s="112" t="s">
        <v>103</v>
      </c>
      <c r="E74" s="16"/>
      <c r="F74" s="16"/>
      <c r="G74" s="16"/>
      <c r="H74" s="16"/>
      <c r="I74" s="16" t="s">
        <v>32</v>
      </c>
      <c r="J74" s="16"/>
      <c r="K74" s="16"/>
      <c r="L74" s="29"/>
      <c r="M74" s="121"/>
      <c r="N74" s="16"/>
      <c r="O74" s="16"/>
      <c r="P74" s="16"/>
      <c r="Q74" s="16"/>
      <c r="R74" s="22">
        <f t="shared" si="15"/>
        <v>0</v>
      </c>
      <c r="V74" s="40"/>
    </row>
    <row r="75" spans="1:22" ht="59.25" customHeight="1" x14ac:dyDescent="0.25">
      <c r="A75" s="19" t="s">
        <v>54</v>
      </c>
      <c r="B75" s="28">
        <v>6</v>
      </c>
      <c r="C75" s="111"/>
      <c r="D75" s="112" t="s">
        <v>101</v>
      </c>
      <c r="E75" s="16"/>
      <c r="F75" s="16"/>
      <c r="G75" s="16"/>
      <c r="H75" s="16"/>
      <c r="I75" s="16" t="s">
        <v>32</v>
      </c>
      <c r="J75" s="16"/>
      <c r="K75" s="16"/>
      <c r="L75" s="29"/>
      <c r="M75" s="121"/>
      <c r="N75" s="16"/>
      <c r="O75" s="16"/>
      <c r="P75" s="16"/>
      <c r="Q75" s="16"/>
      <c r="R75" s="22">
        <f t="shared" si="15"/>
        <v>0</v>
      </c>
      <c r="V75" s="40"/>
    </row>
    <row r="76" spans="1:22" ht="28.5" customHeight="1" x14ac:dyDescent="0.25">
      <c r="A76" s="19" t="s">
        <v>54</v>
      </c>
      <c r="B76" s="28">
        <v>7</v>
      </c>
      <c r="C76" s="111"/>
      <c r="D76" s="112" t="s">
        <v>99</v>
      </c>
      <c r="E76" s="16"/>
      <c r="F76" s="16"/>
      <c r="G76" s="16"/>
      <c r="H76" s="16"/>
      <c r="I76" s="16" t="s">
        <v>88</v>
      </c>
      <c r="J76" s="16"/>
      <c r="K76" s="16"/>
      <c r="L76" s="29"/>
      <c r="M76" s="121"/>
      <c r="N76" s="16"/>
      <c r="O76" s="16"/>
      <c r="P76" s="16"/>
      <c r="Q76" s="16"/>
      <c r="R76" s="22">
        <f t="shared" si="15"/>
        <v>0</v>
      </c>
      <c r="V76" s="40"/>
    </row>
    <row r="77" spans="1:22" ht="28.5" customHeight="1" x14ac:dyDescent="0.25">
      <c r="A77" s="19" t="s">
        <v>54</v>
      </c>
      <c r="B77" s="28">
        <v>8</v>
      </c>
      <c r="C77" s="111"/>
      <c r="D77" s="124" t="s">
        <v>104</v>
      </c>
      <c r="E77" s="16"/>
      <c r="F77" s="16"/>
      <c r="G77" s="16"/>
      <c r="H77" s="16"/>
      <c r="I77" s="16" t="s">
        <v>91</v>
      </c>
      <c r="J77" s="16"/>
      <c r="K77" s="16"/>
      <c r="L77" s="29"/>
      <c r="M77" s="121"/>
      <c r="N77" s="16"/>
      <c r="O77" s="16"/>
      <c r="P77" s="16"/>
      <c r="Q77" s="16"/>
      <c r="R77" s="22">
        <f t="shared" si="15"/>
        <v>0</v>
      </c>
      <c r="V77" s="40"/>
    </row>
    <row r="78" spans="1:22" ht="21" customHeight="1" x14ac:dyDescent="0.25">
      <c r="B78" s="66"/>
      <c r="C78" s="66"/>
      <c r="D78" s="67"/>
      <c r="E78" s="68"/>
      <c r="F78" s="68"/>
      <c r="G78" s="68"/>
      <c r="H78" s="68"/>
      <c r="I78" s="68"/>
      <c r="J78" s="68"/>
      <c r="K78" s="68"/>
      <c r="L78" s="69"/>
      <c r="M78" s="117"/>
      <c r="N78" s="69"/>
      <c r="O78" s="122"/>
      <c r="P78" s="122"/>
      <c r="Q78" s="122" t="s">
        <v>89</v>
      </c>
      <c r="R78" s="68">
        <f>ROUND(SUM(R70:R77),-3)</f>
        <v>0</v>
      </c>
    </row>
    <row r="79" spans="1:22" ht="21" customHeight="1" x14ac:dyDescent="0.25">
      <c r="B79" s="113"/>
      <c r="C79" s="113"/>
      <c r="D79" s="114"/>
      <c r="E79" s="115"/>
      <c r="F79" s="115"/>
      <c r="G79" s="115"/>
      <c r="H79" s="115"/>
      <c r="I79" s="115"/>
      <c r="J79" s="115"/>
      <c r="K79" s="115"/>
      <c r="L79" s="116"/>
      <c r="M79" s="116"/>
      <c r="N79" s="118"/>
      <c r="O79" s="118"/>
      <c r="P79" s="118"/>
      <c r="Q79" s="118" t="s">
        <v>84</v>
      </c>
      <c r="R79" s="68"/>
    </row>
    <row r="80" spans="1:22" ht="21" customHeight="1" x14ac:dyDescent="0.25">
      <c r="B80" s="113"/>
      <c r="C80" s="113"/>
      <c r="D80" s="114"/>
      <c r="E80" s="115"/>
      <c r="F80" s="115"/>
      <c r="G80" s="115"/>
      <c r="H80" s="115"/>
      <c r="I80" s="115"/>
      <c r="J80" s="115"/>
      <c r="K80" s="115"/>
      <c r="L80" s="116"/>
      <c r="M80" s="116"/>
      <c r="N80" s="120"/>
      <c r="O80" s="120"/>
      <c r="P80" s="120"/>
      <c r="Q80" s="120" t="s">
        <v>85</v>
      </c>
      <c r="R80" s="119">
        <f>SUM(R78:R78)-R79</f>
        <v>0</v>
      </c>
    </row>
    <row r="81" spans="2:46" ht="15" customHeight="1" x14ac:dyDescent="0.25">
      <c r="B81" s="44" t="s">
        <v>20</v>
      </c>
      <c r="C81" s="44"/>
      <c r="D81" s="41"/>
      <c r="E81" s="43"/>
      <c r="F81" s="43"/>
      <c r="G81" s="20"/>
      <c r="H81" s="20"/>
      <c r="I81" s="20"/>
      <c r="J81" s="20"/>
      <c r="K81" s="18"/>
      <c r="L81" s="17"/>
      <c r="M81" s="17"/>
      <c r="N81" s="17"/>
      <c r="O81" s="17"/>
      <c r="P81" s="17"/>
      <c r="Q81" s="17"/>
      <c r="R81" s="20"/>
    </row>
    <row r="82" spans="2:46" ht="15" customHeight="1" x14ac:dyDescent="0.25">
      <c r="B82" s="44"/>
      <c r="C82" s="44"/>
      <c r="D82" s="41"/>
      <c r="E82" s="43"/>
      <c r="F82" s="43"/>
      <c r="G82" s="20"/>
      <c r="H82" s="20"/>
      <c r="I82" s="20"/>
      <c r="J82" s="20"/>
      <c r="K82" s="18"/>
      <c r="L82" s="17"/>
      <c r="M82" s="17"/>
      <c r="N82" s="17"/>
      <c r="O82" s="17"/>
      <c r="P82" s="17"/>
      <c r="Q82" s="17"/>
      <c r="R82" s="20"/>
    </row>
    <row r="83" spans="2:46" ht="15" customHeight="1" x14ac:dyDescent="0.25">
      <c r="B83" s="45" t="s">
        <v>21</v>
      </c>
      <c r="C83" s="45"/>
      <c r="D83" s="41"/>
      <c r="E83" s="43"/>
      <c r="F83" s="43"/>
      <c r="G83" s="20"/>
      <c r="H83" s="20"/>
      <c r="I83" s="20"/>
      <c r="J83" s="20"/>
      <c r="K83" s="18"/>
      <c r="L83" s="17"/>
      <c r="M83" s="17"/>
      <c r="N83" s="17"/>
      <c r="O83" s="17"/>
      <c r="P83" s="17"/>
      <c r="Q83" s="17"/>
      <c r="R83" s="20"/>
    </row>
    <row r="84" spans="2:46" s="41" customFormat="1" ht="15" customHeight="1" x14ac:dyDescent="0.25">
      <c r="B84" s="45" t="s">
        <v>25</v>
      </c>
      <c r="C84" s="45"/>
      <c r="E84" s="25"/>
      <c r="F84" s="25"/>
      <c r="G84" s="25"/>
      <c r="H84" s="25"/>
      <c r="I84" s="25"/>
      <c r="J84" s="25"/>
      <c r="K84" s="18"/>
      <c r="L84" s="17"/>
      <c r="M84" s="17"/>
      <c r="N84" s="17"/>
      <c r="O84" s="17"/>
      <c r="P84" s="17"/>
      <c r="Q84" s="17"/>
      <c r="R84" s="23"/>
      <c r="S84" s="19"/>
      <c r="T84" s="19"/>
      <c r="AR84" s="42"/>
      <c r="AS84" s="42"/>
      <c r="AT84" s="42"/>
    </row>
    <row r="85" spans="2:46" s="41" customFormat="1" ht="15" customHeight="1" x14ac:dyDescent="0.25">
      <c r="B85" s="44"/>
      <c r="C85" s="44"/>
      <c r="E85" s="25"/>
      <c r="F85" s="25"/>
      <c r="G85" s="25"/>
      <c r="H85" s="25"/>
      <c r="I85" s="25"/>
      <c r="J85" s="25"/>
      <c r="K85" s="18"/>
      <c r="L85" s="17"/>
      <c r="M85" s="17"/>
      <c r="N85" s="17"/>
      <c r="O85" s="17"/>
      <c r="P85" s="17"/>
      <c r="Q85" s="17"/>
      <c r="R85" s="23"/>
      <c r="S85" s="19"/>
      <c r="AR85" s="42"/>
      <c r="AS85" s="42"/>
      <c r="AT85" s="42"/>
    </row>
    <row r="86" spans="2:46" s="41" customFormat="1" ht="15" customHeight="1" x14ac:dyDescent="0.25">
      <c r="B86" s="21"/>
      <c r="C86" s="21"/>
      <c r="E86" s="23"/>
      <c r="F86" s="23"/>
      <c r="G86" s="24"/>
      <c r="H86" s="24"/>
      <c r="I86" s="24"/>
      <c r="J86" s="24"/>
      <c r="K86" s="18"/>
      <c r="L86" s="17"/>
      <c r="M86" s="17"/>
      <c r="N86" s="17"/>
      <c r="O86" s="17"/>
      <c r="P86" s="17"/>
      <c r="Q86" s="17"/>
      <c r="R86" s="24"/>
      <c r="S86" s="19"/>
      <c r="AR86" s="42"/>
      <c r="AS86" s="42"/>
      <c r="AT86" s="42"/>
    </row>
    <row r="87" spans="2:46" s="41" customFormat="1" ht="15" customHeight="1" x14ac:dyDescent="0.25">
      <c r="B87" s="21"/>
      <c r="C87" s="21"/>
      <c r="D87" s="24" t="s">
        <v>1</v>
      </c>
      <c r="E87" s="23"/>
      <c r="F87" s="23"/>
      <c r="G87" s="46" t="s">
        <v>14</v>
      </c>
      <c r="H87" s="46"/>
      <c r="I87" s="23"/>
      <c r="J87" s="23"/>
      <c r="K87" s="23"/>
      <c r="L87" s="46" t="s">
        <v>82</v>
      </c>
      <c r="M87" s="24"/>
      <c r="N87" s="24"/>
      <c r="O87" s="24"/>
      <c r="P87" s="24"/>
      <c r="Q87" s="24"/>
      <c r="R87" s="24"/>
      <c r="S87" s="19"/>
      <c r="AR87" s="42"/>
      <c r="AS87" s="42"/>
      <c r="AT87" s="42"/>
    </row>
    <row r="88" spans="2:46" s="41" customFormat="1" ht="15" customHeight="1" x14ac:dyDescent="0.25">
      <c r="B88" s="21"/>
      <c r="C88" s="21"/>
      <c r="D88" s="24" t="s">
        <v>2</v>
      </c>
      <c r="E88" s="25"/>
      <c r="F88" s="25"/>
      <c r="G88" s="46" t="s">
        <v>2</v>
      </c>
      <c r="H88" s="46"/>
      <c r="I88" s="25"/>
      <c r="J88" s="25"/>
      <c r="K88" s="25"/>
      <c r="L88" s="46" t="s">
        <v>2</v>
      </c>
      <c r="M88" s="24"/>
      <c r="N88" s="24"/>
      <c r="O88" s="24"/>
      <c r="P88" s="24"/>
      <c r="Q88" s="24"/>
      <c r="R88" s="25"/>
      <c r="S88" s="19"/>
      <c r="AR88" s="42"/>
      <c r="AS88" s="42"/>
      <c r="AT88" s="42"/>
    </row>
    <row r="89" spans="2:46" s="41" customFormat="1" ht="15" customHeight="1" x14ac:dyDescent="0.25">
      <c r="B89" s="23"/>
      <c r="C89" s="23"/>
      <c r="D89" s="47"/>
      <c r="E89" s="26"/>
      <c r="F89" s="26"/>
      <c r="G89" s="26"/>
      <c r="H89" s="26"/>
      <c r="I89" s="26"/>
      <c r="J89" s="26"/>
      <c r="K89" s="26"/>
      <c r="L89" s="48"/>
      <c r="M89" s="48"/>
      <c r="N89" s="48"/>
      <c r="O89" s="48"/>
      <c r="P89" s="48"/>
      <c r="Q89" s="48"/>
      <c r="R89" s="26"/>
      <c r="S89" s="19"/>
      <c r="AR89" s="42"/>
      <c r="AS89" s="42"/>
      <c r="AT89" s="42"/>
    </row>
    <row r="90" spans="2:46" s="41" customFormat="1" ht="45" customHeight="1" x14ac:dyDescent="0.25">
      <c r="B90" s="23"/>
      <c r="C90" s="23"/>
      <c r="D90" s="47"/>
      <c r="E90" s="26"/>
      <c r="F90" s="26"/>
      <c r="G90" s="26"/>
      <c r="H90" s="26"/>
      <c r="I90" s="26"/>
      <c r="J90" s="26"/>
      <c r="K90" s="26"/>
      <c r="L90" s="48"/>
      <c r="M90" s="48"/>
      <c r="N90" s="48"/>
      <c r="O90" s="48"/>
      <c r="P90" s="48"/>
      <c r="Q90" s="48"/>
      <c r="R90" s="26"/>
      <c r="S90" s="19"/>
      <c r="AR90" s="42"/>
      <c r="AS90" s="42"/>
      <c r="AT90" s="42"/>
    </row>
    <row r="91" spans="2:46" s="41" customFormat="1" ht="17.25" customHeight="1" x14ac:dyDescent="0.25">
      <c r="B91" s="21">
        <v>1</v>
      </c>
      <c r="C91" s="21"/>
      <c r="D91" s="41" t="s">
        <v>47</v>
      </c>
      <c r="E91" s="26"/>
      <c r="F91" s="26"/>
      <c r="G91" s="26"/>
      <c r="H91" s="26"/>
      <c r="I91" s="26"/>
      <c r="J91" s="26"/>
      <c r="K91" s="26"/>
      <c r="L91" s="48"/>
      <c r="M91" s="48"/>
      <c r="N91" s="48"/>
      <c r="O91" s="48"/>
      <c r="P91" s="48"/>
      <c r="Q91" s="48"/>
      <c r="R91" s="26"/>
      <c r="S91" s="19"/>
      <c r="AR91" s="42"/>
      <c r="AS91" s="42"/>
      <c r="AT91" s="42"/>
    </row>
    <row r="92" spans="2:46" s="41" customFormat="1" ht="17.25" customHeight="1" x14ac:dyDescent="0.25">
      <c r="B92" s="21">
        <v>2</v>
      </c>
      <c r="C92" s="21"/>
      <c r="D92" s="50" t="s">
        <v>12</v>
      </c>
      <c r="E92" s="25"/>
      <c r="F92" s="25"/>
      <c r="G92" s="25"/>
      <c r="H92" s="25"/>
      <c r="I92" s="25"/>
      <c r="J92" s="25"/>
      <c r="K92" s="25"/>
      <c r="L92" s="42"/>
      <c r="M92" s="42"/>
      <c r="N92" s="42"/>
      <c r="O92" s="42"/>
      <c r="P92" s="42"/>
      <c r="Q92" s="42"/>
      <c r="R92" s="25"/>
      <c r="S92" s="19"/>
      <c r="AR92" s="42"/>
      <c r="AS92" s="42"/>
      <c r="AT92" s="42"/>
    </row>
    <row r="93" spans="2:46" s="41" customFormat="1" ht="17.25" customHeight="1" x14ac:dyDescent="0.25">
      <c r="B93" s="21">
        <v>3</v>
      </c>
      <c r="C93" s="21"/>
      <c r="D93" s="50" t="s">
        <v>23</v>
      </c>
      <c r="E93" s="51"/>
      <c r="F93" s="51"/>
      <c r="G93" s="51"/>
      <c r="H93" s="51"/>
      <c r="I93" s="25"/>
      <c r="J93" s="25"/>
      <c r="K93" s="25"/>
      <c r="L93" s="42"/>
      <c r="M93" s="42"/>
      <c r="N93" s="42"/>
      <c r="O93" s="42"/>
      <c r="P93" s="42"/>
      <c r="Q93" s="42"/>
      <c r="R93" s="25"/>
      <c r="S93" s="19"/>
      <c r="AR93" s="42"/>
      <c r="AS93" s="42"/>
      <c r="AT93" s="42"/>
    </row>
    <row r="94" spans="2:46" s="41" customFormat="1" ht="17.25" customHeight="1" x14ac:dyDescent="0.25">
      <c r="B94" s="21">
        <v>4</v>
      </c>
      <c r="C94" s="21"/>
      <c r="D94" s="50" t="s">
        <v>3</v>
      </c>
      <c r="E94" s="51"/>
      <c r="F94" s="51"/>
      <c r="G94" s="51"/>
      <c r="H94" s="51"/>
      <c r="I94" s="25"/>
      <c r="J94" s="25"/>
      <c r="K94" s="25"/>
      <c r="L94" s="42"/>
      <c r="M94" s="42"/>
      <c r="N94" s="42"/>
      <c r="O94" s="42"/>
      <c r="P94" s="42"/>
      <c r="Q94" s="42"/>
      <c r="R94" s="25"/>
      <c r="S94" s="19"/>
      <c r="AR94" s="42"/>
      <c r="AS94" s="42"/>
      <c r="AT94" s="42"/>
    </row>
    <row r="95" spans="2:46" s="49" customFormat="1" ht="17.25" customHeight="1" x14ac:dyDescent="0.25">
      <c r="B95" s="21">
        <v>5</v>
      </c>
      <c r="C95" s="21"/>
      <c r="D95" s="50" t="s">
        <v>24</v>
      </c>
      <c r="E95" s="51"/>
      <c r="F95" s="51"/>
      <c r="G95" s="51"/>
      <c r="H95" s="51"/>
      <c r="I95" s="25"/>
      <c r="J95" s="25"/>
      <c r="K95" s="25"/>
      <c r="L95" s="42"/>
      <c r="M95" s="42"/>
      <c r="N95" s="42"/>
      <c r="O95" s="42"/>
      <c r="P95" s="42"/>
      <c r="Q95" s="42"/>
      <c r="R95" s="25"/>
      <c r="S95" s="19"/>
      <c r="T95" s="41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3"/>
      <c r="AQ95" s="53"/>
      <c r="AR95" s="53"/>
    </row>
    <row r="96" spans="2:46" s="49" customFormat="1" ht="17.25" customHeight="1" x14ac:dyDescent="0.25">
      <c r="B96" s="21"/>
      <c r="C96" s="21"/>
      <c r="D96" s="35"/>
      <c r="E96" s="21"/>
      <c r="F96" s="21"/>
      <c r="G96" s="21"/>
      <c r="H96" s="21"/>
      <c r="I96" s="21"/>
      <c r="J96" s="21"/>
      <c r="K96" s="21"/>
      <c r="L96" s="19"/>
      <c r="M96" s="19"/>
      <c r="N96" s="19"/>
      <c r="O96" s="19"/>
      <c r="P96" s="19"/>
      <c r="Q96" s="19"/>
      <c r="R96" s="21"/>
      <c r="S96" s="19"/>
      <c r="AE96" s="54" t="e">
        <f>#REF!</f>
        <v>#REF!</v>
      </c>
      <c r="AF96" s="55" t="e">
        <f>RIGHT("000000000000"&amp;ROUND(AE96,0),12)</f>
        <v>#REF!</v>
      </c>
      <c r="AG96" s="55">
        <v>1</v>
      </c>
      <c r="AH96" s="55">
        <v>2</v>
      </c>
      <c r="AI96" s="55">
        <v>3</v>
      </c>
      <c r="AJ96" s="55">
        <v>4</v>
      </c>
      <c r="AK96" s="55">
        <v>5</v>
      </c>
      <c r="AL96" s="55">
        <v>6</v>
      </c>
      <c r="AM96" s="55">
        <v>7</v>
      </c>
      <c r="AN96" s="55">
        <v>8</v>
      </c>
      <c r="AO96" s="55">
        <v>9</v>
      </c>
      <c r="AP96" s="56">
        <v>10</v>
      </c>
      <c r="AQ96" s="56">
        <v>11</v>
      </c>
      <c r="AR96" s="56">
        <v>12</v>
      </c>
    </row>
    <row r="97" spans="2:44" s="49" customFormat="1" ht="17.25" customHeight="1" x14ac:dyDescent="0.25">
      <c r="B97" s="21"/>
      <c r="C97" s="21"/>
      <c r="D97" s="35"/>
      <c r="E97" s="21"/>
      <c r="F97" s="21"/>
      <c r="G97" s="21"/>
      <c r="H97" s="21"/>
      <c r="I97" s="21"/>
      <c r="J97" s="21"/>
      <c r="K97" s="21"/>
      <c r="L97" s="19"/>
      <c r="M97" s="19"/>
      <c r="N97" s="19"/>
      <c r="O97" s="19"/>
      <c r="P97" s="19"/>
      <c r="Q97" s="19"/>
      <c r="R97" s="21"/>
      <c r="S97" s="19"/>
      <c r="AE97" s="57"/>
      <c r="AF97" s="58"/>
      <c r="AG97" s="58" t="e">
        <f>VALUE(MID(AF96,AG96,1))</f>
        <v>#REF!</v>
      </c>
      <c r="AH97" s="58" t="e">
        <f>VALUE(MID(AF96,AH96,1))</f>
        <v>#REF!</v>
      </c>
      <c r="AI97" s="58" t="e">
        <f>VALUE(MID(AF96,AI96,1))</f>
        <v>#REF!</v>
      </c>
      <c r="AJ97" s="58" t="e">
        <f>VALUE(MID(AF96,AJ96,1))</f>
        <v>#REF!</v>
      </c>
      <c r="AK97" s="58" t="e">
        <f>VALUE(MID(AF96,AK96,1))</f>
        <v>#REF!</v>
      </c>
      <c r="AL97" s="58" t="e">
        <f>VALUE(MID(AF96,AL96,1))</f>
        <v>#REF!</v>
      </c>
      <c r="AM97" s="58" t="e">
        <f>VALUE(MID(AF96,AM96,1))</f>
        <v>#REF!</v>
      </c>
      <c r="AN97" s="58" t="e">
        <f>VALUE(MID(AF96,AN96,1))</f>
        <v>#REF!</v>
      </c>
      <c r="AO97" s="58" t="e">
        <f>VALUE(MID(AF96,AO96,1))</f>
        <v>#REF!</v>
      </c>
      <c r="AP97" s="59" t="e">
        <f>VALUE(MID(AF96,AP96,1))</f>
        <v>#REF!</v>
      </c>
      <c r="AQ97" s="59" t="e">
        <f>VALUE(MID(AF96,AQ96,1))</f>
        <v>#REF!</v>
      </c>
      <c r="AR97" s="59" t="e">
        <f>VALUE(MID(AF96,AR96,1))</f>
        <v>#REF!</v>
      </c>
    </row>
    <row r="98" spans="2:44" s="49" customFormat="1" ht="17.25" customHeight="1" x14ac:dyDescent="0.25">
      <c r="B98" s="21"/>
      <c r="C98" s="21"/>
      <c r="D98" s="35"/>
      <c r="E98" s="21"/>
      <c r="F98" s="21"/>
      <c r="G98" s="21"/>
      <c r="H98" s="21"/>
      <c r="I98" s="21"/>
      <c r="J98" s="21"/>
      <c r="K98" s="21"/>
      <c r="L98" s="19"/>
      <c r="M98" s="19"/>
      <c r="N98" s="19"/>
      <c r="O98" s="19"/>
      <c r="P98" s="19"/>
      <c r="Q98" s="19"/>
      <c r="R98" s="21"/>
      <c r="S98" s="19"/>
      <c r="AE98" s="57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9"/>
      <c r="AQ98" s="59"/>
      <c r="AR98" s="59"/>
    </row>
    <row r="99" spans="2:44" s="49" customFormat="1" ht="17.25" customHeight="1" x14ac:dyDescent="0.25">
      <c r="B99" s="21"/>
      <c r="C99" s="21"/>
      <c r="D99" s="35"/>
      <c r="E99" s="21"/>
      <c r="F99" s="21"/>
      <c r="G99" s="21"/>
      <c r="H99" s="21"/>
      <c r="I99" s="21"/>
      <c r="J99" s="21"/>
      <c r="K99" s="21"/>
      <c r="L99" s="19"/>
      <c r="M99" s="19"/>
      <c r="N99" s="19"/>
      <c r="O99" s="19"/>
      <c r="P99" s="19"/>
      <c r="Q99" s="19"/>
      <c r="R99" s="21"/>
      <c r="S99" s="19"/>
      <c r="AE99" s="57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9"/>
      <c r="AQ99" s="59"/>
      <c r="AR99" s="59"/>
    </row>
    <row r="100" spans="2:44" ht="17.25" customHeight="1" x14ac:dyDescent="0.25">
      <c r="T100" s="49"/>
    </row>
    <row r="101" spans="2:44" ht="17.25" customHeight="1" x14ac:dyDescent="0.25"/>
    <row r="102" spans="2:44" ht="17.25" customHeight="1" x14ac:dyDescent="0.25"/>
    <row r="103" spans="2:44" ht="17.25" customHeight="1" x14ac:dyDescent="0.25"/>
    <row r="104" spans="2:44" ht="17.25" customHeight="1" x14ac:dyDescent="0.25"/>
    <row r="105" spans="2:44" ht="17.25" customHeight="1" x14ac:dyDescent="0.25"/>
    <row r="106" spans="2:44" ht="17.25" customHeight="1" x14ac:dyDescent="0.25"/>
    <row r="107" spans="2:44" ht="17.25" customHeight="1" x14ac:dyDescent="0.25"/>
    <row r="108" spans="2:44" ht="17.25" customHeight="1" x14ac:dyDescent="0.25"/>
    <row r="109" spans="2:44" ht="17.25" customHeight="1" x14ac:dyDescent="0.25"/>
    <row r="110" spans="2:44" ht="17.25" customHeight="1" x14ac:dyDescent="0.25"/>
    <row r="111" spans="2:44" ht="17.25" customHeight="1" x14ac:dyDescent="0.25"/>
    <row r="112" spans="2:44" ht="17.25" customHeight="1" x14ac:dyDescent="0.25"/>
    <row r="113" ht="17.25" customHeight="1" x14ac:dyDescent="0.25"/>
    <row r="114" ht="17.25" customHeight="1" x14ac:dyDescent="0.25"/>
    <row r="115" ht="17.25" customHeight="1" x14ac:dyDescent="0.25"/>
    <row r="116" ht="17.25" customHeight="1" x14ac:dyDescent="0.25"/>
    <row r="117" ht="17.25" customHeight="1" x14ac:dyDescent="0.25"/>
    <row r="118" ht="17.25" customHeight="1" x14ac:dyDescent="0.25"/>
    <row r="119" ht="17.25" customHeight="1" x14ac:dyDescent="0.25"/>
    <row r="164" spans="2:46" s="41" customFormat="1" ht="21" customHeight="1" x14ac:dyDescent="0.25">
      <c r="B164" s="21"/>
      <c r="C164" s="21"/>
      <c r="D164" s="35"/>
      <c r="E164" s="21"/>
      <c r="F164" s="21"/>
      <c r="G164" s="21"/>
      <c r="H164" s="21"/>
      <c r="I164" s="21"/>
      <c r="J164" s="21"/>
      <c r="K164" s="21"/>
      <c r="L164" s="19"/>
      <c r="M164" s="19"/>
      <c r="N164" s="19"/>
      <c r="O164" s="19"/>
      <c r="P164" s="19"/>
      <c r="Q164" s="19"/>
      <c r="R164" s="21"/>
      <c r="S164" s="19"/>
      <c r="T164" s="19"/>
      <c r="AR164" s="42"/>
      <c r="AS164" s="42"/>
      <c r="AT164" s="42"/>
    </row>
    <row r="172" spans="2:46" s="41" customFormat="1" ht="21" customHeight="1" x14ac:dyDescent="0.25">
      <c r="B172" s="21"/>
      <c r="C172" s="21"/>
      <c r="D172" s="35"/>
      <c r="E172" s="21"/>
      <c r="F172" s="21"/>
      <c r="G172" s="21"/>
      <c r="H172" s="21"/>
      <c r="I172" s="21"/>
      <c r="J172" s="21"/>
      <c r="K172" s="21"/>
      <c r="L172" s="19"/>
      <c r="M172" s="19"/>
      <c r="N172" s="19"/>
      <c r="O172" s="19"/>
      <c r="P172" s="19"/>
      <c r="Q172" s="19"/>
      <c r="R172" s="21"/>
      <c r="S172" s="19"/>
      <c r="AR172" s="42"/>
      <c r="AS172" s="42"/>
      <c r="AT172" s="42"/>
    </row>
    <row r="204" ht="22.5" customHeight="1" x14ac:dyDescent="0.25"/>
    <row r="205" ht="22.5" customHeight="1" x14ac:dyDescent="0.25"/>
    <row r="206" ht="22.5" customHeight="1" x14ac:dyDescent="0.25"/>
    <row r="207" ht="22.5" customHeight="1" x14ac:dyDescent="0.25"/>
    <row r="208" ht="22.5" customHeight="1" x14ac:dyDescent="0.25"/>
    <row r="209" ht="22.5" customHeight="1" x14ac:dyDescent="0.25"/>
    <row r="210" ht="22.5" customHeight="1" x14ac:dyDescent="0.25"/>
    <row r="211" ht="22.5" customHeight="1" x14ac:dyDescent="0.25"/>
    <row r="212" ht="22.5" customHeight="1" x14ac:dyDescent="0.25"/>
    <row r="213" ht="22.5" customHeight="1" x14ac:dyDescent="0.25"/>
    <row r="214" ht="22.5" customHeight="1" x14ac:dyDescent="0.25"/>
    <row r="215" ht="51" customHeight="1" x14ac:dyDescent="0.25"/>
    <row r="216" ht="46.5" customHeight="1" x14ac:dyDescent="0.25"/>
    <row r="217" ht="46.5" customHeight="1" x14ac:dyDescent="0.25"/>
    <row r="220" ht="27" customHeight="1" x14ac:dyDescent="0.25"/>
    <row r="221" ht="24" customHeight="1" x14ac:dyDescent="0.25"/>
  </sheetData>
  <mergeCells count="15">
    <mergeCell ref="O2:R2"/>
    <mergeCell ref="A11:A12"/>
    <mergeCell ref="C11:C12"/>
    <mergeCell ref="R11:R12"/>
    <mergeCell ref="D11:D12"/>
    <mergeCell ref="B11:B12"/>
    <mergeCell ref="E11:F11"/>
    <mergeCell ref="G11:G12"/>
    <mergeCell ref="M11:M12"/>
    <mergeCell ref="N11:N12"/>
    <mergeCell ref="I11:L11"/>
    <mergeCell ref="O11:O12"/>
    <mergeCell ref="H11:H12"/>
    <mergeCell ref="P11:P12"/>
    <mergeCell ref="Q11:Q12"/>
  </mergeCells>
  <conditionalFormatting sqref="E15:F28">
    <cfRule type="cellIs" dxfId="2" priority="51" operator="between">
      <formula>0</formula>
      <formula>59</formula>
    </cfRule>
  </conditionalFormatting>
  <conditionalFormatting sqref="E30:F68">
    <cfRule type="cellIs" dxfId="1" priority="1" operator="between">
      <formula>0</formula>
      <formula>59</formula>
    </cfRule>
  </conditionalFormatting>
  <pageMargins left="0.28000000000000003" right="0.25" top="0.34" bottom="0.34" header="0.3" footer="0.3"/>
  <pageSetup paperSize="9" scale="74" orientation="landscape" r:id="rId1"/>
  <rowBreaks count="2" manualBreakCount="2">
    <brk id="84" max="16383" man="1"/>
    <brk id="95" max="16383" man="1"/>
  </rowBreaks>
  <colBreaks count="1" manualBreakCount="1">
    <brk id="18" max="1048575" man="1"/>
  </colBreaks>
  <drawing r:id="rId2"/>
  <legacyDrawing r:id="rId3"/>
  <oleObjects>
    <mc:AlternateContent xmlns:mc="http://schemas.openxmlformats.org/markup-compatibility/2006">
      <mc:Choice Requires="x14">
        <oleObject progId="AutoCAD.Drawing.19" shapeId="22534" r:id="rId4">
          <objectPr defaultSize="0" autoPict="0" r:id="rId5">
            <anchor moveWithCells="1">
              <from>
                <xdr:col>14</xdr:col>
                <xdr:colOff>714375</xdr:colOff>
                <xdr:row>84</xdr:row>
                <xdr:rowOff>28575</xdr:rowOff>
              </from>
              <to>
                <xdr:col>16</xdr:col>
                <xdr:colOff>257175</xdr:colOff>
                <xdr:row>90</xdr:row>
                <xdr:rowOff>0</xdr:rowOff>
              </to>
            </anchor>
          </objectPr>
        </oleObject>
      </mc:Choice>
      <mc:Fallback>
        <oleObject progId="AutoCAD.Drawing.19" shapeId="22534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00"/>
  <sheetViews>
    <sheetView zoomScale="85" zoomScaleNormal="85" workbookViewId="0">
      <selection activeCell="L15" sqref="L15"/>
    </sheetView>
  </sheetViews>
  <sheetFormatPr defaultColWidth="9" defaultRowHeight="15" x14ac:dyDescent="0.25"/>
  <cols>
    <col min="1" max="1" width="6.375" style="8" customWidth="1"/>
    <col min="2" max="2" width="68.875" style="7" customWidth="1"/>
    <col min="3" max="3" width="8.5" style="1" customWidth="1"/>
    <col min="4" max="4" width="7.125" style="1" customWidth="1"/>
    <col min="5" max="5" width="5.875" style="1" customWidth="1"/>
    <col min="6" max="6" width="10.5" style="1" customWidth="1"/>
    <col min="7" max="9" width="6.875" style="1" customWidth="1"/>
    <col min="10" max="10" width="26.875" style="1" customWidth="1"/>
    <col min="11" max="16384" width="9" style="1"/>
  </cols>
  <sheetData>
    <row r="1" spans="1:11" ht="37.5" customHeight="1" x14ac:dyDescent="0.25">
      <c r="B1" s="9"/>
    </row>
    <row r="2" spans="1:11" ht="37.5" customHeight="1" x14ac:dyDescent="0.25"/>
    <row r="3" spans="1:11" ht="37.5" customHeight="1" x14ac:dyDescent="0.25"/>
    <row r="4" spans="1:11" ht="11.25" customHeight="1" x14ac:dyDescent="0.25">
      <c r="C4" s="2"/>
    </row>
    <row r="5" spans="1:11" ht="22.5" x14ac:dyDescent="0.25">
      <c r="B5" s="2"/>
      <c r="C5" s="11"/>
      <c r="D5" s="10" t="s">
        <v>8</v>
      </c>
      <c r="F5" s="2"/>
      <c r="J5" s="2"/>
      <c r="K5" s="2"/>
    </row>
    <row r="6" spans="1:11" x14ac:dyDescent="0.25">
      <c r="A6" s="8" t="s">
        <v>9</v>
      </c>
      <c r="B6" s="1"/>
      <c r="D6" s="8" t="str">
        <f>'GIA CONG LAMINATE'!I6</f>
        <v>Ngày 10 tháng 03 năm 2026</v>
      </c>
    </row>
    <row r="7" spans="1:11" x14ac:dyDescent="0.25">
      <c r="B7" s="1"/>
      <c r="D7" s="8" t="str">
        <f>'GIA CONG LAMINATE'!I7</f>
        <v xml:space="preserve">Số phiếu: </v>
      </c>
      <c r="E7" s="1">
        <f>'GIA CONG LAMINATE'!J7</f>
        <v>0</v>
      </c>
    </row>
    <row r="8" spans="1:11" x14ac:dyDescent="0.25">
      <c r="A8" s="1"/>
      <c r="B8" s="7" t="str">
        <f>'GIA CONG LAMINATE'!D8</f>
        <v>Khách hàng: KH0000 - Tên Khách hàng</v>
      </c>
      <c r="J8" s="12"/>
      <c r="K8" s="3"/>
    </row>
    <row r="9" spans="1:11" x14ac:dyDescent="0.25">
      <c r="A9" s="1"/>
      <c r="B9" s="7" t="str">
        <f>'GIA CONG LAMINATE'!D9</f>
        <v xml:space="preserve">Địa chỉ: </v>
      </c>
      <c r="G9" s="13"/>
      <c r="J9" s="3"/>
      <c r="K9" s="3"/>
    </row>
    <row r="10" spans="1:11" x14ac:dyDescent="0.25">
      <c r="A10" s="1"/>
      <c r="B10" s="7" t="s">
        <v>10</v>
      </c>
      <c r="J10" s="3"/>
      <c r="K10" s="3"/>
    </row>
    <row r="11" spans="1:11" ht="38.25" customHeight="1" x14ac:dyDescent="0.25">
      <c r="A11" s="88" t="str">
        <f>'GIA CONG LAMINATE'!B69</f>
        <v>B</v>
      </c>
      <c r="B11" s="88" t="str">
        <f>'GIA CONG LAMINATE'!D69</f>
        <v>Tính giá bán sản phẩm, dịch vụ:</v>
      </c>
      <c r="C11" s="88" t="str">
        <f>'GIA CONG LAMINATE'!I69</f>
        <v>Đơn vị</v>
      </c>
      <c r="D11" s="88"/>
      <c r="E11" s="88"/>
      <c r="F11" s="88" t="str">
        <f>'GIA CONG LAMINATE'!L69</f>
        <v>Số lượng</v>
      </c>
      <c r="G11" s="88"/>
      <c r="H11" s="88"/>
      <c r="I11" s="88"/>
      <c r="J11" s="88" t="s">
        <v>30</v>
      </c>
    </row>
    <row r="12" spans="1:11" ht="29.25" customHeight="1" x14ac:dyDescent="0.25">
      <c r="A12" s="30">
        <f>'GIA CONG LAMINATE'!B70</f>
        <v>1</v>
      </c>
      <c r="B12" s="87" t="str">
        <f>'GIA CONG LAMINATE'!D70</f>
        <v>Cốt MDF chống ẩm 17mm (Gervin), 2 mặt phủ Laminate AS-13005 CN74 màu đơn sắc (khách mang đến) = 2 tấm</v>
      </c>
      <c r="C12" s="87" t="str">
        <f>'GIA CONG LAMINATE'!I70</f>
        <v>tấm</v>
      </c>
      <c r="D12" s="87"/>
      <c r="E12" s="87"/>
      <c r="F12" s="87">
        <f>'GIA CONG LAMINATE'!L70</f>
        <v>0</v>
      </c>
      <c r="G12" s="87"/>
      <c r="H12" s="87"/>
      <c r="I12" s="87"/>
      <c r="J12" s="123"/>
    </row>
    <row r="13" spans="1:11" ht="29.25" customHeight="1" x14ac:dyDescent="0.25">
      <c r="A13" s="30">
        <f>'GIA CONG LAMINATE'!B71</f>
        <v>2</v>
      </c>
      <c r="B13" s="87" t="str">
        <f>'GIA CONG LAMINATE'!D71</f>
        <v>Cốt MDF chống ẩm 17mm (Gervin), 2 mặt phủ Laminate AS - 14029 CS98 màu vân gỗ (khách mang đến) = 3 tấm</v>
      </c>
      <c r="C13" s="87" t="str">
        <f>'GIA CONG LAMINATE'!I71</f>
        <v>tấm</v>
      </c>
      <c r="D13" s="87"/>
      <c r="E13" s="87"/>
      <c r="F13" s="87">
        <f>'GIA CONG LAMINATE'!L71</f>
        <v>0</v>
      </c>
      <c r="G13" s="87"/>
      <c r="H13" s="87"/>
      <c r="I13" s="87"/>
      <c r="J13" s="123"/>
    </row>
    <row r="14" spans="1:11" ht="29.25" customHeight="1" x14ac:dyDescent="0.25">
      <c r="A14" s="30">
        <f>'GIA CONG LAMINATE'!B72</f>
        <v>3</v>
      </c>
      <c r="B14" s="87" t="str">
        <f>'GIA CONG LAMINATE'!D72</f>
        <v>Công cắt tấm</v>
      </c>
      <c r="C14" s="87" t="str">
        <f>'GIA CONG LAMINATE'!I72</f>
        <v>tấm</v>
      </c>
      <c r="D14" s="87"/>
      <c r="E14" s="87"/>
      <c r="F14" s="87">
        <f>'GIA CONG LAMINATE'!L72</f>
        <v>0</v>
      </c>
      <c r="G14" s="87"/>
      <c r="H14" s="87"/>
      <c r="I14" s="87"/>
      <c r="J14" s="123"/>
    </row>
    <row r="15" spans="1:11" ht="58.5" customHeight="1" x14ac:dyDescent="0.25">
      <c r="A15" s="30">
        <f>'GIA CONG LAMINATE'!B73</f>
        <v>4</v>
      </c>
      <c r="B15" s="87" t="str">
        <f>'GIA CONG LAMINATE'!D73</f>
        <v>Dán cạnh thẳng laminate, melamine sử dụng keo chống thấm nước PUR:
Áp dụng cho tấm ván có chiều rộng từ 60mm trở lên, độ dày ván 9-21mm, sử dụng máy dán Homag, Cộng hòa LB Đức.</v>
      </c>
      <c r="C15" s="87" t="str">
        <f>'GIA CONG LAMINATE'!I73</f>
        <v>m</v>
      </c>
      <c r="D15" s="87"/>
      <c r="E15" s="87"/>
      <c r="F15" s="87">
        <f>'GIA CONG LAMINATE'!L73</f>
        <v>0</v>
      </c>
      <c r="G15" s="87"/>
      <c r="H15" s="87"/>
      <c r="I15" s="87"/>
      <c r="J15" s="123"/>
    </row>
    <row r="16" spans="1:11" ht="75" customHeight="1" x14ac:dyDescent="0.25">
      <c r="A16" s="30">
        <f>'GIA CONG LAMINATE'!B74</f>
        <v>5</v>
      </c>
      <c r="B16" s="87" t="str">
        <f>'GIA CONG LAMINATE'!D74</f>
        <v>Dán cạnh thẳng laminate, melamine sử dụng keo chống thấm nước PUR:
Áp dụng cho tấm ván có chiều rộng từ 40mm đến 59mm, độ dày ván 9-21mm nhân công, keo, băng dính dán cạnh thẳng laminate, melamine. (không bao gồm nẹp dán cạnh) sử dụng máy dán Homag, Cộng hòa LB Đức.</v>
      </c>
      <c r="C16" s="87" t="str">
        <f>'GIA CONG LAMINATE'!I74</f>
        <v>m</v>
      </c>
      <c r="D16" s="87"/>
      <c r="E16" s="87"/>
      <c r="F16" s="87">
        <f>'GIA CONG LAMINATE'!L74</f>
        <v>0</v>
      </c>
      <c r="G16" s="87"/>
      <c r="H16" s="87"/>
      <c r="I16" s="87"/>
      <c r="J16" s="123"/>
    </row>
    <row r="17" spans="1:62" ht="58.5" customHeight="1" x14ac:dyDescent="0.25">
      <c r="A17" s="30">
        <f>'GIA CONG LAMINATE'!B75</f>
        <v>6</v>
      </c>
      <c r="B17" s="87" t="str">
        <f>'GIA CONG LAMINATE'!D75</f>
        <v>Dán cạnh Vát sử dụng máy dán acrylic:
Áp dụng cho tấm ván có chiều rộng từ 60mm trở lên, độ dày ván 9-21mm + Công hoàn thiện sản phẩm</v>
      </c>
      <c r="C17" s="87" t="str">
        <f>'GIA CONG LAMINATE'!I75</f>
        <v>m</v>
      </c>
      <c r="D17" s="87"/>
      <c r="E17" s="87"/>
      <c r="F17" s="87">
        <f>'GIA CONG LAMINATE'!L75</f>
        <v>0</v>
      </c>
      <c r="G17" s="87"/>
      <c r="H17" s="87"/>
      <c r="I17" s="87"/>
      <c r="J17" s="123"/>
    </row>
    <row r="18" spans="1:62" ht="29.25" customHeight="1" x14ac:dyDescent="0.25">
      <c r="A18" s="30">
        <f>'GIA CONG LAMINATE'!B76</f>
        <v>7</v>
      </c>
      <c r="B18" s="87" t="str">
        <f>'GIA CONG LAMINATE'!D76</f>
        <v>Nhân công và vật liệu đóng gói melamin, laminate</v>
      </c>
      <c r="C18" s="87" t="str">
        <f>'GIA CONG LAMINATE'!I76</f>
        <v>tấm</v>
      </c>
      <c r="D18" s="87"/>
      <c r="E18" s="87"/>
      <c r="F18" s="87">
        <f>'GIA CONG LAMINATE'!L76</f>
        <v>0</v>
      </c>
      <c r="G18" s="87"/>
      <c r="H18" s="87"/>
      <c r="I18" s="87"/>
      <c r="J18" s="123"/>
    </row>
    <row r="19" spans="1:62" ht="29.25" customHeight="1" x14ac:dyDescent="0.25">
      <c r="A19" s="30">
        <f>'GIA CONG LAMINATE'!B77</f>
        <v>8</v>
      </c>
      <c r="B19" s="87" t="str">
        <f>'GIA CONG LAMINATE'!D77</f>
        <v xml:space="preserve">Giao hàng tại Vinh </v>
      </c>
      <c r="C19" s="87" t="str">
        <f>'GIA CONG LAMINATE'!I77</f>
        <v>lần</v>
      </c>
      <c r="D19" s="87"/>
      <c r="E19" s="87"/>
      <c r="F19" s="87">
        <f>'GIA CONG LAMINATE'!L77</f>
        <v>0</v>
      </c>
      <c r="G19" s="87"/>
      <c r="H19" s="87"/>
      <c r="I19" s="87"/>
      <c r="J19" s="123"/>
    </row>
    <row r="20" spans="1:62" ht="29.25" customHeight="1" x14ac:dyDescent="0.25">
      <c r="A20" s="32"/>
      <c r="B20" s="33"/>
      <c r="C20" s="32"/>
      <c r="D20" s="32"/>
      <c r="E20" s="32"/>
      <c r="F20" s="32"/>
      <c r="G20" s="32"/>
      <c r="H20" s="32"/>
      <c r="I20" s="32"/>
      <c r="J20" s="32"/>
      <c r="N20" s="4"/>
      <c r="O20" s="4"/>
      <c r="P20" s="4"/>
      <c r="Q20" s="31"/>
      <c r="R20" s="31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</row>
    <row r="21" spans="1:62" ht="18.75" x14ac:dyDescent="0.25">
      <c r="B21" s="74" t="s">
        <v>34</v>
      </c>
      <c r="C21" s="74"/>
      <c r="D21" s="74"/>
      <c r="E21" s="74" t="s">
        <v>35</v>
      </c>
      <c r="F21" s="74"/>
      <c r="H21" s="74" t="s">
        <v>36</v>
      </c>
      <c r="J21" s="74" t="s">
        <v>37</v>
      </c>
    </row>
    <row r="22" spans="1:62" ht="15.75" x14ac:dyDescent="0.25">
      <c r="B22" s="75" t="s">
        <v>38</v>
      </c>
      <c r="C22" s="75"/>
      <c r="D22" s="75"/>
      <c r="E22" s="75" t="s">
        <v>2</v>
      </c>
      <c r="F22" s="75"/>
      <c r="H22" s="75" t="s">
        <v>2</v>
      </c>
      <c r="J22" s="75" t="s">
        <v>2</v>
      </c>
    </row>
    <row r="23" spans="1:62" ht="74.25" customHeight="1" x14ac:dyDescent="0.25">
      <c r="B23" s="1"/>
      <c r="D23" s="14"/>
      <c r="E23" s="14"/>
      <c r="F23" s="14"/>
      <c r="G23" s="5"/>
      <c r="H23" s="3"/>
      <c r="I23" s="3"/>
      <c r="K23" s="3"/>
    </row>
    <row r="24" spans="1:62" ht="69" customHeight="1" x14ac:dyDescent="0.25">
      <c r="B24" s="8"/>
      <c r="J24" s="3"/>
      <c r="K24" s="3"/>
    </row>
    <row r="25" spans="1:62" ht="29.25" customHeight="1" x14ac:dyDescent="0.25">
      <c r="J25" s="3"/>
      <c r="K25" s="3"/>
    </row>
    <row r="26" spans="1:62" ht="29.25" customHeight="1" x14ac:dyDescent="0.25">
      <c r="J26" s="3"/>
      <c r="K26" s="3"/>
    </row>
    <row r="27" spans="1:62" x14ac:dyDescent="0.25">
      <c r="J27" s="3"/>
      <c r="K27" s="3"/>
    </row>
    <row r="28" spans="1:62" x14ac:dyDescent="0.25">
      <c r="J28" s="3"/>
      <c r="K28" s="3"/>
    </row>
    <row r="29" spans="1:62" x14ac:dyDescent="0.25">
      <c r="J29" s="3"/>
      <c r="K29" s="3"/>
    </row>
    <row r="30" spans="1:62" x14ac:dyDescent="0.25">
      <c r="B30" s="1"/>
      <c r="J30" s="3"/>
      <c r="K30" s="3"/>
    </row>
    <row r="31" spans="1:62" x14ac:dyDescent="0.25">
      <c r="B31" s="1"/>
      <c r="J31" s="3"/>
      <c r="K31" s="3"/>
    </row>
    <row r="32" spans="1:62" x14ac:dyDescent="0.25">
      <c r="B32" s="1"/>
      <c r="J32" s="3"/>
      <c r="K32" s="3"/>
    </row>
    <row r="33" spans="2:11" x14ac:dyDescent="0.25">
      <c r="B33" s="1"/>
      <c r="J33" s="3"/>
      <c r="K33" s="3"/>
    </row>
    <row r="34" spans="2:11" x14ac:dyDescent="0.25">
      <c r="B34" s="1"/>
      <c r="J34" s="3"/>
      <c r="K34" s="3"/>
    </row>
    <row r="35" spans="2:11" x14ac:dyDescent="0.25">
      <c r="B35" s="1"/>
      <c r="J35" s="3"/>
      <c r="K35" s="3"/>
    </row>
    <row r="36" spans="2:11" x14ac:dyDescent="0.25">
      <c r="B36" s="1"/>
      <c r="J36" s="3"/>
      <c r="K36" s="3"/>
    </row>
    <row r="37" spans="2:11" x14ac:dyDescent="0.25">
      <c r="B37" s="1"/>
      <c r="J37" s="3"/>
      <c r="K37" s="3"/>
    </row>
    <row r="38" spans="2:11" x14ac:dyDescent="0.25">
      <c r="B38" s="1"/>
      <c r="J38" s="3"/>
      <c r="K38" s="3"/>
    </row>
    <row r="39" spans="2:11" x14ac:dyDescent="0.25">
      <c r="B39" s="1"/>
      <c r="J39" s="3"/>
      <c r="K39" s="3"/>
    </row>
    <row r="40" spans="2:11" x14ac:dyDescent="0.25">
      <c r="B40" s="1"/>
      <c r="J40" s="3"/>
      <c r="K40" s="3"/>
    </row>
    <row r="41" spans="2:11" x14ac:dyDescent="0.25">
      <c r="B41" s="1"/>
      <c r="J41" s="3"/>
      <c r="K41" s="3"/>
    </row>
    <row r="42" spans="2:11" x14ac:dyDescent="0.25">
      <c r="B42" s="1"/>
      <c r="J42" s="3"/>
      <c r="K42" s="3"/>
    </row>
    <row r="43" spans="2:11" x14ac:dyDescent="0.25">
      <c r="B43" s="1"/>
      <c r="J43" s="3"/>
      <c r="K43" s="3"/>
    </row>
    <row r="44" spans="2:11" x14ac:dyDescent="0.25">
      <c r="B44" s="1"/>
      <c r="J44" s="3"/>
      <c r="K44" s="3"/>
    </row>
    <row r="45" spans="2:11" x14ac:dyDescent="0.25">
      <c r="B45" s="1"/>
      <c r="J45" s="3"/>
      <c r="K45" s="3"/>
    </row>
    <row r="46" spans="2:11" x14ac:dyDescent="0.25">
      <c r="B46" s="1"/>
      <c r="J46" s="3"/>
      <c r="K46" s="3"/>
    </row>
    <row r="47" spans="2:11" x14ac:dyDescent="0.25">
      <c r="B47" s="1"/>
      <c r="J47" s="3"/>
      <c r="K47" s="3"/>
    </row>
    <row r="48" spans="2:11" x14ac:dyDescent="0.25">
      <c r="B48" s="1"/>
      <c r="J48" s="3"/>
      <c r="K48" s="3"/>
    </row>
    <row r="49" spans="2:11" x14ac:dyDescent="0.25">
      <c r="B49" s="1"/>
      <c r="J49" s="3"/>
      <c r="K49" s="3"/>
    </row>
    <row r="50" spans="2:11" x14ac:dyDescent="0.25">
      <c r="B50" s="1"/>
      <c r="J50" s="3"/>
      <c r="K50" s="3"/>
    </row>
    <row r="51" spans="2:11" x14ac:dyDescent="0.25">
      <c r="B51" s="1"/>
      <c r="J51" s="3"/>
      <c r="K51" s="3"/>
    </row>
    <row r="52" spans="2:11" x14ac:dyDescent="0.25">
      <c r="B52" s="1"/>
      <c r="J52" s="3"/>
      <c r="K52" s="3"/>
    </row>
    <row r="53" spans="2:11" x14ac:dyDescent="0.25">
      <c r="B53" s="1"/>
      <c r="J53" s="3"/>
      <c r="K53" s="3"/>
    </row>
    <row r="54" spans="2:11" x14ac:dyDescent="0.25">
      <c r="B54" s="1"/>
      <c r="J54" s="3"/>
      <c r="K54" s="3"/>
    </row>
    <row r="55" spans="2:11" x14ac:dyDescent="0.25">
      <c r="B55" s="1"/>
      <c r="J55" s="3"/>
      <c r="K55" s="3"/>
    </row>
    <row r="56" spans="2:11" x14ac:dyDescent="0.25">
      <c r="B56" s="1"/>
      <c r="J56" s="3"/>
      <c r="K56" s="3"/>
    </row>
    <row r="57" spans="2:11" x14ac:dyDescent="0.25">
      <c r="B57" s="1"/>
      <c r="J57" s="3"/>
      <c r="K57" s="3"/>
    </row>
    <row r="58" spans="2:11" x14ac:dyDescent="0.25">
      <c r="B58" s="1"/>
      <c r="J58" s="3"/>
      <c r="K58" s="3"/>
    </row>
    <row r="59" spans="2:11" x14ac:dyDescent="0.25">
      <c r="B59" s="1"/>
      <c r="J59" s="3"/>
      <c r="K59" s="3"/>
    </row>
    <row r="60" spans="2:11" x14ac:dyDescent="0.25">
      <c r="B60" s="1"/>
      <c r="J60" s="3"/>
      <c r="K60" s="3"/>
    </row>
    <row r="61" spans="2:11" x14ac:dyDescent="0.25">
      <c r="B61" s="1"/>
      <c r="J61" s="3"/>
      <c r="K61" s="3"/>
    </row>
    <row r="62" spans="2:11" x14ac:dyDescent="0.25">
      <c r="B62" s="1"/>
      <c r="J62" s="3"/>
      <c r="K62" s="3"/>
    </row>
    <row r="63" spans="2:11" x14ac:dyDescent="0.25">
      <c r="B63" s="1"/>
      <c r="J63" s="3"/>
      <c r="K63" s="3"/>
    </row>
    <row r="64" spans="2:11" x14ac:dyDescent="0.25">
      <c r="B64" s="1"/>
      <c r="J64" s="3"/>
      <c r="K64" s="3"/>
    </row>
    <row r="65" spans="2:11" x14ac:dyDescent="0.25">
      <c r="B65" s="1"/>
      <c r="J65" s="3"/>
      <c r="K65" s="3"/>
    </row>
    <row r="66" spans="2:11" x14ac:dyDescent="0.25">
      <c r="B66" s="1"/>
      <c r="J66" s="3"/>
      <c r="K66" s="3"/>
    </row>
    <row r="67" spans="2:11" x14ac:dyDescent="0.25">
      <c r="B67" s="1"/>
      <c r="J67" s="3"/>
      <c r="K67" s="3"/>
    </row>
    <row r="68" spans="2:11" x14ac:dyDescent="0.25">
      <c r="B68" s="1"/>
      <c r="J68" s="3"/>
      <c r="K68" s="3"/>
    </row>
    <row r="69" spans="2:11" x14ac:dyDescent="0.25">
      <c r="B69" s="1"/>
      <c r="J69" s="3"/>
      <c r="K69" s="3"/>
    </row>
    <row r="70" spans="2:11" x14ac:dyDescent="0.25">
      <c r="B70" s="1"/>
      <c r="J70" s="3"/>
      <c r="K70" s="3"/>
    </row>
    <row r="71" spans="2:11" x14ac:dyDescent="0.25">
      <c r="B71" s="1"/>
      <c r="J71" s="3"/>
      <c r="K71" s="3"/>
    </row>
    <row r="72" spans="2:11" x14ac:dyDescent="0.25">
      <c r="B72" s="1"/>
      <c r="J72" s="3"/>
      <c r="K72" s="3"/>
    </row>
    <row r="73" spans="2:11" x14ac:dyDescent="0.25">
      <c r="B73" s="1"/>
      <c r="J73" s="3"/>
      <c r="K73" s="3"/>
    </row>
    <row r="74" spans="2:11" x14ac:dyDescent="0.25">
      <c r="B74" s="1"/>
      <c r="J74" s="3"/>
      <c r="K74" s="3"/>
    </row>
    <row r="75" spans="2:11" x14ac:dyDescent="0.25">
      <c r="B75" s="1"/>
      <c r="J75" s="3"/>
      <c r="K75" s="3"/>
    </row>
    <row r="76" spans="2:11" x14ac:dyDescent="0.25">
      <c r="B76" s="1"/>
      <c r="J76" s="3"/>
      <c r="K76" s="3"/>
    </row>
    <row r="77" spans="2:11" x14ac:dyDescent="0.25">
      <c r="B77" s="1"/>
      <c r="J77" s="3"/>
      <c r="K77" s="3"/>
    </row>
    <row r="78" spans="2:11" x14ac:dyDescent="0.25">
      <c r="B78" s="1"/>
      <c r="J78" s="3"/>
      <c r="K78" s="3"/>
    </row>
    <row r="79" spans="2:11" x14ac:dyDescent="0.25">
      <c r="B79" s="1"/>
      <c r="J79" s="3"/>
      <c r="K79" s="3"/>
    </row>
    <row r="80" spans="2:11" x14ac:dyDescent="0.25">
      <c r="B80" s="1"/>
      <c r="J80" s="3"/>
      <c r="K80" s="3"/>
    </row>
    <row r="81" spans="2:11" x14ac:dyDescent="0.25">
      <c r="B81" s="1"/>
      <c r="J81" s="3"/>
      <c r="K81" s="3"/>
    </row>
    <row r="82" spans="2:11" x14ac:dyDescent="0.25">
      <c r="B82" s="1"/>
      <c r="J82" s="3"/>
      <c r="K82" s="3"/>
    </row>
    <row r="83" spans="2:11" x14ac:dyDescent="0.25">
      <c r="B83" s="1"/>
      <c r="J83" s="3"/>
      <c r="K83" s="3"/>
    </row>
    <row r="84" spans="2:11" x14ac:dyDescent="0.25">
      <c r="B84" s="1"/>
      <c r="J84" s="3"/>
      <c r="K84" s="3"/>
    </row>
    <row r="85" spans="2:11" x14ac:dyDescent="0.25">
      <c r="B85" s="1"/>
      <c r="J85" s="3"/>
      <c r="K85" s="3"/>
    </row>
    <row r="86" spans="2:11" x14ac:dyDescent="0.25">
      <c r="B86" s="1"/>
      <c r="J86" s="3"/>
      <c r="K86" s="3"/>
    </row>
    <row r="87" spans="2:11" x14ac:dyDescent="0.25">
      <c r="B87" s="1"/>
      <c r="J87" s="3"/>
      <c r="K87" s="3"/>
    </row>
    <row r="88" spans="2:11" x14ac:dyDescent="0.25">
      <c r="B88" s="1"/>
      <c r="J88" s="3"/>
    </row>
    <row r="89" spans="2:11" x14ac:dyDescent="0.25">
      <c r="B89" s="1"/>
      <c r="J89" s="3"/>
    </row>
    <row r="90" spans="2:11" x14ac:dyDescent="0.25">
      <c r="B90" s="1"/>
      <c r="J90" s="3"/>
    </row>
    <row r="91" spans="2:11" x14ac:dyDescent="0.25">
      <c r="B91" s="1"/>
      <c r="J91" s="3"/>
    </row>
    <row r="92" spans="2:11" x14ac:dyDescent="0.25">
      <c r="B92" s="1"/>
      <c r="J92" s="3"/>
    </row>
    <row r="93" spans="2:11" x14ac:dyDescent="0.25">
      <c r="B93" s="1"/>
      <c r="J93" s="3"/>
    </row>
    <row r="94" spans="2:11" x14ac:dyDescent="0.25">
      <c r="B94" s="1"/>
      <c r="J94" s="3"/>
    </row>
    <row r="95" spans="2:11" x14ac:dyDescent="0.25">
      <c r="B95" s="1"/>
      <c r="J95" s="3"/>
    </row>
    <row r="96" spans="2:11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</sheetData>
  <pageMargins left="0.45" right="0.2" top="0.5" bottom="0.5" header="0.3" footer="0.3"/>
  <pageSetup paperSize="9" scale="70" orientation="landscape" verticalDpi="0" r:id="rId1"/>
  <rowBreaks count="1" manualBreakCount="1">
    <brk id="22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2"/>
  <sheetViews>
    <sheetView topLeftCell="A11" workbookViewId="0">
      <selection activeCell="A14" sqref="A14:V32"/>
    </sheetView>
  </sheetViews>
  <sheetFormatPr defaultColWidth="9" defaultRowHeight="15" x14ac:dyDescent="0.25"/>
  <cols>
    <col min="1" max="1" width="6.125" style="19" bestFit="1" customWidth="1"/>
    <col min="2" max="2" width="9.75" style="21" customWidth="1"/>
    <col min="3" max="3" width="25.875" style="21" bestFit="1" customWidth="1"/>
    <col min="4" max="4" width="106.375" style="35" bestFit="1" customWidth="1"/>
    <col min="5" max="5" width="10" style="21" bestFit="1" customWidth="1"/>
    <col min="6" max="6" width="11.875" style="21" bestFit="1" customWidth="1"/>
    <col min="7" max="7" width="9.75" style="21" bestFit="1" customWidth="1"/>
    <col min="8" max="8" width="10.375" style="21" bestFit="1" customWidth="1"/>
    <col min="9" max="9" width="48" style="21" bestFit="1" customWidth="1"/>
    <col min="10" max="10" width="4.375" style="21" bestFit="1" customWidth="1"/>
    <col min="11" max="11" width="5.25" style="21" bestFit="1" customWidth="1"/>
    <col min="12" max="12" width="17.875" style="19" bestFit="1" customWidth="1"/>
    <col min="13" max="14" width="18" style="19" bestFit="1" customWidth="1"/>
    <col min="15" max="15" width="18.375" style="19" bestFit="1" customWidth="1"/>
    <col min="16" max="16" width="19.75" style="21" bestFit="1" customWidth="1"/>
    <col min="17" max="17" width="13.5" style="19" bestFit="1" customWidth="1"/>
    <col min="18" max="19" width="17.375" style="19" customWidth="1"/>
    <col min="20" max="20" width="18.625" style="19" customWidth="1"/>
    <col min="21" max="22" width="17.375" style="19" customWidth="1"/>
    <col min="23" max="23" width="7.75" style="19" bestFit="1" customWidth="1"/>
    <col min="24" max="24" width="14.75" style="19" bestFit="1" customWidth="1"/>
    <col min="25" max="25" width="20.625" style="19" bestFit="1" customWidth="1"/>
    <col min="26" max="26" width="17.625" style="19" bestFit="1" customWidth="1"/>
    <col min="27" max="27" width="15" style="19" bestFit="1" customWidth="1"/>
    <col min="28" max="29" width="17.5" style="19" bestFit="1" customWidth="1"/>
    <col min="30" max="30" width="10.25" style="19" bestFit="1" customWidth="1"/>
    <col min="31" max="31" width="18.625" style="19" bestFit="1" customWidth="1"/>
    <col min="32" max="32" width="11.25" style="19" bestFit="1" customWidth="1"/>
    <col min="33" max="33" width="18" style="19" bestFit="1" customWidth="1"/>
    <col min="34" max="34" width="15.25" style="19" bestFit="1" customWidth="1"/>
    <col min="35" max="40" width="4.875" style="19" bestFit="1" customWidth="1"/>
    <col min="41" max="16384" width="9" style="19"/>
  </cols>
  <sheetData>
    <row r="1" spans="1:34" s="101" customFormat="1" ht="23.25" customHeight="1" x14ac:dyDescent="0.25">
      <c r="A1" s="96"/>
      <c r="B1" s="99" t="s">
        <v>56</v>
      </c>
      <c r="C1" s="98" t="s">
        <v>57</v>
      </c>
      <c r="D1" s="100" t="s">
        <v>58</v>
      </c>
      <c r="E1" s="100" t="s">
        <v>59</v>
      </c>
      <c r="F1" s="100" t="s">
        <v>60</v>
      </c>
      <c r="G1" s="100" t="s">
        <v>61</v>
      </c>
      <c r="H1" s="99" t="s">
        <v>62</v>
      </c>
      <c r="I1" s="109"/>
      <c r="J1" s="100"/>
      <c r="K1" s="100"/>
      <c r="L1" s="103" t="s">
        <v>65</v>
      </c>
      <c r="M1" s="104" t="s">
        <v>66</v>
      </c>
      <c r="N1" s="105" t="s">
        <v>67</v>
      </c>
      <c r="P1" s="106" t="s">
        <v>68</v>
      </c>
      <c r="Q1" s="99" t="s">
        <v>70</v>
      </c>
      <c r="R1" s="98" t="s">
        <v>55</v>
      </c>
      <c r="S1" s="99" t="s">
        <v>69</v>
      </c>
      <c r="T1" s="98" t="s">
        <v>96</v>
      </c>
      <c r="U1" s="98" t="s">
        <v>97</v>
      </c>
      <c r="V1" s="98" t="s">
        <v>98</v>
      </c>
      <c r="W1" s="107" t="s">
        <v>71</v>
      </c>
      <c r="X1" s="107" t="s">
        <v>72</v>
      </c>
      <c r="Y1" s="99" t="s">
        <v>73</v>
      </c>
      <c r="Z1" s="99" t="s">
        <v>74</v>
      </c>
      <c r="AA1" s="102" t="s">
        <v>75</v>
      </c>
      <c r="AB1" s="102" t="s">
        <v>76</v>
      </c>
      <c r="AC1" s="102" t="s">
        <v>77</v>
      </c>
      <c r="AD1" s="108" t="s">
        <v>78</v>
      </c>
      <c r="AE1" s="108" t="s">
        <v>79</v>
      </c>
      <c r="AF1" s="108" t="s">
        <v>80</v>
      </c>
      <c r="AG1" s="102" t="s">
        <v>63</v>
      </c>
      <c r="AH1" s="102" t="s">
        <v>64</v>
      </c>
    </row>
    <row r="2" spans="1:34" ht="37.5" customHeight="1" x14ac:dyDescent="0.25">
      <c r="P2" s="19"/>
    </row>
    <row r="3" spans="1:34" ht="37.5" customHeight="1" x14ac:dyDescent="0.25">
      <c r="P3" s="19"/>
    </row>
    <row r="4" spans="1:34" ht="11.25" customHeight="1" x14ac:dyDescent="0.25">
      <c r="P4" s="19"/>
    </row>
    <row r="5" spans="1:34" ht="22.5" x14ac:dyDescent="0.25">
      <c r="D5" s="34"/>
      <c r="E5" s="36"/>
      <c r="F5" s="36"/>
      <c r="I5" s="27" t="s">
        <v>4</v>
      </c>
      <c r="J5" s="27"/>
      <c r="K5" s="27"/>
      <c r="L5" s="37"/>
      <c r="M5" s="27"/>
      <c r="N5" s="27"/>
      <c r="O5" s="27"/>
      <c r="P5" s="36"/>
    </row>
    <row r="6" spans="1:34" x14ac:dyDescent="0.25">
      <c r="I6" s="21" t="s">
        <v>48</v>
      </c>
      <c r="M6" s="21"/>
      <c r="N6" s="21"/>
      <c r="O6" s="21"/>
    </row>
    <row r="7" spans="1:34" x14ac:dyDescent="0.25">
      <c r="I7" s="21" t="s">
        <v>29</v>
      </c>
      <c r="J7" s="80">
        <v>2504</v>
      </c>
      <c r="M7" s="21"/>
      <c r="N7" s="21"/>
      <c r="O7" s="21"/>
    </row>
    <row r="8" spans="1:34" x14ac:dyDescent="0.25">
      <c r="D8" s="72" t="s">
        <v>49</v>
      </c>
      <c r="P8" s="19"/>
    </row>
    <row r="9" spans="1:34" x14ac:dyDescent="0.25">
      <c r="D9" s="72" t="s">
        <v>50</v>
      </c>
      <c r="P9" s="19"/>
    </row>
    <row r="10" spans="1:34" x14ac:dyDescent="0.25">
      <c r="D10" s="35" t="s">
        <v>5</v>
      </c>
      <c r="P10" s="19"/>
    </row>
    <row r="11" spans="1:34" s="21" customFormat="1" ht="32.1" customHeight="1" x14ac:dyDescent="0.25">
      <c r="A11" s="154" t="s">
        <v>51</v>
      </c>
      <c r="B11" s="140" t="s">
        <v>15</v>
      </c>
      <c r="C11" s="155" t="s">
        <v>53</v>
      </c>
      <c r="D11" s="140" t="s">
        <v>16</v>
      </c>
      <c r="E11" s="141" t="s">
        <v>17</v>
      </c>
      <c r="F11" s="141"/>
      <c r="G11" s="141" t="s">
        <v>11</v>
      </c>
      <c r="H11" s="141" t="s">
        <v>41</v>
      </c>
      <c r="I11" s="141" t="s">
        <v>19</v>
      </c>
      <c r="J11" s="141"/>
      <c r="K11" s="141"/>
      <c r="L11" s="141"/>
      <c r="M11" s="141" t="s">
        <v>26</v>
      </c>
      <c r="N11" s="141" t="s">
        <v>44</v>
      </c>
      <c r="O11" s="141" t="s">
        <v>39</v>
      </c>
      <c r="P11" s="153" t="s">
        <v>30</v>
      </c>
      <c r="Q11" s="150" t="s">
        <v>40</v>
      </c>
      <c r="R11" s="152" t="s">
        <v>81</v>
      </c>
      <c r="S11" s="150" t="s">
        <v>30</v>
      </c>
      <c r="T11" s="148" t="s">
        <v>93</v>
      </c>
      <c r="U11" s="148" t="s">
        <v>94</v>
      </c>
      <c r="V11" s="148" t="s">
        <v>95</v>
      </c>
    </row>
    <row r="12" spans="1:34" s="21" customFormat="1" ht="45" customHeight="1" x14ac:dyDescent="0.25">
      <c r="A12" s="154"/>
      <c r="B12" s="140"/>
      <c r="C12" s="155"/>
      <c r="D12" s="140"/>
      <c r="E12" s="82" t="s">
        <v>42</v>
      </c>
      <c r="F12" s="94" t="s">
        <v>18</v>
      </c>
      <c r="G12" s="141"/>
      <c r="H12" s="141"/>
      <c r="I12" s="95" t="s">
        <v>22</v>
      </c>
      <c r="J12" s="95" t="s">
        <v>22</v>
      </c>
      <c r="K12" s="94" t="s">
        <v>18</v>
      </c>
      <c r="L12" s="94" t="s">
        <v>18</v>
      </c>
      <c r="M12" s="141"/>
      <c r="N12" s="141"/>
      <c r="O12" s="141"/>
      <c r="P12" s="153"/>
      <c r="Q12" s="151"/>
      <c r="R12" s="152"/>
      <c r="S12" s="151"/>
      <c r="T12" s="149"/>
      <c r="U12" s="149"/>
      <c r="V12" s="149"/>
    </row>
    <row r="13" spans="1:34" s="21" customFormat="1" ht="45" customHeight="1" x14ac:dyDescent="0.25">
      <c r="A13" s="110" t="e">
        <f>IF('GIA CONG LAMINATE'!#REF!="CT","",'GIA CONG LAMINATE'!#REF!)</f>
        <v>#REF!</v>
      </c>
      <c r="B13" s="60" t="e">
        <f>IF('GIA CONG LAMINATE'!#REF!="CT","",'GIA CONG LAMINATE'!#REF!)</f>
        <v>#REF!</v>
      </c>
      <c r="C13" s="60" t="e">
        <f>IF('GIA CONG LAMINATE'!#REF!="CT","",'GIA CONG LAMINATE'!#REF!)</f>
        <v>#REF!</v>
      </c>
      <c r="D13" s="60" t="e">
        <f>IF('GIA CONG LAMINATE'!#REF!="CT","",'GIA CONG LAMINATE'!#REF!)</f>
        <v>#REF!</v>
      </c>
      <c r="E13" s="60" t="e">
        <f>IF('GIA CONG LAMINATE'!#REF!="CT","",'GIA CONG LAMINATE'!#REF!)</f>
        <v>#REF!</v>
      </c>
      <c r="F13" s="60" t="e">
        <f>IF('GIA CONG LAMINATE'!#REF!="CT","",'GIA CONG LAMINATE'!#REF!)</f>
        <v>#REF!</v>
      </c>
      <c r="G13" s="60" t="e">
        <f>IF('GIA CONG LAMINATE'!#REF!="CT","",'GIA CONG LAMINATE'!#REF!)</f>
        <v>#REF!</v>
      </c>
      <c r="H13" s="60" t="e">
        <f>IF('GIA CONG LAMINATE'!#REF!="CT","",'GIA CONG LAMINATE'!#REF!)</f>
        <v>#REF!</v>
      </c>
      <c r="I13" s="60" t="e">
        <f>IF('GIA CONG LAMINATE'!#REF!="CT","",'GIA CONG LAMINATE'!#REF!)</f>
        <v>#REF!</v>
      </c>
      <c r="J13" s="60" t="e">
        <f>IF('GIA CONG LAMINATE'!#REF!="CT","",'GIA CONG LAMINATE'!#REF!)</f>
        <v>#REF!</v>
      </c>
      <c r="K13" s="60" t="e">
        <f>IF('GIA CONG LAMINATE'!#REF!="CT","",'GIA CONG LAMINATE'!#REF!)</f>
        <v>#REF!</v>
      </c>
      <c r="L13" s="60" t="e">
        <f>IF('GIA CONG LAMINATE'!#REF!="CT","",'GIA CONG LAMINATE'!#REF!)</f>
        <v>#REF!</v>
      </c>
      <c r="M13" s="60" t="e">
        <f>IF('GIA CONG LAMINATE'!#REF!="CT","",'GIA CONG LAMINATE'!#REF!)</f>
        <v>#REF!</v>
      </c>
      <c r="N13" s="60" t="e">
        <f>IF('GIA CONG LAMINATE'!#REF!="CT","",'GIA CONG LAMINATE'!#REF!)</f>
        <v>#REF!</v>
      </c>
      <c r="O13" s="60" t="e">
        <f>IF('GIA CONG LAMINATE'!#REF!="CT","",'GIA CONG LAMINATE'!#REF!)</f>
        <v>#REF!</v>
      </c>
      <c r="P13" s="60" t="e">
        <f>IF('GIA CONG LAMINATE'!#REF!="CT","",'GIA CONG LAMINATE'!#REF!)</f>
        <v>#REF!</v>
      </c>
      <c r="Q13" s="60" t="e">
        <f>IF('GIA CONG LAMINATE'!#REF!="CT","",'GIA CONG LAMINATE'!#REF!)</f>
        <v>#REF!</v>
      </c>
      <c r="R13" s="60" t="e">
        <f>IF('GIA CONG LAMINATE'!#REF!="CT","",'GIA CONG LAMINATE'!$J$7)</f>
        <v>#REF!</v>
      </c>
      <c r="S13" s="60"/>
      <c r="T13" s="129">
        <f>'GIA CONG LAMINATE'!$R$6</f>
        <v>46091.447916666664</v>
      </c>
      <c r="U13" s="130">
        <f>'GIA CONG LAMINATE'!$R$7</f>
        <v>2</v>
      </c>
      <c r="V13" s="129">
        <f>'GIA CONG LAMINATE'!$R$8</f>
        <v>46093.447916666664</v>
      </c>
    </row>
    <row r="14" spans="1:34" s="21" customFormat="1" ht="45" customHeight="1" x14ac:dyDescent="0.25">
      <c r="A14" s="110" t="str">
        <f>IF('GIA CONG LAMINATE'!A70="CT","",'GIA CONG LAMINATE'!A70)</f>
        <v>GC</v>
      </c>
      <c r="B14" s="60">
        <f>IF('GIA CONG LAMINATE'!A70="CT","",'GIA CONG LAMINATE'!B70)</f>
        <v>1</v>
      </c>
      <c r="C14" s="60">
        <f>IF('GIA CONG LAMINATE'!A70="CT","",'GIA CONG LAMINATE'!C70)</f>
        <v>0</v>
      </c>
      <c r="D14" s="60" t="str">
        <f>IF('GIA CONG LAMINATE'!A70="CT","",'GIA CONG LAMINATE'!D70)</f>
        <v>Cốt MDF chống ẩm 17mm (Gervin), 2 mặt phủ Laminate AS-13005 CN74 màu đơn sắc (khách mang đến) = 2 tấm</v>
      </c>
      <c r="E14" s="60">
        <f>IF('GIA CONG LAMINATE'!A70="CT","",'GIA CONG LAMINATE'!E70)</f>
        <v>0</v>
      </c>
      <c r="F14" s="60">
        <f>IF('GIA CONG LAMINATE'!A70="CT","",'GIA CONG LAMINATE'!F70)</f>
        <v>0</v>
      </c>
      <c r="G14" s="60">
        <f>IF('GIA CONG LAMINATE'!A70="CT","",'GIA CONG LAMINATE'!L70)</f>
        <v>0</v>
      </c>
      <c r="H14" s="60">
        <f>IF('GIA CONG LAMINATE'!A70="CT","",'GIA CONG LAMINATE'!H70)</f>
        <v>0</v>
      </c>
      <c r="I14" s="60" t="str">
        <f>IF('GIA CONG LAMINATE'!A70="CT","",'GIA CONG LAMINATE'!I70)</f>
        <v>tấm</v>
      </c>
      <c r="J14" s="60">
        <f>IF('GIA CONG LAMINATE'!A70="CT","",'GIA CONG LAMINATE'!J70)</f>
        <v>0</v>
      </c>
      <c r="K14" s="60">
        <f>IF('GIA CONG LAMINATE'!A70="CT","",'GIA CONG LAMINATE'!K70)</f>
        <v>0</v>
      </c>
      <c r="L14" s="60">
        <f>IF('GIA CONG LAMINATE'!A70="CT","",'GIA CONG LAMINATE'!L70)</f>
        <v>0</v>
      </c>
      <c r="M14" s="60">
        <f>IF('GIA CONG LAMINATE'!A70="CT","",'GIA CONG LAMINATE'!M70)</f>
        <v>0</v>
      </c>
      <c r="N14" s="60">
        <f>IF('GIA CONG LAMINATE'!A70="CT","",'GIA CONG LAMINATE'!N70)</f>
        <v>0</v>
      </c>
      <c r="O14" s="60">
        <f>IF('GIA CONG LAMINATE'!A70="CT","",'GIA CONG LAMINATE'!O70)</f>
        <v>0</v>
      </c>
      <c r="P14" s="60">
        <f>IF('GIA CONG LAMINATE'!A70="CT","",'GIA CONG LAMINATE'!R70)</f>
        <v>0</v>
      </c>
      <c r="Q14" s="60">
        <f>IF('GIA CONG LAMINATE'!A70="CT","",'GIA CONG LAMINATE'!S70)</f>
        <v>0</v>
      </c>
      <c r="R14" s="60">
        <f>IF('GIA CONG LAMINATE'!A70="CT","",'GIA CONG LAMINATE'!$J$7)</f>
        <v>0</v>
      </c>
      <c r="S14" s="60"/>
      <c r="T14" s="129">
        <f>'GIA CONG LAMINATE'!$R$6</f>
        <v>46091.447916666664</v>
      </c>
      <c r="U14" s="130">
        <f>'GIA CONG LAMINATE'!$R$7</f>
        <v>2</v>
      </c>
      <c r="V14" s="129">
        <f>'GIA CONG LAMINATE'!$R$8</f>
        <v>46093.447916666664</v>
      </c>
    </row>
    <row r="15" spans="1:34" ht="47.25" customHeight="1" x14ac:dyDescent="0.25">
      <c r="A15" s="110" t="str">
        <f>IF('GIA CONG LAMINATE'!A72="CT","",'GIA CONG LAMINATE'!A72)</f>
        <v>GC</v>
      </c>
      <c r="B15" s="60">
        <f>IF('GIA CONG LAMINATE'!A72="CT","",'GIA CONG LAMINATE'!B72)</f>
        <v>3</v>
      </c>
      <c r="C15" s="60">
        <f>IF('GIA CONG LAMINATE'!A72="CT","",'GIA CONG LAMINATE'!C72)</f>
        <v>0</v>
      </c>
      <c r="D15" s="60" t="str">
        <f>IF('GIA CONG LAMINATE'!A72="CT","",'GIA CONG LAMINATE'!D72)</f>
        <v>Công cắt tấm</v>
      </c>
      <c r="E15" s="60">
        <f>IF('GIA CONG LAMINATE'!A72="CT","",'GIA CONG LAMINATE'!E72)</f>
        <v>0</v>
      </c>
      <c r="F15" s="60">
        <f>IF('GIA CONG LAMINATE'!A72="CT","",'GIA CONG LAMINATE'!F72)</f>
        <v>0</v>
      </c>
      <c r="G15" s="60">
        <f>IF('GIA CONG LAMINATE'!A72="CT","",'GIA CONG LAMINATE'!L72)</f>
        <v>0</v>
      </c>
      <c r="H15" s="60">
        <f>IF('GIA CONG LAMINATE'!A72="CT","",'GIA CONG LAMINATE'!H72)</f>
        <v>0</v>
      </c>
      <c r="I15" s="60" t="str">
        <f>IF('GIA CONG LAMINATE'!A72="CT","",'GIA CONG LAMINATE'!I72)</f>
        <v>tấm</v>
      </c>
      <c r="J15" s="60">
        <f>IF('GIA CONG LAMINATE'!A72="CT","",'GIA CONG LAMINATE'!J72)</f>
        <v>0</v>
      </c>
      <c r="K15" s="60">
        <f>IF('GIA CONG LAMINATE'!A72="CT","",'GIA CONG LAMINATE'!K72)</f>
        <v>0</v>
      </c>
      <c r="L15" s="60">
        <f>IF('GIA CONG LAMINATE'!A72="CT","",'GIA CONG LAMINATE'!L72)</f>
        <v>0</v>
      </c>
      <c r="M15" s="60">
        <f>IF('GIA CONG LAMINATE'!A72="CT","",'GIA CONG LAMINATE'!M72)</f>
        <v>0</v>
      </c>
      <c r="N15" s="60">
        <f>IF('GIA CONG LAMINATE'!A72="CT","",'GIA CONG LAMINATE'!N72)</f>
        <v>0</v>
      </c>
      <c r="O15" s="60">
        <f>IF('GIA CONG LAMINATE'!A72="CT","",'GIA CONG LAMINATE'!O72)</f>
        <v>0</v>
      </c>
      <c r="P15" s="60">
        <f>IF('GIA CONG LAMINATE'!A72="CT","",'GIA CONG LAMINATE'!R72)</f>
        <v>0</v>
      </c>
      <c r="Q15" s="60">
        <f>IF('GIA CONG LAMINATE'!A72="CT","",'GIA CONG LAMINATE'!S72)</f>
        <v>0</v>
      </c>
      <c r="R15" s="60">
        <f>IF('GIA CONG LAMINATE'!A72="CT","",'GIA CONG LAMINATE'!$J$7)</f>
        <v>0</v>
      </c>
      <c r="S15" s="60"/>
      <c r="T15" s="129">
        <f>'GIA CONG LAMINATE'!$R$6</f>
        <v>46091.447916666664</v>
      </c>
      <c r="U15" s="130">
        <f>'GIA CONG LAMINATE'!$R$7</f>
        <v>2</v>
      </c>
      <c r="V15" s="129">
        <f>'GIA CONG LAMINATE'!$R$8</f>
        <v>46093.447916666664</v>
      </c>
    </row>
    <row r="16" spans="1:34" ht="47.25" customHeight="1" x14ac:dyDescent="0.25">
      <c r="A16" s="110" t="str">
        <f>IF('GIA CONG LAMINATE'!A73="CT","",'GIA CONG LAMINATE'!A73)</f>
        <v>GC</v>
      </c>
      <c r="B16" s="60">
        <f>IF('GIA CONG LAMINATE'!A73="CT","",'GIA CONG LAMINATE'!B73)</f>
        <v>4</v>
      </c>
      <c r="C16" s="60">
        <f>IF('GIA CONG LAMINATE'!A73="CT","",'GIA CONG LAMINATE'!C73)</f>
        <v>0</v>
      </c>
      <c r="D16" s="60" t="str">
        <f>IF('GIA CONG LAMINATE'!A73="CT","",'GIA CONG LAMINATE'!D73)</f>
        <v>Dán cạnh thẳng laminate, melamine sử dụng keo chống thấm nước PUR:
Áp dụng cho tấm ván có chiều rộng từ 60mm trở lên, độ dày ván 9-21mm, sử dụng máy dán Homag, Cộng hòa LB Đức.</v>
      </c>
      <c r="E16" s="60">
        <f>IF('GIA CONG LAMINATE'!A73="CT","",'GIA CONG LAMINATE'!E73)</f>
        <v>0</v>
      </c>
      <c r="F16" s="60">
        <f>IF('GIA CONG LAMINATE'!A73="CT","",'GIA CONG LAMINATE'!F73)</f>
        <v>0</v>
      </c>
      <c r="G16" s="60">
        <f>IF('GIA CONG LAMINATE'!A73="CT","",'GIA CONG LAMINATE'!L73)</f>
        <v>0</v>
      </c>
      <c r="H16" s="60">
        <f>IF('GIA CONG LAMINATE'!A73="CT","",'GIA CONG LAMINATE'!H73)</f>
        <v>0</v>
      </c>
      <c r="I16" s="60" t="str">
        <f>IF('GIA CONG LAMINATE'!A73="CT","",'GIA CONG LAMINATE'!I73)</f>
        <v>m</v>
      </c>
      <c r="J16" s="60">
        <f>IF('GIA CONG LAMINATE'!A73="CT","",'GIA CONG LAMINATE'!J73)</f>
        <v>0</v>
      </c>
      <c r="K16" s="60">
        <f>IF('GIA CONG LAMINATE'!A73="CT","",'GIA CONG LAMINATE'!K73)</f>
        <v>0</v>
      </c>
      <c r="L16" s="60">
        <f>IF('GIA CONG LAMINATE'!A73="CT","",'GIA CONG LAMINATE'!L73)</f>
        <v>0</v>
      </c>
      <c r="M16" s="60">
        <f>IF('GIA CONG LAMINATE'!A73="CT","",'GIA CONG LAMINATE'!M73)</f>
        <v>0</v>
      </c>
      <c r="N16" s="60">
        <f>IF('GIA CONG LAMINATE'!A73="CT","",'GIA CONG LAMINATE'!N73)</f>
        <v>0</v>
      </c>
      <c r="O16" s="60">
        <f>IF('GIA CONG LAMINATE'!A73="CT","",'GIA CONG LAMINATE'!O73)</f>
        <v>0</v>
      </c>
      <c r="P16" s="60">
        <f>IF('GIA CONG LAMINATE'!A73="CT","",'GIA CONG LAMINATE'!R73)</f>
        <v>0</v>
      </c>
      <c r="Q16" s="60">
        <f>IF('GIA CONG LAMINATE'!A73="CT","",'GIA CONG LAMINATE'!S73)</f>
        <v>0</v>
      </c>
      <c r="R16" s="60">
        <f>IF('GIA CONG LAMINATE'!A73="CT","",'GIA CONG LAMINATE'!$J$7)</f>
        <v>0</v>
      </c>
      <c r="S16" s="60"/>
      <c r="T16" s="129">
        <f>'GIA CONG LAMINATE'!$R$6</f>
        <v>46091.447916666664</v>
      </c>
      <c r="U16" s="130">
        <f>'GIA CONG LAMINATE'!$R$7</f>
        <v>2</v>
      </c>
      <c r="V16" s="129">
        <f>'GIA CONG LAMINATE'!$R$8</f>
        <v>46093.447916666664</v>
      </c>
    </row>
    <row r="17" spans="1:22" ht="47.25" customHeight="1" x14ac:dyDescent="0.25">
      <c r="A17" s="110" t="e">
        <f>IF('GIA CONG LAMINATE'!#REF!="CT","",'GIA CONG LAMINATE'!#REF!)</f>
        <v>#REF!</v>
      </c>
      <c r="B17" s="60" t="e">
        <f>IF('GIA CONG LAMINATE'!#REF!="CT","",'GIA CONG LAMINATE'!#REF!)</f>
        <v>#REF!</v>
      </c>
      <c r="C17" s="60" t="e">
        <f>IF('GIA CONG LAMINATE'!#REF!="CT","",'GIA CONG LAMINATE'!#REF!)</f>
        <v>#REF!</v>
      </c>
      <c r="D17" s="60" t="e">
        <f>IF('GIA CONG LAMINATE'!#REF!="CT","",'GIA CONG LAMINATE'!#REF!)</f>
        <v>#REF!</v>
      </c>
      <c r="E17" s="60" t="e">
        <f>IF('GIA CONG LAMINATE'!#REF!="CT","",'GIA CONG LAMINATE'!#REF!)</f>
        <v>#REF!</v>
      </c>
      <c r="F17" s="60" t="e">
        <f>IF('GIA CONG LAMINATE'!#REF!="CT","",'GIA CONG LAMINATE'!#REF!)</f>
        <v>#REF!</v>
      </c>
      <c r="G17" s="60" t="e">
        <f>IF('GIA CONG LAMINATE'!#REF!="CT","",'GIA CONG LAMINATE'!#REF!)</f>
        <v>#REF!</v>
      </c>
      <c r="H17" s="60" t="e">
        <f>IF('GIA CONG LAMINATE'!#REF!="CT","",'GIA CONG LAMINATE'!#REF!)</f>
        <v>#REF!</v>
      </c>
      <c r="I17" s="60" t="e">
        <f>IF('GIA CONG LAMINATE'!#REF!="CT","",'GIA CONG LAMINATE'!#REF!)</f>
        <v>#REF!</v>
      </c>
      <c r="J17" s="60" t="e">
        <f>IF('GIA CONG LAMINATE'!#REF!="CT","",'GIA CONG LAMINATE'!#REF!)</f>
        <v>#REF!</v>
      </c>
      <c r="K17" s="60" t="e">
        <f>IF('GIA CONG LAMINATE'!#REF!="CT","",'GIA CONG LAMINATE'!#REF!)</f>
        <v>#REF!</v>
      </c>
      <c r="L17" s="60" t="e">
        <f>IF('GIA CONG LAMINATE'!#REF!="CT","",'GIA CONG LAMINATE'!#REF!)</f>
        <v>#REF!</v>
      </c>
      <c r="M17" s="60" t="e">
        <f>IF('GIA CONG LAMINATE'!#REF!="CT","",'GIA CONG LAMINATE'!#REF!)</f>
        <v>#REF!</v>
      </c>
      <c r="N17" s="60" t="e">
        <f>IF('GIA CONG LAMINATE'!#REF!="CT","",'GIA CONG LAMINATE'!#REF!)</f>
        <v>#REF!</v>
      </c>
      <c r="O17" s="60" t="e">
        <f>IF('GIA CONG LAMINATE'!#REF!="CT","",'GIA CONG LAMINATE'!#REF!)</f>
        <v>#REF!</v>
      </c>
      <c r="P17" s="60" t="e">
        <f>IF('GIA CONG LAMINATE'!#REF!="CT","",'GIA CONG LAMINATE'!#REF!)</f>
        <v>#REF!</v>
      </c>
      <c r="Q17" s="60" t="e">
        <f>IF('GIA CONG LAMINATE'!#REF!="CT","",'GIA CONG LAMINATE'!#REF!)</f>
        <v>#REF!</v>
      </c>
      <c r="R17" s="60" t="e">
        <f>IF('GIA CONG LAMINATE'!#REF!="CT","",'GIA CONG LAMINATE'!$J$7)</f>
        <v>#REF!</v>
      </c>
      <c r="S17" s="60"/>
      <c r="T17" s="129">
        <f>'GIA CONG LAMINATE'!$R$6</f>
        <v>46091.447916666664</v>
      </c>
      <c r="U17" s="130">
        <f>'GIA CONG LAMINATE'!$R$7</f>
        <v>2</v>
      </c>
      <c r="V17" s="129">
        <f>'GIA CONG LAMINATE'!$R$8</f>
        <v>46093.447916666664</v>
      </c>
    </row>
    <row r="18" spans="1:22" ht="21.75" customHeight="1" x14ac:dyDescent="0.25">
      <c r="A18" s="110" t="e">
        <f>IF('GIA CONG LAMINATE'!#REF!="CT","",'GIA CONG LAMINATE'!#REF!)</f>
        <v>#REF!</v>
      </c>
      <c r="B18" s="60" t="e">
        <f>IF('GIA CONG LAMINATE'!#REF!="CT","",'GIA CONG LAMINATE'!#REF!)</f>
        <v>#REF!</v>
      </c>
      <c r="C18" s="60" t="e">
        <f>IF('GIA CONG LAMINATE'!#REF!="CT","",'GIA CONG LAMINATE'!#REF!)</f>
        <v>#REF!</v>
      </c>
      <c r="D18" s="60" t="e">
        <f>IF('GIA CONG LAMINATE'!#REF!="CT","",'GIA CONG LAMINATE'!#REF!)</f>
        <v>#REF!</v>
      </c>
      <c r="E18" s="60" t="e">
        <f>IF('GIA CONG LAMINATE'!#REF!="CT","",'GIA CONG LAMINATE'!#REF!)</f>
        <v>#REF!</v>
      </c>
      <c r="F18" s="60" t="e">
        <f>IF('GIA CONG LAMINATE'!#REF!="CT","",'GIA CONG LAMINATE'!#REF!)</f>
        <v>#REF!</v>
      </c>
      <c r="G18" s="60" t="e">
        <f>IF('GIA CONG LAMINATE'!#REF!="CT","",'GIA CONG LAMINATE'!#REF!)</f>
        <v>#REF!</v>
      </c>
      <c r="H18" s="60" t="e">
        <f>IF('GIA CONG LAMINATE'!#REF!="CT","",'GIA CONG LAMINATE'!#REF!)</f>
        <v>#REF!</v>
      </c>
      <c r="I18" s="60" t="e">
        <f>IF('GIA CONG LAMINATE'!#REF!="CT","",'GIA CONG LAMINATE'!#REF!)</f>
        <v>#REF!</v>
      </c>
      <c r="J18" s="60" t="e">
        <f>IF('GIA CONG LAMINATE'!#REF!="CT","",'GIA CONG LAMINATE'!#REF!)</f>
        <v>#REF!</v>
      </c>
      <c r="K18" s="60" t="e">
        <f>IF('GIA CONG LAMINATE'!#REF!="CT","",'GIA CONG LAMINATE'!#REF!)</f>
        <v>#REF!</v>
      </c>
      <c r="L18" s="60" t="e">
        <f>IF('GIA CONG LAMINATE'!#REF!="CT","",'GIA CONG LAMINATE'!#REF!)</f>
        <v>#REF!</v>
      </c>
      <c r="M18" s="60" t="e">
        <f>IF('GIA CONG LAMINATE'!#REF!="CT","",'GIA CONG LAMINATE'!#REF!)</f>
        <v>#REF!</v>
      </c>
      <c r="N18" s="60" t="e">
        <f>IF('GIA CONG LAMINATE'!#REF!="CT","",'GIA CONG LAMINATE'!#REF!)</f>
        <v>#REF!</v>
      </c>
      <c r="O18" s="60" t="e">
        <f>IF('GIA CONG LAMINATE'!#REF!="CT","",'GIA CONG LAMINATE'!#REF!)</f>
        <v>#REF!</v>
      </c>
      <c r="P18" s="60" t="e">
        <f>IF('GIA CONG LAMINATE'!#REF!="CT","",'GIA CONG LAMINATE'!#REF!)</f>
        <v>#REF!</v>
      </c>
      <c r="Q18" s="60" t="e">
        <f>IF('GIA CONG LAMINATE'!#REF!="CT","",'GIA CONG LAMINATE'!#REF!)</f>
        <v>#REF!</v>
      </c>
      <c r="R18" s="60" t="e">
        <f>IF('GIA CONG LAMINATE'!#REF!="CT","",'GIA CONG LAMINATE'!$J$7)</f>
        <v>#REF!</v>
      </c>
      <c r="S18" s="60"/>
      <c r="T18" s="129">
        <f>'GIA CONG LAMINATE'!$R$6</f>
        <v>46091.447916666664</v>
      </c>
      <c r="U18" s="130">
        <f>'GIA CONG LAMINATE'!$R$7</f>
        <v>2</v>
      </c>
      <c r="V18" s="129">
        <f>'GIA CONG LAMINATE'!$R$8</f>
        <v>46093.447916666664</v>
      </c>
    </row>
    <row r="19" spans="1:22" ht="15.75" x14ac:dyDescent="0.25">
      <c r="A19" s="110" t="str">
        <f>IF('GIA CONG LAMINATE'!A75="CT","",'GIA CONG LAMINATE'!A75)</f>
        <v>GC</v>
      </c>
      <c r="B19" s="60">
        <f>IF('GIA CONG LAMINATE'!A75="CT","",'GIA CONG LAMINATE'!B75)</f>
        <v>6</v>
      </c>
      <c r="C19" s="60">
        <f>IF('GIA CONG LAMINATE'!A75="CT","",'GIA CONG LAMINATE'!C75)</f>
        <v>0</v>
      </c>
      <c r="D19" s="60" t="str">
        <f>IF('GIA CONG LAMINATE'!A75="CT","",'GIA CONG LAMINATE'!D75)</f>
        <v>Dán cạnh Vát sử dụng máy dán acrylic:
Áp dụng cho tấm ván có chiều rộng từ 60mm trở lên, độ dày ván 9-21mm + Công hoàn thiện sản phẩm</v>
      </c>
      <c r="E19" s="60">
        <f>IF('GIA CONG LAMINATE'!A75="CT","",'GIA CONG LAMINATE'!E75)</f>
        <v>0</v>
      </c>
      <c r="F19" s="60">
        <f>IF('GIA CONG LAMINATE'!A75="CT","",'GIA CONG LAMINATE'!F75)</f>
        <v>0</v>
      </c>
      <c r="G19" s="60">
        <f>IF('GIA CONG LAMINATE'!A75="CT","",'GIA CONG LAMINATE'!L75)</f>
        <v>0</v>
      </c>
      <c r="H19" s="60">
        <f>IF('GIA CONG LAMINATE'!A75="CT","",'GIA CONG LAMINATE'!H75)</f>
        <v>0</v>
      </c>
      <c r="I19" s="60" t="str">
        <f>IF('GIA CONG LAMINATE'!A75="CT","",'GIA CONG LAMINATE'!I75)</f>
        <v>m</v>
      </c>
      <c r="J19" s="60">
        <f>IF('GIA CONG LAMINATE'!A75="CT","",'GIA CONG LAMINATE'!J75)</f>
        <v>0</v>
      </c>
      <c r="K19" s="60">
        <f>IF('GIA CONG LAMINATE'!A75="CT","",'GIA CONG LAMINATE'!K75)</f>
        <v>0</v>
      </c>
      <c r="L19" s="60">
        <f>IF('GIA CONG LAMINATE'!A75="CT","",'GIA CONG LAMINATE'!L75)</f>
        <v>0</v>
      </c>
      <c r="M19" s="60">
        <f>IF('GIA CONG LAMINATE'!A75="CT","",'GIA CONG LAMINATE'!M75)</f>
        <v>0</v>
      </c>
      <c r="N19" s="60">
        <f>IF('GIA CONG LAMINATE'!A75="CT","",'GIA CONG LAMINATE'!N75)</f>
        <v>0</v>
      </c>
      <c r="O19" s="60">
        <f>IF('GIA CONG LAMINATE'!A75="CT","",'GIA CONG LAMINATE'!O75)</f>
        <v>0</v>
      </c>
      <c r="P19" s="60">
        <f>IF('GIA CONG LAMINATE'!A75="CT","",'GIA CONG LAMINATE'!R75)</f>
        <v>0</v>
      </c>
      <c r="Q19" s="60">
        <f>IF('GIA CONG LAMINATE'!A75="CT","",'GIA CONG LAMINATE'!S75)</f>
        <v>0</v>
      </c>
      <c r="R19" s="60">
        <f>IF('GIA CONG LAMINATE'!A75="CT","",'GIA CONG LAMINATE'!$J$7)</f>
        <v>0</v>
      </c>
      <c r="S19" s="60"/>
      <c r="T19" s="129">
        <f>'GIA CONG LAMINATE'!$R$6</f>
        <v>46091.447916666664</v>
      </c>
      <c r="U19" s="130">
        <f>'GIA CONG LAMINATE'!$R$7</f>
        <v>2</v>
      </c>
      <c r="V19" s="129">
        <f>'GIA CONG LAMINATE'!$R$8</f>
        <v>46093.447916666664</v>
      </c>
    </row>
    <row r="20" spans="1:22" ht="15.75" x14ac:dyDescent="0.25">
      <c r="A20" s="110" t="str">
        <f>IF('GIA CONG LAMINATE'!A76="CT","",'GIA CONG LAMINATE'!A76)</f>
        <v>GC</v>
      </c>
      <c r="B20" s="60">
        <f>IF('GIA CONG LAMINATE'!A76="CT","",'GIA CONG LAMINATE'!B76)</f>
        <v>7</v>
      </c>
      <c r="C20" s="60">
        <f>IF('GIA CONG LAMINATE'!A76="CT","",'GIA CONG LAMINATE'!C76)</f>
        <v>0</v>
      </c>
      <c r="D20" s="60" t="str">
        <f>IF('GIA CONG LAMINATE'!A76="CT","",'GIA CONG LAMINATE'!D76)</f>
        <v>Nhân công và vật liệu đóng gói melamin, laminate</v>
      </c>
      <c r="E20" s="60">
        <f>IF('GIA CONG LAMINATE'!A76="CT","",'GIA CONG LAMINATE'!E76)</f>
        <v>0</v>
      </c>
      <c r="F20" s="60">
        <f>IF('GIA CONG LAMINATE'!A76="CT","",'GIA CONG LAMINATE'!F76)</f>
        <v>0</v>
      </c>
      <c r="G20" s="60">
        <f>IF('GIA CONG LAMINATE'!A76="CT","",'GIA CONG LAMINATE'!L76)</f>
        <v>0</v>
      </c>
      <c r="H20" s="60">
        <f>IF('GIA CONG LAMINATE'!A76="CT","",'GIA CONG LAMINATE'!H76)</f>
        <v>0</v>
      </c>
      <c r="I20" s="60" t="str">
        <f>IF('GIA CONG LAMINATE'!A76="CT","",'GIA CONG LAMINATE'!I76)</f>
        <v>tấm</v>
      </c>
      <c r="J20" s="60">
        <f>IF('GIA CONG LAMINATE'!A76="CT","",'GIA CONG LAMINATE'!J76)</f>
        <v>0</v>
      </c>
      <c r="K20" s="60">
        <f>IF('GIA CONG LAMINATE'!A76="CT","",'GIA CONG LAMINATE'!K76)</f>
        <v>0</v>
      </c>
      <c r="L20" s="60">
        <f>IF('GIA CONG LAMINATE'!A76="CT","",'GIA CONG LAMINATE'!L76)</f>
        <v>0</v>
      </c>
      <c r="M20" s="60">
        <f>IF('GIA CONG LAMINATE'!A76="CT","",'GIA CONG LAMINATE'!M76)</f>
        <v>0</v>
      </c>
      <c r="N20" s="60">
        <f>IF('GIA CONG LAMINATE'!A76="CT","",'GIA CONG LAMINATE'!N76)</f>
        <v>0</v>
      </c>
      <c r="O20" s="60">
        <f>IF('GIA CONG LAMINATE'!A76="CT","",'GIA CONG LAMINATE'!O76)</f>
        <v>0</v>
      </c>
      <c r="P20" s="60">
        <f>IF('GIA CONG LAMINATE'!A76="CT","",'GIA CONG LAMINATE'!R76)</f>
        <v>0</v>
      </c>
      <c r="Q20" s="60">
        <f>IF('GIA CONG LAMINATE'!A76="CT","",'GIA CONG LAMINATE'!S76)</f>
        <v>0</v>
      </c>
      <c r="R20" s="60">
        <f>IF('GIA CONG LAMINATE'!A76="CT","",'GIA CONG LAMINATE'!$J$7)</f>
        <v>0</v>
      </c>
      <c r="S20" s="60"/>
      <c r="T20" s="129">
        <f>'GIA CONG LAMINATE'!$R$6</f>
        <v>46091.447916666664</v>
      </c>
      <c r="U20" s="130">
        <f>'GIA CONG LAMINATE'!$R$7</f>
        <v>2</v>
      </c>
      <c r="V20" s="129">
        <f>'GIA CONG LAMINATE'!$R$8</f>
        <v>46093.447916666664</v>
      </c>
    </row>
    <row r="21" spans="1:22" ht="26.25" customHeight="1" x14ac:dyDescent="0.25">
      <c r="A21" s="110" t="str">
        <f>IF('GIA CONG LAMINATE'!A77="CT","",'GIA CONG LAMINATE'!A77)</f>
        <v>GC</v>
      </c>
      <c r="B21" s="60">
        <f>IF('GIA CONG LAMINATE'!A77="CT","",'GIA CONG LAMINATE'!B77)</f>
        <v>8</v>
      </c>
      <c r="C21" s="60">
        <f>IF('GIA CONG LAMINATE'!A77="CT","",'GIA CONG LAMINATE'!C77)</f>
        <v>0</v>
      </c>
      <c r="D21" s="60" t="str">
        <f>IF('GIA CONG LAMINATE'!A77="CT","",'GIA CONG LAMINATE'!D77)</f>
        <v xml:space="preserve">Giao hàng tại Vinh </v>
      </c>
      <c r="E21" s="60">
        <f>IF('GIA CONG LAMINATE'!A77="CT","",'GIA CONG LAMINATE'!E77)</f>
        <v>0</v>
      </c>
      <c r="F21" s="60">
        <f>IF('GIA CONG LAMINATE'!A77="CT","",'GIA CONG LAMINATE'!F77)</f>
        <v>0</v>
      </c>
      <c r="G21" s="60">
        <f>IF('GIA CONG LAMINATE'!A77="CT","",'GIA CONG LAMINATE'!L77)</f>
        <v>0</v>
      </c>
      <c r="H21" s="60">
        <f>IF('GIA CONG LAMINATE'!A77="CT","",'GIA CONG LAMINATE'!H77)</f>
        <v>0</v>
      </c>
      <c r="I21" s="60" t="str">
        <f>IF('GIA CONG LAMINATE'!A77="CT","",'GIA CONG LAMINATE'!I77)</f>
        <v>lần</v>
      </c>
      <c r="J21" s="60">
        <f>IF('GIA CONG LAMINATE'!A77="CT","",'GIA CONG LAMINATE'!J77)</f>
        <v>0</v>
      </c>
      <c r="K21" s="60">
        <f>IF('GIA CONG LAMINATE'!A77="CT","",'GIA CONG LAMINATE'!K77)</f>
        <v>0</v>
      </c>
      <c r="L21" s="60">
        <f>IF('GIA CONG LAMINATE'!A77="CT","",'GIA CONG LAMINATE'!L77)</f>
        <v>0</v>
      </c>
      <c r="M21" s="60">
        <f>IF('GIA CONG LAMINATE'!A77="CT","",'GIA CONG LAMINATE'!M77)</f>
        <v>0</v>
      </c>
      <c r="N21" s="60">
        <f>IF('GIA CONG LAMINATE'!A77="CT","",'GIA CONG LAMINATE'!N77)</f>
        <v>0</v>
      </c>
      <c r="O21" s="60">
        <f>IF('GIA CONG LAMINATE'!A77="CT","",'GIA CONG LAMINATE'!O77)</f>
        <v>0</v>
      </c>
      <c r="P21" s="60">
        <f>IF('GIA CONG LAMINATE'!A77="CT","",'GIA CONG LAMINATE'!R77)</f>
        <v>0</v>
      </c>
      <c r="Q21" s="60">
        <f>IF('GIA CONG LAMINATE'!A77="CT","",'GIA CONG LAMINATE'!S77)</f>
        <v>0</v>
      </c>
      <c r="R21" s="60">
        <f>IF('GIA CONG LAMINATE'!A77="CT","",'GIA CONG LAMINATE'!$J$7)</f>
        <v>0</v>
      </c>
      <c r="S21" s="60"/>
      <c r="T21" s="129">
        <f>'GIA CONG LAMINATE'!$R$6</f>
        <v>46091.447916666664</v>
      </c>
      <c r="U21" s="130">
        <f>'GIA CONG LAMINATE'!$R$7</f>
        <v>2</v>
      </c>
      <c r="V21" s="129">
        <f>'GIA CONG LAMINATE'!$R$8</f>
        <v>46093.447916666664</v>
      </c>
    </row>
    <row r="22" spans="1:22" ht="15.75" x14ac:dyDescent="0.25">
      <c r="A22" s="110">
        <f>IF('GIA CONG LAMINATE'!A78="CT","",'GIA CONG LAMINATE'!A78)</f>
        <v>0</v>
      </c>
      <c r="B22" s="60">
        <f>IF('GIA CONG LAMINATE'!A78="CT","",'GIA CONG LAMINATE'!B78)</f>
        <v>0</v>
      </c>
      <c r="C22" s="60">
        <f>IF('GIA CONG LAMINATE'!A78="CT","",'GIA CONG LAMINATE'!C78)</f>
        <v>0</v>
      </c>
      <c r="D22" s="60">
        <f>IF('GIA CONG LAMINATE'!A78="CT","",'GIA CONG LAMINATE'!D78)</f>
        <v>0</v>
      </c>
      <c r="E22" s="60">
        <f>IF('GIA CONG LAMINATE'!A78="CT","",'GIA CONG LAMINATE'!E78)</f>
        <v>0</v>
      </c>
      <c r="F22" s="60">
        <f>IF('GIA CONG LAMINATE'!A78="CT","",'GIA CONG LAMINATE'!F78)</f>
        <v>0</v>
      </c>
      <c r="G22" s="60">
        <f>IF('GIA CONG LAMINATE'!A78="CT","",'GIA CONG LAMINATE'!L78)</f>
        <v>0</v>
      </c>
      <c r="H22" s="60">
        <f>IF('GIA CONG LAMINATE'!A78="CT","",'GIA CONG LAMINATE'!H78)</f>
        <v>0</v>
      </c>
      <c r="I22" s="60">
        <f>IF('GIA CONG LAMINATE'!A78="CT","",'GIA CONG LAMINATE'!I78)</f>
        <v>0</v>
      </c>
      <c r="J22" s="60">
        <f>IF('GIA CONG LAMINATE'!A78="CT","",'GIA CONG LAMINATE'!J78)</f>
        <v>0</v>
      </c>
      <c r="K22" s="60">
        <f>IF('GIA CONG LAMINATE'!A78="CT","",'GIA CONG LAMINATE'!K78)</f>
        <v>0</v>
      </c>
      <c r="L22" s="60">
        <f>IF('GIA CONG LAMINATE'!A78="CT","",'GIA CONG LAMINATE'!L78)</f>
        <v>0</v>
      </c>
      <c r="M22" s="60">
        <f>IF('GIA CONG LAMINATE'!A78="CT","",'GIA CONG LAMINATE'!M78)</f>
        <v>0</v>
      </c>
      <c r="N22" s="60">
        <f>IF('GIA CONG LAMINATE'!A78="CT","",'GIA CONG LAMINATE'!N78)</f>
        <v>0</v>
      </c>
      <c r="O22" s="60">
        <f>IF('GIA CONG LAMINATE'!A78="CT","",'GIA CONG LAMINATE'!O78)</f>
        <v>0</v>
      </c>
      <c r="P22" s="60">
        <f>IF('GIA CONG LAMINATE'!A78="CT","",'GIA CONG LAMINATE'!R78)</f>
        <v>0</v>
      </c>
      <c r="Q22" s="60">
        <f>IF('GIA CONG LAMINATE'!A78="CT","",'GIA CONG LAMINATE'!S78)</f>
        <v>0</v>
      </c>
      <c r="R22" s="60">
        <f>IF('GIA CONG LAMINATE'!A78="CT","",'GIA CONG LAMINATE'!$J$7)</f>
        <v>0</v>
      </c>
      <c r="S22" s="60"/>
      <c r="T22" s="129">
        <f>'GIA CONG LAMINATE'!$R$6</f>
        <v>46091.447916666664</v>
      </c>
      <c r="U22" s="130">
        <f>'GIA CONG LAMINATE'!$R$7</f>
        <v>2</v>
      </c>
      <c r="V22" s="129">
        <f>'GIA CONG LAMINATE'!$R$8</f>
        <v>46093.447916666664</v>
      </c>
    </row>
    <row r="23" spans="1:22" ht="15.75" x14ac:dyDescent="0.25">
      <c r="A23" s="110" t="e">
        <f>IF('GIA CONG LAMINATE'!#REF!="CT","",'GIA CONG LAMINATE'!#REF!)</f>
        <v>#REF!</v>
      </c>
      <c r="B23" s="60" t="e">
        <f>IF('GIA CONG LAMINATE'!#REF!="CT","",'GIA CONG LAMINATE'!#REF!)</f>
        <v>#REF!</v>
      </c>
      <c r="C23" s="60" t="e">
        <f>IF('GIA CONG LAMINATE'!#REF!="CT","",'GIA CONG LAMINATE'!#REF!)</f>
        <v>#REF!</v>
      </c>
      <c r="D23" s="60" t="e">
        <f>IF('GIA CONG LAMINATE'!#REF!="CT","",'GIA CONG LAMINATE'!#REF!)</f>
        <v>#REF!</v>
      </c>
      <c r="E23" s="60" t="e">
        <f>IF('GIA CONG LAMINATE'!#REF!="CT","",'GIA CONG LAMINATE'!#REF!)</f>
        <v>#REF!</v>
      </c>
      <c r="F23" s="60" t="e">
        <f>IF('GIA CONG LAMINATE'!#REF!="CT","",'GIA CONG LAMINATE'!#REF!)</f>
        <v>#REF!</v>
      </c>
      <c r="G23" s="60" t="e">
        <f>IF('GIA CONG LAMINATE'!#REF!="CT","",'GIA CONG LAMINATE'!#REF!)</f>
        <v>#REF!</v>
      </c>
      <c r="H23" s="60" t="e">
        <f>IF('GIA CONG LAMINATE'!#REF!="CT","",'GIA CONG LAMINATE'!#REF!)</f>
        <v>#REF!</v>
      </c>
      <c r="I23" s="60" t="e">
        <f>IF('GIA CONG LAMINATE'!#REF!="CT","",'GIA CONG LAMINATE'!#REF!)</f>
        <v>#REF!</v>
      </c>
      <c r="J23" s="60" t="e">
        <f>IF('GIA CONG LAMINATE'!#REF!="CT","",'GIA CONG LAMINATE'!#REF!)</f>
        <v>#REF!</v>
      </c>
      <c r="K23" s="60" t="e">
        <f>IF('GIA CONG LAMINATE'!#REF!="CT","",'GIA CONG LAMINATE'!#REF!)</f>
        <v>#REF!</v>
      </c>
      <c r="L23" s="60" t="e">
        <f>IF('GIA CONG LAMINATE'!#REF!="CT","",'GIA CONG LAMINATE'!#REF!)</f>
        <v>#REF!</v>
      </c>
      <c r="M23" s="60" t="e">
        <f>IF('GIA CONG LAMINATE'!#REF!="CT","",'GIA CONG LAMINATE'!#REF!)</f>
        <v>#REF!</v>
      </c>
      <c r="N23" s="60" t="e">
        <f>IF('GIA CONG LAMINATE'!#REF!="CT","",'GIA CONG LAMINATE'!#REF!)</f>
        <v>#REF!</v>
      </c>
      <c r="O23" s="60" t="e">
        <f>IF('GIA CONG LAMINATE'!#REF!="CT","",'GIA CONG LAMINATE'!#REF!)</f>
        <v>#REF!</v>
      </c>
      <c r="P23" s="60" t="e">
        <f>IF('GIA CONG LAMINATE'!#REF!="CT","",'GIA CONG LAMINATE'!#REF!)</f>
        <v>#REF!</v>
      </c>
      <c r="Q23" s="60" t="e">
        <f>IF('GIA CONG LAMINATE'!#REF!="CT","",'GIA CONG LAMINATE'!#REF!)</f>
        <v>#REF!</v>
      </c>
      <c r="R23" s="60" t="e">
        <f>IF('GIA CONG LAMINATE'!#REF!="CT","",'GIA CONG LAMINATE'!$J$7)</f>
        <v>#REF!</v>
      </c>
      <c r="S23" s="60"/>
      <c r="T23" s="129">
        <f>'GIA CONG LAMINATE'!$R$6</f>
        <v>46091.447916666664</v>
      </c>
      <c r="U23" s="130">
        <f>'GIA CONG LAMINATE'!$R$7</f>
        <v>2</v>
      </c>
      <c r="V23" s="129">
        <f>'GIA CONG LAMINATE'!$R$8</f>
        <v>46093.447916666664</v>
      </c>
    </row>
    <row r="24" spans="1:22" ht="15.75" x14ac:dyDescent="0.25">
      <c r="A24" s="110">
        <f>IF('GIA CONG LAMINATE'!A79="CT","",'GIA CONG LAMINATE'!A79)</f>
        <v>0</v>
      </c>
      <c r="B24" s="60">
        <f>IF('GIA CONG LAMINATE'!A79="CT","",'GIA CONG LAMINATE'!B79)</f>
        <v>0</v>
      </c>
      <c r="C24" s="60">
        <f>IF('GIA CONG LAMINATE'!A79="CT","",'GIA CONG LAMINATE'!C79)</f>
        <v>0</v>
      </c>
      <c r="D24" s="60">
        <f>IF('GIA CONG LAMINATE'!A79="CT","",'GIA CONG LAMINATE'!D79)</f>
        <v>0</v>
      </c>
      <c r="E24" s="60">
        <f>IF('GIA CONG LAMINATE'!A79="CT","",'GIA CONG LAMINATE'!E79)</f>
        <v>0</v>
      </c>
      <c r="F24" s="60">
        <f>IF('GIA CONG LAMINATE'!A79="CT","",'GIA CONG LAMINATE'!F79)</f>
        <v>0</v>
      </c>
      <c r="G24" s="60">
        <f>IF('GIA CONG LAMINATE'!A79="CT","",'GIA CONG LAMINATE'!L79)</f>
        <v>0</v>
      </c>
      <c r="H24" s="60">
        <f>IF('GIA CONG LAMINATE'!A79="CT","",'GIA CONG LAMINATE'!H79)</f>
        <v>0</v>
      </c>
      <c r="I24" s="60">
        <f>IF('GIA CONG LAMINATE'!A79="CT","",'GIA CONG LAMINATE'!I79)</f>
        <v>0</v>
      </c>
      <c r="J24" s="60">
        <f>IF('GIA CONG LAMINATE'!A79="CT","",'GIA CONG LAMINATE'!J79)</f>
        <v>0</v>
      </c>
      <c r="K24" s="60">
        <f>IF('GIA CONG LAMINATE'!A79="CT","",'GIA CONG LAMINATE'!K79)</f>
        <v>0</v>
      </c>
      <c r="L24" s="60">
        <f>IF('GIA CONG LAMINATE'!A79="CT","",'GIA CONG LAMINATE'!L79)</f>
        <v>0</v>
      </c>
      <c r="M24" s="60">
        <f>IF('GIA CONG LAMINATE'!A79="CT","",'GIA CONG LAMINATE'!M79)</f>
        <v>0</v>
      </c>
      <c r="N24" s="60">
        <f>IF('GIA CONG LAMINATE'!A79="CT","",'GIA CONG LAMINATE'!N79)</f>
        <v>0</v>
      </c>
      <c r="O24" s="60">
        <f>IF('GIA CONG LAMINATE'!A79="CT","",'GIA CONG LAMINATE'!O79)</f>
        <v>0</v>
      </c>
      <c r="P24" s="60">
        <f>IF('GIA CONG LAMINATE'!A79="CT","",'GIA CONG LAMINATE'!R79)</f>
        <v>0</v>
      </c>
      <c r="Q24" s="60">
        <f>IF('GIA CONG LAMINATE'!A79="CT","",'GIA CONG LAMINATE'!S79)</f>
        <v>0</v>
      </c>
      <c r="R24" s="60">
        <f>IF('GIA CONG LAMINATE'!A79="CT","",'GIA CONG LAMINATE'!$J$7)</f>
        <v>0</v>
      </c>
      <c r="S24" s="60"/>
      <c r="T24" s="129">
        <f>'GIA CONG LAMINATE'!$R$6</f>
        <v>46091.447916666664</v>
      </c>
      <c r="U24" s="130">
        <f>'GIA CONG LAMINATE'!$R$7</f>
        <v>2</v>
      </c>
      <c r="V24" s="129">
        <f>'GIA CONG LAMINATE'!$R$8</f>
        <v>46093.447916666664</v>
      </c>
    </row>
    <row r="25" spans="1:22" ht="15.75" x14ac:dyDescent="0.25">
      <c r="A25" s="110">
        <f>IF('GIA CONG LAMINATE'!A80="CT","",'GIA CONG LAMINATE'!A80)</f>
        <v>0</v>
      </c>
      <c r="B25" s="60">
        <f>IF('GIA CONG LAMINATE'!A80="CT","",'GIA CONG LAMINATE'!B80)</f>
        <v>0</v>
      </c>
      <c r="C25" s="60">
        <f>IF('GIA CONG LAMINATE'!A80="CT","",'GIA CONG LAMINATE'!C80)</f>
        <v>0</v>
      </c>
      <c r="D25" s="60">
        <f>IF('GIA CONG LAMINATE'!A80="CT","",'GIA CONG LAMINATE'!D80)</f>
        <v>0</v>
      </c>
      <c r="E25" s="60">
        <f>IF('GIA CONG LAMINATE'!A80="CT","",'GIA CONG LAMINATE'!E80)</f>
        <v>0</v>
      </c>
      <c r="F25" s="60">
        <f>IF('GIA CONG LAMINATE'!A80="CT","",'GIA CONG LAMINATE'!F80)</f>
        <v>0</v>
      </c>
      <c r="G25" s="60">
        <f>IF('GIA CONG LAMINATE'!A80="CT","",'GIA CONG LAMINATE'!L80)</f>
        <v>0</v>
      </c>
      <c r="H25" s="60">
        <f>IF('GIA CONG LAMINATE'!A80="CT","",'GIA CONG LAMINATE'!H80)</f>
        <v>0</v>
      </c>
      <c r="I25" s="60">
        <f>IF('GIA CONG LAMINATE'!A80="CT","",'GIA CONG LAMINATE'!I80)</f>
        <v>0</v>
      </c>
      <c r="J25" s="60">
        <f>IF('GIA CONG LAMINATE'!A80="CT","",'GIA CONG LAMINATE'!J80)</f>
        <v>0</v>
      </c>
      <c r="K25" s="60">
        <f>IF('GIA CONG LAMINATE'!A80="CT","",'GIA CONG LAMINATE'!K80)</f>
        <v>0</v>
      </c>
      <c r="L25" s="60">
        <f>IF('GIA CONG LAMINATE'!A80="CT","",'GIA CONG LAMINATE'!L80)</f>
        <v>0</v>
      </c>
      <c r="M25" s="60">
        <f>IF('GIA CONG LAMINATE'!A80="CT","",'GIA CONG LAMINATE'!M80)</f>
        <v>0</v>
      </c>
      <c r="N25" s="60">
        <f>IF('GIA CONG LAMINATE'!A80="CT","",'GIA CONG LAMINATE'!N80)</f>
        <v>0</v>
      </c>
      <c r="O25" s="60">
        <f>IF('GIA CONG LAMINATE'!A80="CT","",'GIA CONG LAMINATE'!O80)</f>
        <v>0</v>
      </c>
      <c r="P25" s="60">
        <f>IF('GIA CONG LAMINATE'!A80="CT","",'GIA CONG LAMINATE'!R80)</f>
        <v>0</v>
      </c>
      <c r="Q25" s="60">
        <f>IF('GIA CONG LAMINATE'!A80="CT","",'GIA CONG LAMINATE'!S80)</f>
        <v>0</v>
      </c>
      <c r="R25" s="60">
        <f>IF('GIA CONG LAMINATE'!A80="CT","",'GIA CONG LAMINATE'!$J$7)</f>
        <v>0</v>
      </c>
      <c r="S25" s="60"/>
      <c r="T25" s="129">
        <f>'GIA CONG LAMINATE'!$R$6</f>
        <v>46091.447916666664</v>
      </c>
      <c r="U25" s="130">
        <f>'GIA CONG LAMINATE'!$R$7</f>
        <v>2</v>
      </c>
      <c r="V25" s="129">
        <f>'GIA CONG LAMINATE'!$R$8</f>
        <v>46093.447916666664</v>
      </c>
    </row>
    <row r="26" spans="1:22" ht="15.75" x14ac:dyDescent="0.25">
      <c r="A26" s="110">
        <f>IF('GIA CONG LAMINATE'!A81="CT","",'GIA CONG LAMINATE'!A81)</f>
        <v>0</v>
      </c>
      <c r="B26" s="60" t="str">
        <f>IF('GIA CONG LAMINATE'!A81="CT","",'GIA CONG LAMINATE'!B81)</f>
        <v xml:space="preserve">Ghi chú: </v>
      </c>
      <c r="C26" s="60">
        <f>IF('GIA CONG LAMINATE'!A81="CT","",'GIA CONG LAMINATE'!C81)</f>
        <v>0</v>
      </c>
      <c r="D26" s="60">
        <f>IF('GIA CONG LAMINATE'!A81="CT","",'GIA CONG LAMINATE'!D81)</f>
        <v>0</v>
      </c>
      <c r="E26" s="60">
        <f>IF('GIA CONG LAMINATE'!A81="CT","",'GIA CONG LAMINATE'!E81)</f>
        <v>0</v>
      </c>
      <c r="F26" s="60">
        <f>IF('GIA CONG LAMINATE'!A81="CT","",'GIA CONG LAMINATE'!F81)</f>
        <v>0</v>
      </c>
      <c r="G26" s="60">
        <f>IF('GIA CONG LAMINATE'!A81="CT","",'GIA CONG LAMINATE'!L81)</f>
        <v>0</v>
      </c>
      <c r="H26" s="60">
        <f>IF('GIA CONG LAMINATE'!A81="CT","",'GIA CONG LAMINATE'!H81)</f>
        <v>0</v>
      </c>
      <c r="I26" s="60">
        <f>IF('GIA CONG LAMINATE'!A81="CT","",'GIA CONG LAMINATE'!I81)</f>
        <v>0</v>
      </c>
      <c r="J26" s="60">
        <f>IF('GIA CONG LAMINATE'!A81="CT","",'GIA CONG LAMINATE'!J81)</f>
        <v>0</v>
      </c>
      <c r="K26" s="60">
        <f>IF('GIA CONG LAMINATE'!A81="CT","",'GIA CONG LAMINATE'!K81)</f>
        <v>0</v>
      </c>
      <c r="L26" s="60">
        <f>IF('GIA CONG LAMINATE'!A81="CT","",'GIA CONG LAMINATE'!L81)</f>
        <v>0</v>
      </c>
      <c r="M26" s="60">
        <f>IF('GIA CONG LAMINATE'!A81="CT","",'GIA CONG LAMINATE'!M81)</f>
        <v>0</v>
      </c>
      <c r="N26" s="60">
        <f>IF('GIA CONG LAMINATE'!A81="CT","",'GIA CONG LAMINATE'!N81)</f>
        <v>0</v>
      </c>
      <c r="O26" s="60">
        <f>IF('GIA CONG LAMINATE'!A81="CT","",'GIA CONG LAMINATE'!O81)</f>
        <v>0</v>
      </c>
      <c r="P26" s="60">
        <f>IF('GIA CONG LAMINATE'!A81="CT","",'GIA CONG LAMINATE'!R81)</f>
        <v>0</v>
      </c>
      <c r="Q26" s="60">
        <f>IF('GIA CONG LAMINATE'!A81="CT","",'GIA CONG LAMINATE'!S81)</f>
        <v>0</v>
      </c>
      <c r="R26" s="60">
        <f>IF('GIA CONG LAMINATE'!A81="CT","",'GIA CONG LAMINATE'!$J$7)</f>
        <v>0</v>
      </c>
      <c r="S26" s="60"/>
      <c r="T26" s="129">
        <f>'GIA CONG LAMINATE'!$R$6</f>
        <v>46091.447916666664</v>
      </c>
      <c r="U26" s="130">
        <f>'GIA CONG LAMINATE'!$R$7</f>
        <v>2</v>
      </c>
      <c r="V26" s="129">
        <f>'GIA CONG LAMINATE'!$R$8</f>
        <v>46093.447916666664</v>
      </c>
    </row>
    <row r="27" spans="1:22" ht="15.75" x14ac:dyDescent="0.25">
      <c r="A27" s="110">
        <f>IF('GIA CONG LAMINATE'!A82="CT","",'GIA CONG LAMINATE'!A82)</f>
        <v>0</v>
      </c>
      <c r="B27" s="60">
        <f>IF('GIA CONG LAMINATE'!A82="CT","",'GIA CONG LAMINATE'!B82)</f>
        <v>0</v>
      </c>
      <c r="C27" s="60">
        <f>IF('GIA CONG LAMINATE'!A82="CT","",'GIA CONG LAMINATE'!C82)</f>
        <v>0</v>
      </c>
      <c r="D27" s="60">
        <f>IF('GIA CONG LAMINATE'!A82="CT","",'GIA CONG LAMINATE'!D82)</f>
        <v>0</v>
      </c>
      <c r="E27" s="60">
        <f>IF('GIA CONG LAMINATE'!A82="CT","",'GIA CONG LAMINATE'!E82)</f>
        <v>0</v>
      </c>
      <c r="F27" s="60">
        <f>IF('GIA CONG LAMINATE'!A82="CT","",'GIA CONG LAMINATE'!F82)</f>
        <v>0</v>
      </c>
      <c r="G27" s="60">
        <f>IF('GIA CONG LAMINATE'!A82="CT","",'GIA CONG LAMINATE'!L82)</f>
        <v>0</v>
      </c>
      <c r="H27" s="60">
        <f>IF('GIA CONG LAMINATE'!A82="CT","",'GIA CONG LAMINATE'!H82)</f>
        <v>0</v>
      </c>
      <c r="I27" s="60">
        <f>IF('GIA CONG LAMINATE'!A82="CT","",'GIA CONG LAMINATE'!I82)</f>
        <v>0</v>
      </c>
      <c r="J27" s="60">
        <f>IF('GIA CONG LAMINATE'!A82="CT","",'GIA CONG LAMINATE'!J82)</f>
        <v>0</v>
      </c>
      <c r="K27" s="60">
        <f>IF('GIA CONG LAMINATE'!A82="CT","",'GIA CONG LAMINATE'!K82)</f>
        <v>0</v>
      </c>
      <c r="L27" s="60">
        <f>IF('GIA CONG LAMINATE'!A82="CT","",'GIA CONG LAMINATE'!L82)</f>
        <v>0</v>
      </c>
      <c r="M27" s="60">
        <f>IF('GIA CONG LAMINATE'!A82="CT","",'GIA CONG LAMINATE'!M82)</f>
        <v>0</v>
      </c>
      <c r="N27" s="60">
        <f>IF('GIA CONG LAMINATE'!A82="CT","",'GIA CONG LAMINATE'!N82)</f>
        <v>0</v>
      </c>
      <c r="O27" s="60">
        <f>IF('GIA CONG LAMINATE'!A82="CT","",'GIA CONG LAMINATE'!O82)</f>
        <v>0</v>
      </c>
      <c r="P27" s="60">
        <f>IF('GIA CONG LAMINATE'!A82="CT","",'GIA CONG LAMINATE'!R82)</f>
        <v>0</v>
      </c>
      <c r="Q27" s="60">
        <f>IF('GIA CONG LAMINATE'!A82="CT","",'GIA CONG LAMINATE'!S82)</f>
        <v>0</v>
      </c>
      <c r="R27" s="60">
        <f>IF('GIA CONG LAMINATE'!A82="CT","",'GIA CONG LAMINATE'!$J$7)</f>
        <v>0</v>
      </c>
      <c r="S27" s="60"/>
      <c r="T27" s="129">
        <f>'GIA CONG LAMINATE'!$R$6</f>
        <v>46091.447916666664</v>
      </c>
      <c r="U27" s="130">
        <f>'GIA CONG LAMINATE'!$R$7</f>
        <v>2</v>
      </c>
      <c r="V27" s="129">
        <f>'GIA CONG LAMINATE'!$R$8</f>
        <v>46093.447916666664</v>
      </c>
    </row>
    <row r="28" spans="1:22" ht="15.75" x14ac:dyDescent="0.25">
      <c r="A28" s="110">
        <f>IF('GIA CONG LAMINATE'!A83="CT","",'GIA CONG LAMINATE'!A83)</f>
        <v>0</v>
      </c>
      <c r="B28" s="60" t="str">
        <f>IF('GIA CONG LAMINATE'!A83="CT","",'GIA CONG LAMINATE'!B83)</f>
        <v>- Dán cạnh thẳng tích chữ "T", dán cạnh vát 45 độ tích chữ "V" vào ô dán cạnh tương ứng.</v>
      </c>
      <c r="C28" s="60">
        <f>IF('GIA CONG LAMINATE'!A83="CT","",'GIA CONG LAMINATE'!C83)</f>
        <v>0</v>
      </c>
      <c r="D28" s="60">
        <f>IF('GIA CONG LAMINATE'!A83="CT","",'GIA CONG LAMINATE'!D83)</f>
        <v>0</v>
      </c>
      <c r="E28" s="60">
        <f>IF('GIA CONG LAMINATE'!A83="CT","",'GIA CONG LAMINATE'!E83)</f>
        <v>0</v>
      </c>
      <c r="F28" s="60">
        <f>IF('GIA CONG LAMINATE'!A83="CT","",'GIA CONG LAMINATE'!F83)</f>
        <v>0</v>
      </c>
      <c r="G28" s="60">
        <f>IF('GIA CONG LAMINATE'!A83="CT","",'GIA CONG LAMINATE'!L83)</f>
        <v>0</v>
      </c>
      <c r="H28" s="60">
        <f>IF('GIA CONG LAMINATE'!A83="CT","",'GIA CONG LAMINATE'!H83)</f>
        <v>0</v>
      </c>
      <c r="I28" s="60">
        <f>IF('GIA CONG LAMINATE'!A83="CT","",'GIA CONG LAMINATE'!I83)</f>
        <v>0</v>
      </c>
      <c r="J28" s="60">
        <f>IF('GIA CONG LAMINATE'!A83="CT","",'GIA CONG LAMINATE'!J83)</f>
        <v>0</v>
      </c>
      <c r="K28" s="60">
        <f>IF('GIA CONG LAMINATE'!A83="CT","",'GIA CONG LAMINATE'!K83)</f>
        <v>0</v>
      </c>
      <c r="L28" s="60">
        <f>IF('GIA CONG LAMINATE'!A83="CT","",'GIA CONG LAMINATE'!L83)</f>
        <v>0</v>
      </c>
      <c r="M28" s="60">
        <f>IF('GIA CONG LAMINATE'!A83="CT","",'GIA CONG LAMINATE'!M83)</f>
        <v>0</v>
      </c>
      <c r="N28" s="60">
        <f>IF('GIA CONG LAMINATE'!A83="CT","",'GIA CONG LAMINATE'!N83)</f>
        <v>0</v>
      </c>
      <c r="O28" s="60">
        <f>IF('GIA CONG LAMINATE'!A83="CT","",'GIA CONG LAMINATE'!O83)</f>
        <v>0</v>
      </c>
      <c r="P28" s="60">
        <f>IF('GIA CONG LAMINATE'!A83="CT","",'GIA CONG LAMINATE'!R83)</f>
        <v>0</v>
      </c>
      <c r="Q28" s="60">
        <f>IF('GIA CONG LAMINATE'!A83="CT","",'GIA CONG LAMINATE'!S83)</f>
        <v>0</v>
      </c>
      <c r="R28" s="60">
        <f>IF('GIA CONG LAMINATE'!A83="CT","",'GIA CONG LAMINATE'!$J$7)</f>
        <v>0</v>
      </c>
      <c r="S28" s="60"/>
      <c r="T28" s="129">
        <f>'GIA CONG LAMINATE'!$R$6</f>
        <v>46091.447916666664</v>
      </c>
      <c r="U28" s="130">
        <f>'GIA CONG LAMINATE'!$R$7</f>
        <v>2</v>
      </c>
      <c r="V28" s="129">
        <f>'GIA CONG LAMINATE'!$R$8</f>
        <v>46093.447916666664</v>
      </c>
    </row>
    <row r="29" spans="1:22" ht="15.75" x14ac:dyDescent="0.25">
      <c r="A29" s="110">
        <f>IF('GIA CONG LAMINATE'!A84="CT","",'GIA CONG LAMINATE'!A84)</f>
        <v>0</v>
      </c>
      <c r="B29" s="60" t="str">
        <f>IF('GIA CONG LAMINATE'!A84="CT","",'GIA CONG LAMINATE'!B84)</f>
        <v>- Chiều  vân ván điền vào cột "CAO" ở bảng trên.</v>
      </c>
      <c r="C29" s="60">
        <f>IF('GIA CONG LAMINATE'!A84="CT","",'GIA CONG LAMINATE'!C84)</f>
        <v>0</v>
      </c>
      <c r="D29" s="60">
        <f>IF('GIA CONG LAMINATE'!A84="CT","",'GIA CONG LAMINATE'!D84)</f>
        <v>0</v>
      </c>
      <c r="E29" s="60">
        <f>IF('GIA CONG LAMINATE'!A84="CT","",'GIA CONG LAMINATE'!E84)</f>
        <v>0</v>
      </c>
      <c r="F29" s="60">
        <f>IF('GIA CONG LAMINATE'!A84="CT","",'GIA CONG LAMINATE'!F84)</f>
        <v>0</v>
      </c>
      <c r="G29" s="60">
        <f>IF('GIA CONG LAMINATE'!A84="CT","",'GIA CONG LAMINATE'!L84)</f>
        <v>0</v>
      </c>
      <c r="H29" s="60">
        <f>IF('GIA CONG LAMINATE'!A84="CT","",'GIA CONG LAMINATE'!H84)</f>
        <v>0</v>
      </c>
      <c r="I29" s="60">
        <f>IF('GIA CONG LAMINATE'!A84="CT","",'GIA CONG LAMINATE'!I84)</f>
        <v>0</v>
      </c>
      <c r="J29" s="60">
        <f>IF('GIA CONG LAMINATE'!A84="CT","",'GIA CONG LAMINATE'!J84)</f>
        <v>0</v>
      </c>
      <c r="K29" s="60">
        <f>IF('GIA CONG LAMINATE'!A84="CT","",'GIA CONG LAMINATE'!K84)</f>
        <v>0</v>
      </c>
      <c r="L29" s="60">
        <f>IF('GIA CONG LAMINATE'!A84="CT","",'GIA CONG LAMINATE'!L84)</f>
        <v>0</v>
      </c>
      <c r="M29" s="60">
        <f>IF('GIA CONG LAMINATE'!A84="CT","",'GIA CONG LAMINATE'!M84)</f>
        <v>0</v>
      </c>
      <c r="N29" s="60">
        <f>IF('GIA CONG LAMINATE'!A84="CT","",'GIA CONG LAMINATE'!N84)</f>
        <v>0</v>
      </c>
      <c r="O29" s="60">
        <f>IF('GIA CONG LAMINATE'!A84="CT","",'GIA CONG LAMINATE'!O84)</f>
        <v>0</v>
      </c>
      <c r="P29" s="60">
        <f>IF('GIA CONG LAMINATE'!A84="CT","",'GIA CONG LAMINATE'!R84)</f>
        <v>0</v>
      </c>
      <c r="Q29" s="60">
        <f>IF('GIA CONG LAMINATE'!A84="CT","",'GIA CONG LAMINATE'!S84)</f>
        <v>0</v>
      </c>
      <c r="R29" s="60">
        <f>IF('GIA CONG LAMINATE'!A84="CT","",'GIA CONG LAMINATE'!$J$7)</f>
        <v>0</v>
      </c>
      <c r="S29" s="60"/>
      <c r="T29" s="129">
        <f>'GIA CONG LAMINATE'!$R$6</f>
        <v>46091.447916666664</v>
      </c>
      <c r="U29" s="130">
        <f>'GIA CONG LAMINATE'!$R$7</f>
        <v>2</v>
      </c>
      <c r="V29" s="129">
        <f>'GIA CONG LAMINATE'!$R$8</f>
        <v>46093.447916666664</v>
      </c>
    </row>
    <row r="30" spans="1:22" ht="15.75" x14ac:dyDescent="0.25">
      <c r="A30" s="110">
        <f>IF('GIA CONG LAMINATE'!A85="CT","",'GIA CONG LAMINATE'!A85)</f>
        <v>0</v>
      </c>
      <c r="B30" s="60">
        <f>IF('GIA CONG LAMINATE'!A85="CT","",'GIA CONG LAMINATE'!B85)</f>
        <v>0</v>
      </c>
      <c r="C30" s="60">
        <f>IF('GIA CONG LAMINATE'!A85="CT","",'GIA CONG LAMINATE'!C85)</f>
        <v>0</v>
      </c>
      <c r="D30" s="60">
        <f>IF('GIA CONG LAMINATE'!A85="CT","",'GIA CONG LAMINATE'!D85)</f>
        <v>0</v>
      </c>
      <c r="E30" s="60">
        <f>IF('GIA CONG LAMINATE'!A85="CT","",'GIA CONG LAMINATE'!E85)</f>
        <v>0</v>
      </c>
      <c r="F30" s="60">
        <f>IF('GIA CONG LAMINATE'!A85="CT","",'GIA CONG LAMINATE'!F85)</f>
        <v>0</v>
      </c>
      <c r="G30" s="60">
        <f>IF('GIA CONG LAMINATE'!A85="CT","",'GIA CONG LAMINATE'!L85)</f>
        <v>0</v>
      </c>
      <c r="H30" s="60">
        <f>IF('GIA CONG LAMINATE'!A85="CT","",'GIA CONG LAMINATE'!H85)</f>
        <v>0</v>
      </c>
      <c r="I30" s="60">
        <f>IF('GIA CONG LAMINATE'!A85="CT","",'GIA CONG LAMINATE'!I85)</f>
        <v>0</v>
      </c>
      <c r="J30" s="60">
        <f>IF('GIA CONG LAMINATE'!A85="CT","",'GIA CONG LAMINATE'!J85)</f>
        <v>0</v>
      </c>
      <c r="K30" s="60">
        <f>IF('GIA CONG LAMINATE'!A85="CT","",'GIA CONG LAMINATE'!K85)</f>
        <v>0</v>
      </c>
      <c r="L30" s="60">
        <f>IF('GIA CONG LAMINATE'!A85="CT","",'GIA CONG LAMINATE'!L85)</f>
        <v>0</v>
      </c>
      <c r="M30" s="60">
        <f>IF('GIA CONG LAMINATE'!A85="CT","",'GIA CONG LAMINATE'!M85)</f>
        <v>0</v>
      </c>
      <c r="N30" s="60">
        <f>IF('GIA CONG LAMINATE'!A85="CT","",'GIA CONG LAMINATE'!N85)</f>
        <v>0</v>
      </c>
      <c r="O30" s="60">
        <f>IF('GIA CONG LAMINATE'!A85="CT","",'GIA CONG LAMINATE'!O85)</f>
        <v>0</v>
      </c>
      <c r="P30" s="60">
        <f>IF('GIA CONG LAMINATE'!A85="CT","",'GIA CONG LAMINATE'!R85)</f>
        <v>0</v>
      </c>
      <c r="Q30" s="60">
        <f>IF('GIA CONG LAMINATE'!A85="CT","",'GIA CONG LAMINATE'!S85)</f>
        <v>0</v>
      </c>
      <c r="R30" s="60">
        <f>IF('GIA CONG LAMINATE'!A85="CT","",'GIA CONG LAMINATE'!$J$7)</f>
        <v>0</v>
      </c>
      <c r="S30" s="60"/>
      <c r="T30" s="129">
        <f>'GIA CONG LAMINATE'!$R$6</f>
        <v>46091.447916666664</v>
      </c>
      <c r="U30" s="130">
        <f>'GIA CONG LAMINATE'!$R$7</f>
        <v>2</v>
      </c>
      <c r="V30" s="129">
        <f>'GIA CONG LAMINATE'!$R$8</f>
        <v>46093.447916666664</v>
      </c>
    </row>
    <row r="31" spans="1:22" ht="15.75" x14ac:dyDescent="0.25">
      <c r="A31" s="110">
        <f>IF('GIA CONG LAMINATE'!A86="CT","",'GIA CONG LAMINATE'!A86)</f>
        <v>0</v>
      </c>
      <c r="B31" s="60">
        <f>IF('GIA CONG LAMINATE'!A86="CT","",'GIA CONG LAMINATE'!B86)</f>
        <v>0</v>
      </c>
      <c r="C31" s="60">
        <f>IF('GIA CONG LAMINATE'!A86="CT","",'GIA CONG LAMINATE'!C86)</f>
        <v>0</v>
      </c>
      <c r="D31" s="60">
        <f>IF('GIA CONG LAMINATE'!A86="CT","",'GIA CONG LAMINATE'!D86)</f>
        <v>0</v>
      </c>
      <c r="E31" s="60">
        <f>IF('GIA CONG LAMINATE'!A86="CT","",'GIA CONG LAMINATE'!E86)</f>
        <v>0</v>
      </c>
      <c r="F31" s="60">
        <f>IF('GIA CONG LAMINATE'!A86="CT","",'GIA CONG LAMINATE'!F86)</f>
        <v>0</v>
      </c>
      <c r="G31" s="60">
        <f>IF('GIA CONG LAMINATE'!A86="CT","",'GIA CONG LAMINATE'!L86)</f>
        <v>0</v>
      </c>
      <c r="H31" s="60">
        <f>IF('GIA CONG LAMINATE'!A86="CT","",'GIA CONG LAMINATE'!H86)</f>
        <v>0</v>
      </c>
      <c r="I31" s="60">
        <f>IF('GIA CONG LAMINATE'!A86="CT","",'GIA CONG LAMINATE'!I86)</f>
        <v>0</v>
      </c>
      <c r="J31" s="60">
        <f>IF('GIA CONG LAMINATE'!A86="CT","",'GIA CONG LAMINATE'!J86)</f>
        <v>0</v>
      </c>
      <c r="K31" s="60">
        <f>IF('GIA CONG LAMINATE'!A86="CT","",'GIA CONG LAMINATE'!K86)</f>
        <v>0</v>
      </c>
      <c r="L31" s="60">
        <f>IF('GIA CONG LAMINATE'!A86="CT","",'GIA CONG LAMINATE'!L86)</f>
        <v>0</v>
      </c>
      <c r="M31" s="60">
        <f>IF('GIA CONG LAMINATE'!A86="CT","",'GIA CONG LAMINATE'!M86)</f>
        <v>0</v>
      </c>
      <c r="N31" s="60">
        <f>IF('GIA CONG LAMINATE'!A86="CT","",'GIA CONG LAMINATE'!N86)</f>
        <v>0</v>
      </c>
      <c r="O31" s="60">
        <f>IF('GIA CONG LAMINATE'!A86="CT","",'GIA CONG LAMINATE'!O86)</f>
        <v>0</v>
      </c>
      <c r="P31" s="60">
        <f>IF('GIA CONG LAMINATE'!A86="CT","",'GIA CONG LAMINATE'!R86)</f>
        <v>0</v>
      </c>
      <c r="Q31" s="60">
        <f>IF('GIA CONG LAMINATE'!A86="CT","",'GIA CONG LAMINATE'!S86)</f>
        <v>0</v>
      </c>
      <c r="R31" s="60">
        <f>IF('GIA CONG LAMINATE'!A86="CT","",'GIA CONG LAMINATE'!$J$7)</f>
        <v>0</v>
      </c>
      <c r="S31" s="60"/>
      <c r="T31" s="129">
        <f>'GIA CONG LAMINATE'!$R$6</f>
        <v>46091.447916666664</v>
      </c>
      <c r="U31" s="130">
        <f>'GIA CONG LAMINATE'!$R$7</f>
        <v>2</v>
      </c>
      <c r="V31" s="129">
        <f>'GIA CONG LAMINATE'!$R$8</f>
        <v>46093.447916666664</v>
      </c>
    </row>
    <row r="32" spans="1:22" ht="15.75" x14ac:dyDescent="0.25">
      <c r="A32" s="110">
        <f>IF('GIA CONG LAMINATE'!A87="CT","",'GIA CONG LAMINATE'!A87)</f>
        <v>0</v>
      </c>
      <c r="B32" s="60">
        <f>IF('GIA CONG LAMINATE'!A87="CT","",'GIA CONG LAMINATE'!B87)</f>
        <v>0</v>
      </c>
      <c r="C32" s="60">
        <f>IF('GIA CONG LAMINATE'!A87="CT","",'GIA CONG LAMINATE'!C87)</f>
        <v>0</v>
      </c>
      <c r="D32" s="60" t="str">
        <f>IF('GIA CONG LAMINATE'!A87="CT","",'GIA CONG LAMINATE'!D87)</f>
        <v>XÁC NHẬN BÊN MUA HÀNG</v>
      </c>
      <c r="E32" s="60">
        <f>IF('GIA CONG LAMINATE'!A87="CT","",'GIA CONG LAMINATE'!E87)</f>
        <v>0</v>
      </c>
      <c r="F32" s="60">
        <f>IF('GIA CONG LAMINATE'!A87="CT","",'GIA CONG LAMINATE'!F87)</f>
        <v>0</v>
      </c>
      <c r="G32" s="60" t="str">
        <f>IF('GIA CONG LAMINATE'!A87="CT","",'GIA CONG LAMINATE'!L87)</f>
        <v>KẾ TOÁN XÁC NHẬN</v>
      </c>
      <c r="H32" s="60">
        <f>IF('GIA CONG LAMINATE'!A87="CT","",'GIA CONG LAMINATE'!H87)</f>
        <v>0</v>
      </c>
      <c r="I32" s="60">
        <f>IF('GIA CONG LAMINATE'!A87="CT","",'GIA CONG LAMINATE'!I87)</f>
        <v>0</v>
      </c>
      <c r="J32" s="60">
        <f>IF('GIA CONG LAMINATE'!A87="CT","",'GIA CONG LAMINATE'!J87)</f>
        <v>0</v>
      </c>
      <c r="K32" s="60">
        <f>IF('GIA CONG LAMINATE'!A87="CT","",'GIA CONG LAMINATE'!K87)</f>
        <v>0</v>
      </c>
      <c r="L32" s="60" t="str">
        <f>IF('GIA CONG LAMINATE'!A87="CT","",'GIA CONG LAMINATE'!L87)</f>
        <v>KẾ TOÁN XÁC NHẬN</v>
      </c>
      <c r="M32" s="60">
        <f>IF('GIA CONG LAMINATE'!A87="CT","",'GIA CONG LAMINATE'!M87)</f>
        <v>0</v>
      </c>
      <c r="N32" s="60">
        <f>IF('GIA CONG LAMINATE'!A87="CT","",'GIA CONG LAMINATE'!N87)</f>
        <v>0</v>
      </c>
      <c r="O32" s="60">
        <f>IF('GIA CONG LAMINATE'!A87="CT","",'GIA CONG LAMINATE'!O87)</f>
        <v>0</v>
      </c>
      <c r="P32" s="60">
        <f>IF('GIA CONG LAMINATE'!A87="CT","",'GIA CONG LAMINATE'!R87)</f>
        <v>0</v>
      </c>
      <c r="Q32" s="60">
        <f>IF('GIA CONG LAMINATE'!A87="CT","",'GIA CONG LAMINATE'!S87)</f>
        <v>0</v>
      </c>
      <c r="R32" s="60">
        <f>IF('GIA CONG LAMINATE'!A87="CT","",'GIA CONG LAMINATE'!$J$7)</f>
        <v>0</v>
      </c>
      <c r="S32" s="60"/>
      <c r="T32" s="129">
        <f>'GIA CONG LAMINATE'!$R$6</f>
        <v>46091.447916666664</v>
      </c>
      <c r="U32" s="130">
        <f>'GIA CONG LAMINATE'!$R$7</f>
        <v>2</v>
      </c>
      <c r="V32" s="129">
        <f>'GIA CONG LAMINATE'!$R$8</f>
        <v>46093.447916666664</v>
      </c>
    </row>
    <row r="33" spans="1:22" ht="15.75" x14ac:dyDescent="0.25">
      <c r="A33" s="110">
        <f>IF('GIA CONG LAMINATE'!A86="CT","",'GIA CONG LAMINATE'!A86)</f>
        <v>0</v>
      </c>
      <c r="B33" s="60">
        <f>IF('GIA CONG LAMINATE'!A86="CT","",'GIA CONG LAMINATE'!B86)</f>
        <v>0</v>
      </c>
      <c r="C33" s="60">
        <f>IF('GIA CONG LAMINATE'!A86="CT","",'GIA CONG LAMINATE'!C86)</f>
        <v>0</v>
      </c>
      <c r="D33" s="60">
        <f>IF('GIA CONG LAMINATE'!A86="CT","",'GIA CONG LAMINATE'!D86)</f>
        <v>0</v>
      </c>
      <c r="E33" s="60">
        <f>IF('GIA CONG LAMINATE'!A86="CT","",'GIA CONG LAMINATE'!E86)</f>
        <v>0</v>
      </c>
      <c r="F33" s="60">
        <f>IF('GIA CONG LAMINATE'!A86="CT","",'GIA CONG LAMINATE'!F86)</f>
        <v>0</v>
      </c>
      <c r="G33" s="60">
        <f>IF('GIA CONG LAMINATE'!A86="CT","",'GIA CONG LAMINATE'!L86)</f>
        <v>0</v>
      </c>
      <c r="H33" s="60">
        <f>IF('GIA CONG LAMINATE'!A86="CT","",'GIA CONG LAMINATE'!H86)</f>
        <v>0</v>
      </c>
      <c r="I33" s="60">
        <f>IF('GIA CONG LAMINATE'!A86="CT","",'GIA CONG LAMINATE'!I86)</f>
        <v>0</v>
      </c>
      <c r="J33" s="60">
        <f>IF('GIA CONG LAMINATE'!A86="CT","",'GIA CONG LAMINATE'!J86)</f>
        <v>0</v>
      </c>
      <c r="K33" s="60">
        <f>IF('GIA CONG LAMINATE'!A86="CT","",'GIA CONG LAMINATE'!K86)</f>
        <v>0</v>
      </c>
      <c r="L33" s="60">
        <f>IF('GIA CONG LAMINATE'!A86="CT","",'GIA CONG LAMINATE'!L86)</f>
        <v>0</v>
      </c>
      <c r="M33" s="60">
        <f>IF('GIA CONG LAMINATE'!A86="CT","",'GIA CONG LAMINATE'!M86)</f>
        <v>0</v>
      </c>
      <c r="N33" s="60">
        <f>IF('GIA CONG LAMINATE'!A86="CT","",'GIA CONG LAMINATE'!N86)</f>
        <v>0</v>
      </c>
      <c r="O33" s="60">
        <f>IF('GIA CONG LAMINATE'!A86="CT","",'GIA CONG LAMINATE'!O86)</f>
        <v>0</v>
      </c>
      <c r="P33" s="60">
        <f>IF('GIA CONG LAMINATE'!A86="CT","",'GIA CONG LAMINATE'!R86)</f>
        <v>0</v>
      </c>
      <c r="Q33" s="60">
        <f>IF('GIA CONG LAMINATE'!A86="CT","",'GIA CONG LAMINATE'!S86)</f>
        <v>0</v>
      </c>
      <c r="R33" s="60">
        <f>IF('GIA CONG LAMINATE'!A86="CT","",'GIA CONG LAMINATE'!$J$7)</f>
        <v>0</v>
      </c>
      <c r="S33" s="60"/>
      <c r="T33" s="129">
        <f>'GIA CONG LAMINATE'!$R$6</f>
        <v>46091.447916666664</v>
      </c>
      <c r="U33" s="130">
        <f>'GIA CONG LAMINATE'!$R$7</f>
        <v>2</v>
      </c>
      <c r="V33" s="129">
        <f>'GIA CONG LAMINATE'!$R$8</f>
        <v>46093.447916666664</v>
      </c>
    </row>
    <row r="34" spans="1:22" ht="15.75" x14ac:dyDescent="0.25">
      <c r="A34" s="110">
        <f>IF('GIA CONG LAMINATE'!A87="CT","",'GIA CONG LAMINATE'!A87)</f>
        <v>0</v>
      </c>
      <c r="B34" s="60">
        <f>IF('GIA CONG LAMINATE'!A87="CT","",'GIA CONG LAMINATE'!B87)</f>
        <v>0</v>
      </c>
      <c r="C34" s="60">
        <f>IF('GIA CONG LAMINATE'!A87="CT","",'GIA CONG LAMINATE'!C87)</f>
        <v>0</v>
      </c>
      <c r="D34" s="60" t="str">
        <f>IF('GIA CONG LAMINATE'!A87="CT","",'GIA CONG LAMINATE'!D87)</f>
        <v>XÁC NHẬN BÊN MUA HÀNG</v>
      </c>
      <c r="E34" s="60">
        <f>IF('GIA CONG LAMINATE'!A87="CT","",'GIA CONG LAMINATE'!E87)</f>
        <v>0</v>
      </c>
      <c r="F34" s="60">
        <f>IF('GIA CONG LAMINATE'!A87="CT","",'GIA CONG LAMINATE'!F87)</f>
        <v>0</v>
      </c>
      <c r="G34" s="60" t="str">
        <f>IF('GIA CONG LAMINATE'!A87="CT","",'GIA CONG LAMINATE'!L87)</f>
        <v>KẾ TOÁN XÁC NHẬN</v>
      </c>
      <c r="H34" s="60">
        <f>IF('GIA CONG LAMINATE'!A87="CT","",'GIA CONG LAMINATE'!H87)</f>
        <v>0</v>
      </c>
      <c r="I34" s="60">
        <f>IF('GIA CONG LAMINATE'!A87="CT","",'GIA CONG LAMINATE'!I87)</f>
        <v>0</v>
      </c>
      <c r="J34" s="60">
        <f>IF('GIA CONG LAMINATE'!A87="CT","",'GIA CONG LAMINATE'!J87)</f>
        <v>0</v>
      </c>
      <c r="K34" s="60">
        <f>IF('GIA CONG LAMINATE'!A87="CT","",'GIA CONG LAMINATE'!K87)</f>
        <v>0</v>
      </c>
      <c r="L34" s="60" t="str">
        <f>IF('GIA CONG LAMINATE'!A87="CT","",'GIA CONG LAMINATE'!L87)</f>
        <v>KẾ TOÁN XÁC NHẬN</v>
      </c>
      <c r="M34" s="60">
        <f>IF('GIA CONG LAMINATE'!A87="CT","",'GIA CONG LAMINATE'!M87)</f>
        <v>0</v>
      </c>
      <c r="N34" s="60">
        <f>IF('GIA CONG LAMINATE'!A87="CT","",'GIA CONG LAMINATE'!N87)</f>
        <v>0</v>
      </c>
      <c r="O34" s="60">
        <f>IF('GIA CONG LAMINATE'!A87="CT","",'GIA CONG LAMINATE'!O87)</f>
        <v>0</v>
      </c>
      <c r="P34" s="60">
        <f>IF('GIA CONG LAMINATE'!A87="CT","",'GIA CONG LAMINATE'!R87)</f>
        <v>0</v>
      </c>
      <c r="Q34" s="60">
        <f>IF('GIA CONG LAMINATE'!A87="CT","",'GIA CONG LAMINATE'!S87)</f>
        <v>0</v>
      </c>
      <c r="R34" s="60">
        <f>IF('GIA CONG LAMINATE'!A87="CT","",'GIA CONG LAMINATE'!$J$7)</f>
        <v>0</v>
      </c>
      <c r="S34" s="60"/>
      <c r="T34" s="129">
        <f>'GIA CONG LAMINATE'!$R$6</f>
        <v>46091.447916666664</v>
      </c>
      <c r="U34" s="130">
        <f>'GIA CONG LAMINATE'!$R$7</f>
        <v>2</v>
      </c>
      <c r="V34" s="129">
        <f>'GIA CONG LAMINATE'!$R$8</f>
        <v>46093.447916666664</v>
      </c>
    </row>
    <row r="35" spans="1:22" ht="15.75" x14ac:dyDescent="0.25">
      <c r="A35" s="110">
        <f>IF('GIA CONG LAMINATE'!A88="CT","",'GIA CONG LAMINATE'!A88)</f>
        <v>0</v>
      </c>
      <c r="B35" s="60">
        <f>IF('GIA CONG LAMINATE'!A88="CT","",'GIA CONG LAMINATE'!B88)</f>
        <v>0</v>
      </c>
      <c r="C35" s="60">
        <f>IF('GIA CONG LAMINATE'!A88="CT","",'GIA CONG LAMINATE'!C88)</f>
        <v>0</v>
      </c>
      <c r="D35" s="60" t="str">
        <f>IF('GIA CONG LAMINATE'!A88="CT","",'GIA CONG LAMINATE'!D88)</f>
        <v>(Ký, ghi rõ họ tên)</v>
      </c>
      <c r="E35" s="60">
        <f>IF('GIA CONG LAMINATE'!A88="CT","",'GIA CONG LAMINATE'!E88)</f>
        <v>0</v>
      </c>
      <c r="F35" s="60">
        <f>IF('GIA CONG LAMINATE'!A88="CT","",'GIA CONG LAMINATE'!F88)</f>
        <v>0</v>
      </c>
      <c r="G35" s="60" t="str">
        <f>IF('GIA CONG LAMINATE'!A88="CT","",'GIA CONG LAMINATE'!L88)</f>
        <v>(Ký, ghi rõ họ tên)</v>
      </c>
      <c r="H35" s="60">
        <f>IF('GIA CONG LAMINATE'!A88="CT","",'GIA CONG LAMINATE'!H88)</f>
        <v>0</v>
      </c>
      <c r="I35" s="60">
        <f>IF('GIA CONG LAMINATE'!A88="CT","",'GIA CONG LAMINATE'!I88)</f>
        <v>0</v>
      </c>
      <c r="J35" s="60">
        <f>IF('GIA CONG LAMINATE'!A88="CT","",'GIA CONG LAMINATE'!J88)</f>
        <v>0</v>
      </c>
      <c r="K35" s="60">
        <f>IF('GIA CONG LAMINATE'!A88="CT","",'GIA CONG LAMINATE'!K88)</f>
        <v>0</v>
      </c>
      <c r="L35" s="60" t="str">
        <f>IF('GIA CONG LAMINATE'!A88="CT","",'GIA CONG LAMINATE'!L88)</f>
        <v>(Ký, ghi rõ họ tên)</v>
      </c>
      <c r="M35" s="60">
        <f>IF('GIA CONG LAMINATE'!A88="CT","",'GIA CONG LAMINATE'!M88)</f>
        <v>0</v>
      </c>
      <c r="N35" s="60">
        <f>IF('GIA CONG LAMINATE'!A88="CT","",'GIA CONG LAMINATE'!N88)</f>
        <v>0</v>
      </c>
      <c r="O35" s="60">
        <f>IF('GIA CONG LAMINATE'!A88="CT","",'GIA CONG LAMINATE'!O88)</f>
        <v>0</v>
      </c>
      <c r="P35" s="60">
        <f>IF('GIA CONG LAMINATE'!A88="CT","",'GIA CONG LAMINATE'!R88)</f>
        <v>0</v>
      </c>
      <c r="Q35" s="60">
        <f>IF('GIA CONG LAMINATE'!A88="CT","",'GIA CONG LAMINATE'!S88)</f>
        <v>0</v>
      </c>
      <c r="R35" s="60">
        <f>IF('GIA CONG LAMINATE'!A88="CT","",'GIA CONG LAMINATE'!$J$7)</f>
        <v>0</v>
      </c>
      <c r="S35" s="60"/>
      <c r="T35" s="129">
        <f>'GIA CONG LAMINATE'!$R$6</f>
        <v>46091.447916666664</v>
      </c>
      <c r="U35" s="130">
        <f>'GIA CONG LAMINATE'!$R$7</f>
        <v>2</v>
      </c>
      <c r="V35" s="129">
        <f>'GIA CONG LAMINATE'!$R$8</f>
        <v>46093.447916666664</v>
      </c>
    </row>
    <row r="36" spans="1:22" ht="15.75" x14ac:dyDescent="0.25">
      <c r="A36" s="110">
        <f>IF('GIA CONG LAMINATE'!A89="CT","",'GIA CONG LAMINATE'!A89)</f>
        <v>0</v>
      </c>
      <c r="B36" s="60">
        <f>IF('GIA CONG LAMINATE'!A89="CT","",'GIA CONG LAMINATE'!B89)</f>
        <v>0</v>
      </c>
      <c r="C36" s="60">
        <f>IF('GIA CONG LAMINATE'!A89="CT","",'GIA CONG LAMINATE'!C89)</f>
        <v>0</v>
      </c>
      <c r="D36" s="60">
        <f>IF('GIA CONG LAMINATE'!A89="CT","",'GIA CONG LAMINATE'!D89)</f>
        <v>0</v>
      </c>
      <c r="E36" s="60">
        <f>IF('GIA CONG LAMINATE'!A89="CT","",'GIA CONG LAMINATE'!E89)</f>
        <v>0</v>
      </c>
      <c r="F36" s="60">
        <f>IF('GIA CONG LAMINATE'!A89="CT","",'GIA CONG LAMINATE'!F89)</f>
        <v>0</v>
      </c>
      <c r="G36" s="60">
        <f>IF('GIA CONG LAMINATE'!A89="CT","",'GIA CONG LAMINATE'!L89)</f>
        <v>0</v>
      </c>
      <c r="H36" s="60">
        <f>IF('GIA CONG LAMINATE'!A89="CT","",'GIA CONG LAMINATE'!H89)</f>
        <v>0</v>
      </c>
      <c r="I36" s="60">
        <f>IF('GIA CONG LAMINATE'!A89="CT","",'GIA CONG LAMINATE'!I89)</f>
        <v>0</v>
      </c>
      <c r="J36" s="60">
        <f>IF('GIA CONG LAMINATE'!A89="CT","",'GIA CONG LAMINATE'!J89)</f>
        <v>0</v>
      </c>
      <c r="K36" s="60">
        <f>IF('GIA CONG LAMINATE'!A89="CT","",'GIA CONG LAMINATE'!K89)</f>
        <v>0</v>
      </c>
      <c r="L36" s="60">
        <f>IF('GIA CONG LAMINATE'!A89="CT","",'GIA CONG LAMINATE'!L89)</f>
        <v>0</v>
      </c>
      <c r="M36" s="60">
        <f>IF('GIA CONG LAMINATE'!A89="CT","",'GIA CONG LAMINATE'!M89)</f>
        <v>0</v>
      </c>
      <c r="N36" s="60">
        <f>IF('GIA CONG LAMINATE'!A89="CT","",'GIA CONG LAMINATE'!N89)</f>
        <v>0</v>
      </c>
      <c r="O36" s="60">
        <f>IF('GIA CONG LAMINATE'!A89="CT","",'GIA CONG LAMINATE'!O89)</f>
        <v>0</v>
      </c>
      <c r="P36" s="60">
        <f>IF('GIA CONG LAMINATE'!A89="CT","",'GIA CONG LAMINATE'!R89)</f>
        <v>0</v>
      </c>
      <c r="Q36" s="60">
        <f>IF('GIA CONG LAMINATE'!A89="CT","",'GIA CONG LAMINATE'!S89)</f>
        <v>0</v>
      </c>
      <c r="R36" s="60">
        <f>IF('GIA CONG LAMINATE'!A89="CT","",'GIA CONG LAMINATE'!$J$7)</f>
        <v>0</v>
      </c>
      <c r="S36" s="60"/>
      <c r="T36" s="129">
        <f>'GIA CONG LAMINATE'!$R$6</f>
        <v>46091.447916666664</v>
      </c>
      <c r="U36" s="130">
        <f>'GIA CONG LAMINATE'!$R$7</f>
        <v>2</v>
      </c>
      <c r="V36" s="129">
        <f>'GIA CONG LAMINATE'!$R$8</f>
        <v>46093.447916666664</v>
      </c>
    </row>
    <row r="37" spans="1:22" ht="15.75" x14ac:dyDescent="0.25">
      <c r="A37" s="110">
        <f>IF('GIA CONG LAMINATE'!A90="CT","",'GIA CONG LAMINATE'!A90)</f>
        <v>0</v>
      </c>
      <c r="B37" s="60">
        <f>IF('GIA CONG LAMINATE'!A90="CT","",'GIA CONG LAMINATE'!B90)</f>
        <v>0</v>
      </c>
      <c r="C37" s="60">
        <f>IF('GIA CONG LAMINATE'!A90="CT","",'GIA CONG LAMINATE'!C90)</f>
        <v>0</v>
      </c>
      <c r="D37" s="60">
        <f>IF('GIA CONG LAMINATE'!A90="CT","",'GIA CONG LAMINATE'!D90)</f>
        <v>0</v>
      </c>
      <c r="E37" s="60">
        <f>IF('GIA CONG LAMINATE'!A90="CT","",'GIA CONG LAMINATE'!E90)</f>
        <v>0</v>
      </c>
      <c r="F37" s="60">
        <f>IF('GIA CONG LAMINATE'!A90="CT","",'GIA CONG LAMINATE'!F90)</f>
        <v>0</v>
      </c>
      <c r="G37" s="60">
        <f>IF('GIA CONG LAMINATE'!A90="CT","",'GIA CONG LAMINATE'!L90)</f>
        <v>0</v>
      </c>
      <c r="H37" s="60">
        <f>IF('GIA CONG LAMINATE'!A90="CT","",'GIA CONG LAMINATE'!H90)</f>
        <v>0</v>
      </c>
      <c r="I37" s="60">
        <f>IF('GIA CONG LAMINATE'!A90="CT","",'GIA CONG LAMINATE'!I90)</f>
        <v>0</v>
      </c>
      <c r="J37" s="60">
        <f>IF('GIA CONG LAMINATE'!A90="CT","",'GIA CONG LAMINATE'!J90)</f>
        <v>0</v>
      </c>
      <c r="K37" s="60">
        <f>IF('GIA CONG LAMINATE'!A90="CT","",'GIA CONG LAMINATE'!K90)</f>
        <v>0</v>
      </c>
      <c r="L37" s="60">
        <f>IF('GIA CONG LAMINATE'!A90="CT","",'GIA CONG LAMINATE'!L90)</f>
        <v>0</v>
      </c>
      <c r="M37" s="60">
        <f>IF('GIA CONG LAMINATE'!A90="CT","",'GIA CONG LAMINATE'!M90)</f>
        <v>0</v>
      </c>
      <c r="N37" s="60">
        <f>IF('GIA CONG LAMINATE'!A90="CT","",'GIA CONG LAMINATE'!N90)</f>
        <v>0</v>
      </c>
      <c r="O37" s="60">
        <f>IF('GIA CONG LAMINATE'!A90="CT","",'GIA CONG LAMINATE'!O90)</f>
        <v>0</v>
      </c>
      <c r="P37" s="60">
        <f>IF('GIA CONG LAMINATE'!A90="CT","",'GIA CONG LAMINATE'!R90)</f>
        <v>0</v>
      </c>
      <c r="Q37" s="60">
        <f>IF('GIA CONG LAMINATE'!A90="CT","",'GIA CONG LAMINATE'!S90)</f>
        <v>0</v>
      </c>
      <c r="R37" s="60">
        <f>IF('GIA CONG LAMINATE'!A90="CT","",'GIA CONG LAMINATE'!$J$7)</f>
        <v>0</v>
      </c>
      <c r="S37" s="60"/>
      <c r="T37" s="129">
        <f>'GIA CONG LAMINATE'!$R$6</f>
        <v>46091.447916666664</v>
      </c>
      <c r="U37" s="130">
        <f>'GIA CONG LAMINATE'!$R$7</f>
        <v>2</v>
      </c>
      <c r="V37" s="129">
        <f>'GIA CONG LAMINATE'!$R$8</f>
        <v>46093.447916666664</v>
      </c>
    </row>
    <row r="38" spans="1:22" ht="15.75" x14ac:dyDescent="0.25">
      <c r="A38" s="110">
        <f>IF('GIA CONG LAMINATE'!A91="CT","",'GIA CONG LAMINATE'!A91)</f>
        <v>0</v>
      </c>
      <c r="B38" s="60">
        <f>IF('GIA CONG LAMINATE'!A91="CT","",'GIA CONG LAMINATE'!B91)</f>
        <v>1</v>
      </c>
      <c r="C38" s="60">
        <f>IF('GIA CONG LAMINATE'!A91="CT","",'GIA CONG LAMINATE'!C91)</f>
        <v>0</v>
      </c>
      <c r="D38" s="60" t="str">
        <f>IF('GIA CONG LAMINATE'!A91="CT","",'GIA CONG LAMINATE'!D91)</f>
        <v>Đơn giá trên chưa bao gồm VAT.Đúng sai ±1 mm.</v>
      </c>
      <c r="E38" s="60">
        <f>IF('GIA CONG LAMINATE'!A91="CT","",'GIA CONG LAMINATE'!E91)</f>
        <v>0</v>
      </c>
      <c r="F38" s="60">
        <f>IF('GIA CONG LAMINATE'!A91="CT","",'GIA CONG LAMINATE'!F91)</f>
        <v>0</v>
      </c>
      <c r="G38" s="60">
        <f>IF('GIA CONG LAMINATE'!A91="CT","",'GIA CONG LAMINATE'!L91)</f>
        <v>0</v>
      </c>
      <c r="H38" s="60">
        <f>IF('GIA CONG LAMINATE'!A91="CT","",'GIA CONG LAMINATE'!H91)</f>
        <v>0</v>
      </c>
      <c r="I38" s="60">
        <f>IF('GIA CONG LAMINATE'!A91="CT","",'GIA CONG LAMINATE'!I91)</f>
        <v>0</v>
      </c>
      <c r="J38" s="60">
        <f>IF('GIA CONG LAMINATE'!A91="CT","",'GIA CONG LAMINATE'!J91)</f>
        <v>0</v>
      </c>
      <c r="K38" s="60">
        <f>IF('GIA CONG LAMINATE'!A91="CT","",'GIA CONG LAMINATE'!K91)</f>
        <v>0</v>
      </c>
      <c r="L38" s="60">
        <f>IF('GIA CONG LAMINATE'!A91="CT","",'GIA CONG LAMINATE'!L91)</f>
        <v>0</v>
      </c>
      <c r="M38" s="60">
        <f>IF('GIA CONG LAMINATE'!A91="CT","",'GIA CONG LAMINATE'!M91)</f>
        <v>0</v>
      </c>
      <c r="N38" s="60">
        <f>IF('GIA CONG LAMINATE'!A91="CT","",'GIA CONG LAMINATE'!N91)</f>
        <v>0</v>
      </c>
      <c r="O38" s="60">
        <f>IF('GIA CONG LAMINATE'!A91="CT","",'GIA CONG LAMINATE'!O91)</f>
        <v>0</v>
      </c>
      <c r="P38" s="60">
        <f>IF('GIA CONG LAMINATE'!A91="CT","",'GIA CONG LAMINATE'!R91)</f>
        <v>0</v>
      </c>
      <c r="Q38" s="60">
        <f>IF('GIA CONG LAMINATE'!A91="CT","",'GIA CONG LAMINATE'!S91)</f>
        <v>0</v>
      </c>
      <c r="R38" s="60">
        <f>IF('GIA CONG LAMINATE'!A91="CT","",'GIA CONG LAMINATE'!$J$7)</f>
        <v>0</v>
      </c>
      <c r="S38" s="60"/>
      <c r="T38" s="129">
        <f>'GIA CONG LAMINATE'!$R$6</f>
        <v>46091.447916666664</v>
      </c>
      <c r="U38" s="130">
        <f>'GIA CONG LAMINATE'!$R$7</f>
        <v>2</v>
      </c>
      <c r="V38" s="129">
        <f>'GIA CONG LAMINATE'!$R$8</f>
        <v>46093.447916666664</v>
      </c>
    </row>
    <row r="55" spans="2:42" s="41" customFormat="1" ht="21" customHeight="1" x14ac:dyDescent="0.25">
      <c r="B55" s="21"/>
      <c r="C55" s="21"/>
      <c r="D55" s="35"/>
      <c r="E55" s="21"/>
      <c r="F55" s="21"/>
      <c r="G55" s="21"/>
      <c r="H55" s="21"/>
      <c r="I55" s="21"/>
      <c r="J55" s="21"/>
      <c r="K55" s="21"/>
      <c r="L55" s="19"/>
      <c r="M55" s="19"/>
      <c r="N55" s="19"/>
      <c r="O55" s="19"/>
      <c r="P55" s="21"/>
      <c r="Q55" s="19"/>
      <c r="R55" s="19"/>
      <c r="S55" s="19"/>
      <c r="T55" s="19"/>
      <c r="U55" s="19"/>
      <c r="V55" s="19"/>
      <c r="AN55" s="42"/>
      <c r="AO55" s="42"/>
      <c r="AP55" s="42"/>
    </row>
    <row r="63" spans="2:42" s="41" customFormat="1" ht="21" customHeight="1" x14ac:dyDescent="0.25">
      <c r="B63" s="21"/>
      <c r="C63" s="21"/>
      <c r="D63" s="35"/>
      <c r="E63" s="21"/>
      <c r="F63" s="21"/>
      <c r="G63" s="21"/>
      <c r="H63" s="21"/>
      <c r="I63" s="21"/>
      <c r="J63" s="21"/>
      <c r="K63" s="21"/>
      <c r="L63" s="19"/>
      <c r="M63" s="19"/>
      <c r="N63" s="19"/>
      <c r="O63" s="19"/>
      <c r="P63" s="21"/>
      <c r="Q63" s="19"/>
      <c r="AN63" s="42"/>
      <c r="AO63" s="42"/>
      <c r="AP63" s="42"/>
    </row>
    <row r="95" ht="22.5" customHeight="1" x14ac:dyDescent="0.25"/>
    <row r="96" ht="22.5" customHeight="1" x14ac:dyDescent="0.25"/>
    <row r="97" ht="22.5" customHeight="1" x14ac:dyDescent="0.25"/>
    <row r="98" ht="22.5" customHeight="1" x14ac:dyDescent="0.25"/>
    <row r="99" ht="22.5" customHeight="1" x14ac:dyDescent="0.25"/>
    <row r="100" ht="22.5" customHeight="1" x14ac:dyDescent="0.25"/>
    <row r="101" ht="22.5" customHeight="1" x14ac:dyDescent="0.25"/>
    <row r="102" ht="22.5" customHeight="1" x14ac:dyDescent="0.25"/>
    <row r="103" ht="22.5" customHeight="1" x14ac:dyDescent="0.25"/>
    <row r="104" ht="22.5" customHeight="1" x14ac:dyDescent="0.25"/>
    <row r="105" ht="22.5" customHeight="1" x14ac:dyDescent="0.25"/>
    <row r="106" ht="51" customHeight="1" x14ac:dyDescent="0.25"/>
    <row r="107" ht="46.5" customHeight="1" x14ac:dyDescent="0.25"/>
    <row r="108" ht="46.5" customHeight="1" x14ac:dyDescent="0.25"/>
    <row r="111" ht="27" customHeight="1" x14ac:dyDescent="0.25"/>
    <row r="112" ht="24" customHeight="1" x14ac:dyDescent="0.25"/>
  </sheetData>
  <mergeCells count="18">
    <mergeCell ref="P11:P12"/>
    <mergeCell ref="A11:A12"/>
    <mergeCell ref="B11:B12"/>
    <mergeCell ref="C11:C12"/>
    <mergeCell ref="D11:D12"/>
    <mergeCell ref="E11:F11"/>
    <mergeCell ref="G11:G12"/>
    <mergeCell ref="H11:H12"/>
    <mergeCell ref="I11:L11"/>
    <mergeCell ref="M11:M12"/>
    <mergeCell ref="N11:N12"/>
    <mergeCell ref="O11:O12"/>
    <mergeCell ref="T11:T12"/>
    <mergeCell ref="U11:U12"/>
    <mergeCell ref="V11:V12"/>
    <mergeCell ref="S11:S12"/>
    <mergeCell ref="Q11:Q12"/>
    <mergeCell ref="R11:R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GIA CONG LAMINATE</vt:lpstr>
      <vt:lpstr>LENH GIA CONG TAM</vt:lpstr>
      <vt:lpstr>DH</vt:lpstr>
      <vt:lpstr>'LENH GIA CONG TAM'!Print_Area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W10.TQ</cp:lastModifiedBy>
  <cp:lastPrinted>2024-11-15T03:57:56Z</cp:lastPrinted>
  <dcterms:created xsi:type="dcterms:W3CDTF">2019-03-01T08:17:59Z</dcterms:created>
  <dcterms:modified xsi:type="dcterms:W3CDTF">2026-03-10T03:46:26Z</dcterms:modified>
</cp:coreProperties>
</file>