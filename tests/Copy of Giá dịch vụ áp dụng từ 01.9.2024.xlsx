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Code\Gervin\tests\"/>
    </mc:Choice>
  </mc:AlternateContent>
  <xr:revisionPtr revIDLastSave="0" documentId="8_{BFDEAE2C-ECC1-4D89-BA7A-18798B2DEC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Đơn giá d.vụ sử dụng VL Gervi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1" l="1"/>
  <c r="AP74" i="1"/>
  <c r="AQ80" i="1" s="1"/>
  <c r="AQ74" i="1" l="1"/>
  <c r="BC75" i="1" l="1"/>
  <c r="BC78" i="1" s="1"/>
  <c r="AU75" i="1"/>
  <c r="AV75" i="1"/>
  <c r="BB75" i="1"/>
  <c r="AT75" i="1"/>
  <c r="BA75" i="1"/>
  <c r="AS75" i="1"/>
  <c r="AZ75" i="1"/>
  <c r="AR75" i="1"/>
  <c r="AY75" i="1"/>
  <c r="AX75" i="1"/>
  <c r="AW75" i="1"/>
  <c r="AZ78" i="1" l="1"/>
  <c r="AS78" i="1"/>
  <c r="AS79" i="1"/>
  <c r="BA78" i="1"/>
  <c r="BC77" i="1"/>
  <c r="BB77" i="1"/>
  <c r="BA79" i="1"/>
  <c r="BA77" i="1"/>
  <c r="AR79" i="1"/>
  <c r="AR77" i="1"/>
  <c r="AR78" i="1"/>
  <c r="AT77" i="1"/>
  <c r="AT79" i="1" s="1"/>
  <c r="AS77" i="1"/>
  <c r="AT78" i="1"/>
  <c r="AY77" i="1"/>
  <c r="AZ77" i="1"/>
  <c r="AZ79" i="1" s="1"/>
  <c r="AX79" i="1"/>
  <c r="AX77" i="1"/>
  <c r="AX78" i="1"/>
  <c r="AY79" i="1"/>
  <c r="AY78" i="1"/>
  <c r="AW78" i="1"/>
  <c r="BB78" i="1"/>
  <c r="BB79" i="1"/>
  <c r="AV78" i="1"/>
  <c r="AV79" i="1"/>
  <c r="AU78" i="1"/>
  <c r="AW77" i="1"/>
  <c r="AW79" i="1" s="1"/>
  <c r="AV77" i="1"/>
  <c r="AU79" i="1"/>
  <c r="AU77" i="1"/>
</calcChain>
</file>

<file path=xl/sharedStrings.xml><?xml version="1.0" encoding="utf-8"?>
<sst xmlns="http://schemas.openxmlformats.org/spreadsheetml/2006/main" count="135" uniqueCount="86">
  <si>
    <t>BẢNG GIÁ DỊCH VỤ KHI SỬ DỤNG VẬT LIỆU CỦA GERVIN</t>
  </si>
  <si>
    <t>STT</t>
  </si>
  <si>
    <t>SẢN PHẨM</t>
  </si>
  <si>
    <t>Đơn vị tính</t>
  </si>
  <si>
    <t>Ghi chú</t>
  </si>
  <si>
    <t>- Bảng giá này áp dụng cho vật liệu do GERVIN cung cấp hoặc vật liệu khách mang đến mà GERVIN không có.</t>
  </si>
  <si>
    <t>mặt</t>
  </si>
  <si>
    <t>tấm</t>
  </si>
  <si>
    <t>m</t>
  </si>
  <si>
    <t>Công CNC hoa văn</t>
  </si>
  <si>
    <t>m2</t>
  </si>
  <si>
    <t>Công CNC cánh pano</t>
  </si>
  <si>
    <t>cái</t>
  </si>
  <si>
    <t>Công vát mép 45 độ</t>
  </si>
  <si>
    <t>Nhân công và vật liệu đóng gói melamin, laminate</t>
  </si>
  <si>
    <t>Giao hàng tại Vinh và bán kính dưới 10 km, đơn hàng từ 10 triệu trở lên</t>
  </si>
  <si>
    <t>lần</t>
  </si>
  <si>
    <t>Miễn phí</t>
  </si>
  <si>
    <t>Giao hàng bán kính trên 10 km theo google map</t>
  </si>
  <si>
    <t>®ång</t>
  </si>
  <si>
    <t>100 ngàn/lần giao</t>
  </si>
  <si>
    <t>100.000đ/10km đầu + 10.000/km từ km thứ 11</t>
  </si>
  <si>
    <t>Nguyên tấm 1220x2440mm</t>
  </si>
  <si>
    <t>Giá cắt 1 tấm to thành 1 tấm nhỏ. Áp dụng cho đơn hàng từ 2 tấm trở xuống</t>
  </si>
  <si>
    <t>Giá cắt tấm to thành 2 tấm nhỏ trở lên. Lô hàng từ 3 tấm trở lên áp dụng đơn giá này</t>
  </si>
  <si>
    <t>Nhân công và keo, băng dính uốn cong tấm MDF/Melamin/PVC diện tích tấm dưới 0,1 m2</t>
  </si>
  <si>
    <t>Nhân công và keo, băng dính uốn cong tấm MDF/Melamin/PVC diện tích tấm từ 0,1 m2 trở lên</t>
  </si>
  <si>
    <t>Nhân công ghép ngăn kéo</t>
  </si>
  <si>
    <t>Nhân công ghép module tủ</t>
  </si>
  <si>
    <t>Nhân công ghép module bàn, kệ tivi</t>
  </si>
  <si>
    <t>Nhân công và keo S8/A9 dán tấm acrylic/laminate lên tấm MDF/PVC đã uốn cong.</t>
  </si>
  <si>
    <t>Công CNC tay móc âm</t>
  </si>
  <si>
    <t>Giao ván bổ sung dưới 5 tấm và đi giao bằng xe ôm</t>
  </si>
  <si>
    <t>60 ngàn/lần giao</t>
  </si>
  <si>
    <t>mối nối</t>
  </si>
  <si>
    <t xml:space="preserve">- Khi GERVIN có vật liệu mà khách hàng không sử dụng thì đơn giá tăng thêm 2% </t>
  </si>
  <si>
    <t>Đơn giá gia công khách
(đồng)</t>
  </si>
  <si>
    <t>Công nối tấm, keo dán, vật liệu nối tấm bản rộng dưới 500mm</t>
  </si>
  <si>
    <t>Công nối tấm, keo dán, vật liệu nối tấm rộng từ 1501mm -2000mm trở lên</t>
  </si>
  <si>
    <t>Giá cắt tấm to thành tối thiểu 15 thanh phào trở lên.</t>
  </si>
  <si>
    <t>Công nối tấm, keo dán, vật liệu nối tấm rộng từ 501mm - 1500mm</t>
  </si>
  <si>
    <t>Ép mặt laminate, PVC, Verneer lên MDF  sử dụng keo chống thấm nước PUR Jowat, H.B Fuller, Technobond.</t>
  </si>
  <si>
    <t>Ép mặt laminate, PVC, Verneer lên cốt gỗ nhựa Picomat sử dụng keo chống thấm nước PUR Jowat, H.B Fuller, Technobond.</t>
  </si>
  <si>
    <t>Công dán, nẹp dán, keo dán lỗ khoét kính melamine, laminate, chu vi từ 3m trở lên</t>
  </si>
  <si>
    <t>Công dán, keo dán ván tạo dày nguyên tấm 1220x2440 keo S8</t>
  </si>
  <si>
    <t>Dán tay laminate, melamine độ dày ván 9-17mm (không bao gồm nẹp dán cạnh)</t>
  </si>
  <si>
    <t>Dán tay laminate, melamine độ dày ván 25-45mm (không bao gồm nẹp dán cạnh)</t>
  </si>
  <si>
    <t>I</t>
  </si>
  <si>
    <t>ÉP MẶT:</t>
  </si>
  <si>
    <t>III</t>
  </si>
  <si>
    <t>DÁN CẠNH BẰNG KEO CHỐNG THẤM NƯỚC PUR:</t>
  </si>
  <si>
    <r>
      <rPr>
        <b/>
        <sz val="11"/>
        <color indexed="8"/>
        <rFont val="Times New Roman"/>
        <family val="1"/>
      </rPr>
      <t xml:space="preserve">Dán cạnh thẳng laminate, melamine sử dụng keo chống thấm nước PUR:
</t>
    </r>
    <r>
      <rPr>
        <sz val="11"/>
        <color rgb="FF000000"/>
        <rFont val="Times New Roman"/>
        <family val="1"/>
      </rPr>
      <t xml:space="preserve">Áp dụng cho tấm ván có </t>
    </r>
    <r>
      <rPr>
        <b/>
        <sz val="11"/>
        <color rgb="FF000000"/>
        <rFont val="Times New Roman"/>
        <family val="1"/>
      </rPr>
      <t>chiều rộng từ 60mm trở lên</t>
    </r>
    <r>
      <rPr>
        <sz val="11"/>
        <color rgb="FF000000"/>
        <rFont val="Times New Roman"/>
        <family val="1"/>
      </rPr>
      <t xml:space="preserve">, </t>
    </r>
    <r>
      <rPr>
        <b/>
        <sz val="11"/>
        <color rgb="FF000000"/>
        <rFont val="Times New Roman"/>
        <family val="1"/>
      </rPr>
      <t>độ dày ván 40-45mm</t>
    </r>
    <r>
      <rPr>
        <sz val="11"/>
        <color indexed="8"/>
        <rFont val="Times New Roman"/>
        <family val="1"/>
      </rPr>
      <t xml:space="preserve"> (không bao gồm nẹp dán cạnh) sử dụng keo Jowat, Kleibrit, Technobond, máy dán Homag sản xuất tại Đức.</t>
    </r>
  </si>
  <si>
    <r>
      <rPr>
        <b/>
        <sz val="11"/>
        <color indexed="8"/>
        <rFont val="Times New Roman"/>
        <family val="1"/>
      </rPr>
      <t xml:space="preserve">Dán cạnh thẳng laminate, melamine sử dụng keo chống thấm nước PUR:
</t>
    </r>
    <r>
      <rPr>
        <sz val="11"/>
        <color indexed="8"/>
        <rFont val="Times New Roman"/>
        <family val="1"/>
      </rPr>
      <t xml:space="preserve">Áp dụng cho tấm ván có </t>
    </r>
    <r>
      <rPr>
        <b/>
        <sz val="11"/>
        <color rgb="FF000000"/>
        <rFont val="Times New Roman"/>
        <family val="1"/>
      </rPr>
      <t>chiều rộng từ 17mm đến 39mm</t>
    </r>
    <r>
      <rPr>
        <sz val="11"/>
        <color indexed="8"/>
        <rFont val="Times New Roman"/>
        <family val="1"/>
      </rPr>
      <t>,</t>
    </r>
    <r>
      <rPr>
        <b/>
        <sz val="11"/>
        <color rgb="FF000000"/>
        <rFont val="Times New Roman"/>
        <family val="1"/>
      </rPr>
      <t xml:space="preserve"> độ dày ván 25-45mm, </t>
    </r>
    <r>
      <rPr>
        <sz val="11"/>
        <color indexed="8"/>
        <rFont val="Times New Roman"/>
        <family val="1"/>
      </rPr>
      <t>nhân công, băng dính, dán cạnh thẳng laminate, melamine (không bao gồm nẹp dán cạnh) sử dụng máy dán Homag, Cộng hòa LB Đức.</t>
    </r>
  </si>
  <si>
    <r>
      <rPr>
        <b/>
        <sz val="11"/>
        <color indexed="8"/>
        <rFont val="Times New Roman"/>
        <family val="1"/>
      </rPr>
      <t xml:space="preserve">Dán cạnh thẳng laminate, melamine sử dụng keo chống thấm nước PUR:
</t>
    </r>
    <r>
      <rPr>
        <sz val="11"/>
        <color rgb="FF000000"/>
        <rFont val="Times New Roman"/>
        <family val="1"/>
      </rPr>
      <t xml:space="preserve">Áp dụng cho tấm ván có </t>
    </r>
    <r>
      <rPr>
        <b/>
        <sz val="11"/>
        <color rgb="FF000000"/>
        <rFont val="Times New Roman"/>
        <family val="1"/>
      </rPr>
      <t>chiều rộng từ 17mm đến 39mm</t>
    </r>
    <r>
      <rPr>
        <sz val="11"/>
        <color rgb="FF000000"/>
        <rFont val="Times New Roman"/>
        <family val="1"/>
      </rPr>
      <t>,</t>
    </r>
    <r>
      <rPr>
        <sz val="11"/>
        <color indexed="8"/>
        <rFont val="Times New Roman"/>
        <family val="1"/>
      </rPr>
      <t xml:space="preserve"> </t>
    </r>
    <r>
      <rPr>
        <b/>
        <sz val="11"/>
        <color rgb="FF000000"/>
        <rFont val="Times New Roman"/>
        <family val="1"/>
      </rPr>
      <t>độ dày ván 9-21mm</t>
    </r>
    <r>
      <rPr>
        <sz val="11"/>
        <color indexed="8"/>
        <rFont val="Times New Roman"/>
        <family val="1"/>
      </rPr>
      <t xml:space="preserve"> nhân công, băng dính, dán cạnh thẳng laminate, melamine (không bao gồm nẹp dán cạnh) sử dụng máy dán Homag, Cộng hòa LB Đức.</t>
    </r>
  </si>
  <si>
    <r>
      <rPr>
        <b/>
        <sz val="11"/>
        <color indexed="8"/>
        <rFont val="Times New Roman"/>
        <family val="1"/>
      </rPr>
      <t xml:space="preserve">Dán cạnh thẳng laminate, melamine sử dụng keo chống thấm nước PUR:
</t>
    </r>
    <r>
      <rPr>
        <sz val="11"/>
        <color rgb="FF000000"/>
        <rFont val="Times New Roman"/>
        <family val="1"/>
      </rPr>
      <t xml:space="preserve">Áp dụng cho tấm ván có </t>
    </r>
    <r>
      <rPr>
        <b/>
        <sz val="11"/>
        <color rgb="FF000000"/>
        <rFont val="Times New Roman"/>
        <family val="1"/>
      </rPr>
      <t>chiều rộng từ 40mm đến 59mm</t>
    </r>
    <r>
      <rPr>
        <sz val="11"/>
        <color rgb="FF000000"/>
        <rFont val="Times New Roman"/>
        <family val="1"/>
      </rPr>
      <t xml:space="preserve">, </t>
    </r>
    <r>
      <rPr>
        <b/>
        <sz val="11"/>
        <color rgb="FF000000"/>
        <rFont val="Times New Roman"/>
        <family val="1"/>
      </rPr>
      <t>độ dày ván 25-45mm</t>
    </r>
    <r>
      <rPr>
        <sz val="11"/>
        <color indexed="8"/>
        <rFont val="Times New Roman"/>
        <family val="1"/>
      </rPr>
      <t xml:space="preserve">  nhân công, keo, băng dính dán cạnh thẳng laminate, melamine (không bao gồm nẹp dán cạnh) sử dụng máy dán Homag, Cộng hòa LB Đức.</t>
    </r>
  </si>
  <si>
    <r>
      <rPr>
        <b/>
        <sz val="11"/>
        <color indexed="8"/>
        <rFont val="Times New Roman"/>
        <family val="1"/>
      </rPr>
      <t xml:space="preserve">Dán cạnh thẳng laminate, melamine sử dụng keo chống thấm nước PUR:
</t>
    </r>
    <r>
      <rPr>
        <sz val="11"/>
        <color rgb="FF000000"/>
        <rFont val="Times New Roman"/>
        <family val="1"/>
      </rPr>
      <t xml:space="preserve">Áp dụng cho tấm ván có </t>
    </r>
    <r>
      <rPr>
        <b/>
        <sz val="11"/>
        <color rgb="FF000000"/>
        <rFont val="Times New Roman"/>
        <family val="1"/>
      </rPr>
      <t>chiều rộng từ 40mm đến 59mm</t>
    </r>
    <r>
      <rPr>
        <sz val="11"/>
        <color rgb="FF000000"/>
        <rFont val="Times New Roman"/>
        <family val="1"/>
      </rPr>
      <t xml:space="preserve">, </t>
    </r>
    <r>
      <rPr>
        <b/>
        <sz val="11"/>
        <color rgb="FF000000"/>
        <rFont val="Times New Roman"/>
        <family val="1"/>
      </rPr>
      <t>độ dày ván 9-21mm</t>
    </r>
    <r>
      <rPr>
        <sz val="11"/>
        <color indexed="8"/>
        <rFont val="Times New Roman"/>
        <family val="1"/>
      </rPr>
      <t xml:space="preserve"> nhân công, keo, băng dính dán cạnh thẳng laminate, melamine. (không bao gồm nẹp dán cạnh) sử dụng máy dán Homag, Cộng hòa LB Đức.</t>
    </r>
  </si>
  <si>
    <r>
      <rPr>
        <b/>
        <sz val="11"/>
        <color indexed="8"/>
        <rFont val="Times New Roman"/>
        <family val="1"/>
      </rPr>
      <t xml:space="preserve">Dán cạnh thẳng laminate, melamine sử dụng keo chống thấm nước PUR:
</t>
    </r>
    <r>
      <rPr>
        <sz val="11"/>
        <color rgb="FF000000"/>
        <rFont val="Times New Roman"/>
        <family val="1"/>
      </rPr>
      <t xml:space="preserve">Áp dụng cho tấm ván có </t>
    </r>
    <r>
      <rPr>
        <b/>
        <sz val="11"/>
        <color rgb="FF000000"/>
        <rFont val="Times New Roman"/>
        <family val="1"/>
      </rPr>
      <t>chiều rộng từ 60mm trở lên,</t>
    </r>
    <r>
      <rPr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Times New Roman"/>
        <family val="1"/>
      </rPr>
      <t>độ dày ván 25-35mm</t>
    </r>
    <r>
      <rPr>
        <sz val="11"/>
        <color rgb="FF000000"/>
        <rFont val="Times New Roman"/>
        <family val="1"/>
      </rPr>
      <t xml:space="preserve"> (không bao gồm nẹp dán cạnh) sử dụng máy dán Homag, Cộng hòa LB Đức.</t>
    </r>
  </si>
  <si>
    <r>
      <rPr>
        <b/>
        <sz val="11"/>
        <color indexed="8"/>
        <rFont val="Times New Roman"/>
        <family val="1"/>
      </rPr>
      <t xml:space="preserve">Dán cạnh thẳng laminate, melamine sử dụng keo chống thấm nước PUR:
</t>
    </r>
    <r>
      <rPr>
        <sz val="11"/>
        <color indexed="8"/>
        <rFont val="Times New Roman"/>
        <family val="1"/>
      </rPr>
      <t xml:space="preserve">Áp dụng cho tấm ván có </t>
    </r>
    <r>
      <rPr>
        <b/>
        <sz val="11"/>
        <color rgb="FF000000"/>
        <rFont val="Times New Roman"/>
        <family val="1"/>
      </rPr>
      <t>chiều rộng từ 60mm trở lên, độ dày ván 9-21mm</t>
    </r>
    <r>
      <rPr>
        <sz val="11"/>
        <color indexed="8"/>
        <rFont val="Times New Roman"/>
        <family val="1"/>
      </rPr>
      <t xml:space="preserve"> (không bao gồm nẹp dán cạnh) sử dụng máy dán Homag, Cộng hòa LB Đức.</t>
    </r>
  </si>
  <si>
    <t>IV</t>
  </si>
  <si>
    <t>DÁN CẠNH BẰNG TAY:</t>
  </si>
  <si>
    <t>V</t>
  </si>
  <si>
    <t>DÁN CẠNH VÁT BẰNG MÁY DÁN CẠNH ACRYLIC:</t>
  </si>
  <si>
    <r>
      <rPr>
        <b/>
        <sz val="11"/>
        <color rgb="FF000000"/>
        <rFont val="Times New Roman"/>
        <family val="1"/>
      </rPr>
      <t>Dán cạnh vát laminate, melamine sử dụng máy dán acrylic:</t>
    </r>
    <r>
      <rPr>
        <sz val="11"/>
        <color indexed="8"/>
        <rFont val="Times New Roman"/>
        <family val="1"/>
      </rPr>
      <t xml:space="preserve">
Áp dụng cho tấm ván có chiều rộng từ 60mm trở lên, độ dày ván 25mm trở lên (không bao gồm nẹp dán cạnh).</t>
    </r>
  </si>
  <si>
    <r>
      <rPr>
        <b/>
        <sz val="11"/>
        <color indexed="8"/>
        <rFont val="Times New Roman"/>
        <family val="1"/>
      </rPr>
      <t xml:space="preserve">Dán cạnh vát laminate, melamine sử dụng máy dán acrylic:
</t>
    </r>
    <r>
      <rPr>
        <sz val="11"/>
        <color rgb="FF000000"/>
        <rFont val="Times New Roman"/>
        <family val="1"/>
      </rPr>
      <t>Áp dụng cho tấm ván có chiều rộng từ 60mm trở lên, độ dày ván 9-21mm (không bao gồm nẹp dán cạnh).</t>
    </r>
  </si>
  <si>
    <t>VI</t>
  </si>
  <si>
    <t>CÔNG CẮT VÀ CNC VÁN VÀ KHOAN CAM CHỐT:</t>
  </si>
  <si>
    <t>Giá cắt hoặc CNC tấm nguyên khổ 1220x2440mm</t>
  </si>
  <si>
    <t>Công dán, keo dán khấu hậu</t>
  </si>
  <si>
    <t>Công cắt (hoặc CNC) và khoan cam chốt tấm nguyên khổ 1220x2440mm</t>
  </si>
  <si>
    <t>Công CNC lỗ bản lề</t>
  </si>
  <si>
    <t>Công dán, nẹp dán, keo dán lỗ khoét kính melamine, laminate, chu vi dưới 3m</t>
  </si>
  <si>
    <t>Công dán, keo dán ván giả dày chiều rộng ván dưới 200mm keo S8</t>
  </si>
  <si>
    <t>Công dán, keo dán ván giả dày chiều rộng ván từ 200mm đến dưới 500mm keo S8</t>
  </si>
  <si>
    <t>Công dán, keo dán ván giả dày chiều rộng ván từ 500mm đến dưới 800mm keo S8</t>
  </si>
  <si>
    <t>VII</t>
  </si>
  <si>
    <t>CẮT, CNC VÁN VÀ KHOAN CAM CHỐT:</t>
  </si>
  <si>
    <t>Công CNC khoét kính tạo hèm</t>
  </si>
  <si>
    <t>VIII</t>
  </si>
  <si>
    <t>NHÂN CÔNG LẮP ĐẶT TẠI XƯỞNG:</t>
  </si>
  <si>
    <t>IX</t>
  </si>
  <si>
    <t>VẬN CHUYỂN:</t>
  </si>
  <si>
    <t xml:space="preserve">Giao hàng tại Vinh và bán kính từ 10 km, đơn hàng dưới 10 triệu </t>
  </si>
  <si>
    <t>Ghi chú: Bảng giá này áp dụng từ ngày 01.9.2024 cho đến khi có bảng giá mới thay thế.</t>
  </si>
  <si>
    <t>cánh</t>
  </si>
  <si>
    <t>Thợ và vật liệu May House</t>
  </si>
  <si>
    <r>
      <t xml:space="preserve">Công dán, keo dán ván tạo dày nguyên tấm 1220x2440 </t>
    </r>
    <r>
      <rPr>
        <b/>
        <sz val="11"/>
        <rFont val="Times New Roman"/>
        <family val="1"/>
      </rPr>
      <t>sử dụng keo chống thấm nước PUR</t>
    </r>
    <r>
      <rPr>
        <sz val="11"/>
        <rFont val="Times New Roman"/>
        <family val="1"/>
      </rPr>
      <t xml:space="preserve"> Jowat, H.B Fuller, Technobond.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</si>
</sst>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22">
    <font>
      <sz val="10"/>
      <name val="Arial"/>
      <charset val="134"/>
    </font>
    <font>
      <sz val="10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0"/>
      <color rgb="FFFF0000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VNI-Times"/>
    </font>
    <font>
      <b/>
      <sz val="9"/>
      <color theme="1"/>
      <name val="Times New Roman"/>
      <family val="1"/>
    </font>
    <font>
      <sz val="10"/>
      <name val="VNI-Times"/>
    </font>
    <font>
      <b/>
      <sz val="9"/>
      <name val="Times New Roman"/>
      <family val="1"/>
    </font>
    <font>
      <sz val="10"/>
      <name val=".Vn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14" fillId="0" borderId="0"/>
    <xf numFmtId="0" fontId="16" fillId="0" borderId="0"/>
    <xf numFmtId="0" fontId="18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165" fontId="1" fillId="0" borderId="0" xfId="1" applyNumberFormat="1" applyFont="1" applyAlignment="1">
      <alignment horizontal="right" vertical="center"/>
    </xf>
    <xf numFmtId="165" fontId="1" fillId="0" borderId="0" xfId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9" fillId="0" borderId="0" xfId="0" quotePrefix="1" applyFont="1" applyAlignment="1">
      <alignment horizontal="left" vertical="center"/>
    </xf>
    <xf numFmtId="165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right" vertical="center" wrapText="1"/>
    </xf>
    <xf numFmtId="166" fontId="1" fillId="0" borderId="0" xfId="1" applyNumberFormat="1" applyFont="1" applyAlignment="1">
      <alignment vertical="center"/>
    </xf>
    <xf numFmtId="165" fontId="5" fillId="0" borderId="0" xfId="1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165" fontId="11" fillId="0" borderId="1" xfId="1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/>
    </xf>
    <xf numFmtId="164" fontId="13" fillId="0" borderId="1" xfId="1" applyFont="1" applyBorder="1" applyAlignment="1">
      <alignment vertical="center"/>
    </xf>
    <xf numFmtId="165" fontId="13" fillId="0" borderId="0" xfId="1" applyNumberFormat="1" applyFont="1" applyAlignment="1">
      <alignment vertical="center"/>
    </xf>
    <xf numFmtId="164" fontId="13" fillId="0" borderId="0" xfId="1" applyFont="1" applyAlignment="1">
      <alignment vertical="center"/>
    </xf>
    <xf numFmtId="165" fontId="13" fillId="0" borderId="0" xfId="1" applyNumberFormat="1" applyFont="1" applyAlignment="1">
      <alignment horizontal="right" vertical="center"/>
    </xf>
    <xf numFmtId="165" fontId="15" fillId="0" borderId="0" xfId="2" applyNumberFormat="1" applyFont="1" applyAlignment="1" applyProtection="1">
      <alignment vertical="center"/>
      <protection locked="0" hidden="1"/>
    </xf>
    <xf numFmtId="0" fontId="15" fillId="0" borderId="0" xfId="3" applyFont="1" applyAlignment="1" applyProtection="1">
      <alignment horizontal="center" vertical="center"/>
      <protection locked="0" hidden="1"/>
    </xf>
    <xf numFmtId="0" fontId="15" fillId="0" borderId="0" xfId="3" applyFont="1" applyAlignment="1" applyProtection="1">
      <alignment horizontal="center" vertical="center"/>
      <protection locked="0"/>
    </xf>
    <xf numFmtId="0" fontId="17" fillId="0" borderId="0" xfId="3" applyFont="1" applyAlignment="1" applyProtection="1">
      <alignment horizontal="center" vertical="center"/>
      <protection locked="0"/>
    </xf>
    <xf numFmtId="0" fontId="6" fillId="0" borderId="0" xfId="2" applyFont="1" applyAlignment="1" applyProtection="1">
      <alignment vertical="center"/>
      <protection locked="0"/>
    </xf>
    <xf numFmtId="0" fontId="6" fillId="0" borderId="0" xfId="3" applyFont="1" applyAlignment="1" applyProtection="1">
      <alignment vertical="center"/>
      <protection locked="0"/>
    </xf>
    <xf numFmtId="0" fontId="6" fillId="0" borderId="0" xfId="3" applyFont="1" applyAlignment="1" applyProtection="1">
      <alignment vertical="center"/>
      <protection locked="0" hidden="1"/>
    </xf>
    <xf numFmtId="0" fontId="7" fillId="0" borderId="0" xfId="3" applyFont="1" applyAlignment="1" applyProtection="1">
      <alignment vertical="center"/>
      <protection locked="0" hidden="1"/>
    </xf>
    <xf numFmtId="0" fontId="6" fillId="0" borderId="0" xfId="4" applyFont="1" applyAlignment="1" applyProtection="1">
      <alignment horizontal="center" vertical="center"/>
      <protection locked="0" hidden="1"/>
    </xf>
    <xf numFmtId="0" fontId="7" fillId="0" borderId="0" xfId="4" applyFont="1" applyAlignment="1" applyProtection="1">
      <alignment horizontal="center" vertical="center"/>
      <protection locked="0" hidden="1"/>
    </xf>
    <xf numFmtId="0" fontId="6" fillId="0" borderId="0" xfId="3" applyFont="1" applyAlignment="1" applyProtection="1">
      <alignment horizontal="center" vertical="center"/>
      <protection locked="0" hidden="1"/>
    </xf>
    <xf numFmtId="0" fontId="7" fillId="0" borderId="0" xfId="3" applyFont="1" applyAlignment="1" applyProtection="1">
      <alignment horizontal="center" vertical="center"/>
      <protection locked="0" hidden="1"/>
    </xf>
    <xf numFmtId="0" fontId="7" fillId="0" borderId="0" xfId="3" applyFont="1" applyAlignment="1" applyProtection="1">
      <alignment horizontal="center" vertical="center"/>
      <protection locked="0"/>
    </xf>
    <xf numFmtId="0" fontId="7" fillId="0" borderId="0" xfId="3" applyFont="1" applyAlignment="1" applyProtection="1">
      <alignment vertical="center"/>
      <protection locked="0"/>
    </xf>
    <xf numFmtId="0" fontId="10" fillId="0" borderId="1" xfId="0" applyFont="1" applyBorder="1" applyAlignment="1">
      <alignment horizontal="left" vertical="center"/>
    </xf>
    <xf numFmtId="165" fontId="4" fillId="0" borderId="0" xfId="1" applyNumberFormat="1" applyFont="1" applyFill="1" applyAlignment="1">
      <alignment vertical="center"/>
    </xf>
    <xf numFmtId="165" fontId="10" fillId="0" borderId="1" xfId="1" applyNumberFormat="1" applyFont="1" applyFill="1" applyBorder="1" applyAlignment="1">
      <alignment horizontal="right" vertical="center" wrapText="1"/>
    </xf>
    <xf numFmtId="165" fontId="11" fillId="0" borderId="1" xfId="1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165" fontId="11" fillId="0" borderId="1" xfId="1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5" fontId="8" fillId="2" borderId="1" xfId="1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_Dichso" xfId="4" xr:uid="{00000000-0005-0000-0000-000002000000}"/>
    <cellStyle name="Normal_DocSoUnicode" xfId="3" xr:uid="{00000000-0005-0000-0000-000003000000}"/>
    <cellStyle name="Normal_NhatKy040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84"/>
  <sheetViews>
    <sheetView tabSelected="1" zoomScale="130" zoomScaleNormal="130" workbookViewId="0">
      <pane xSplit="5" ySplit="3" topLeftCell="F17" activePane="bottomRight" state="frozen"/>
      <selection pane="topRight"/>
      <selection pane="bottomLeft"/>
      <selection pane="bottomRight" activeCell="B17" sqref="B17"/>
    </sheetView>
  </sheetViews>
  <sheetFormatPr defaultColWidth="9" defaultRowHeight="15.75"/>
  <cols>
    <col min="1" max="1" width="6" style="1" customWidth="1"/>
    <col min="2" max="2" width="60.42578125" style="1" customWidth="1"/>
    <col min="3" max="3" width="8" style="1" customWidth="1"/>
    <col min="4" max="4" width="16.140625" style="2" customWidth="1"/>
    <col min="5" max="5" width="24.7109375" style="1" customWidth="1"/>
    <col min="6" max="6" width="13.28515625" style="3" customWidth="1"/>
    <col min="7" max="8" width="12.85546875" style="3" customWidth="1"/>
    <col min="9" max="20" width="9" style="1"/>
    <col min="21" max="21" width="12.28515625" style="1" customWidth="1"/>
    <col min="22" max="24" width="9" style="1"/>
    <col min="25" max="40" width="9" style="4"/>
    <col min="41" max="41" width="9.140625" style="4" customWidth="1"/>
    <col min="42" max="52" width="10.28515625" style="5" customWidth="1"/>
    <col min="53" max="55" width="10.28515625" style="6" customWidth="1"/>
    <col min="56" max="85" width="9.140625" style="4" customWidth="1"/>
    <col min="86" max="95" width="9" style="4"/>
    <col min="96" max="250" width="9" style="1"/>
    <col min="251" max="251" width="9.140625" style="1" customWidth="1"/>
    <col min="252" max="252" width="0.140625" style="1" customWidth="1"/>
    <col min="253" max="253" width="7.140625" style="1" customWidth="1"/>
    <col min="254" max="254" width="22" style="1" customWidth="1"/>
    <col min="255" max="255" width="19.42578125" style="1" customWidth="1"/>
    <col min="256" max="256" width="6.85546875" style="1" customWidth="1"/>
    <col min="257" max="257" width="6.7109375" style="1" customWidth="1"/>
    <col min="258" max="258" width="11.140625" style="1" customWidth="1"/>
    <col min="259" max="259" width="13.28515625" style="1" customWidth="1"/>
    <col min="260" max="260" width="14.7109375" style="1" customWidth="1"/>
    <col min="261" max="276" width="9" style="1"/>
    <col min="277" max="277" width="12.28515625" style="1" customWidth="1"/>
    <col min="278" max="296" width="9" style="1"/>
    <col min="297" max="341" width="9.140625" style="1" customWidth="1"/>
    <col min="342" max="506" width="9" style="1"/>
    <col min="507" max="507" width="9.140625" style="1" customWidth="1"/>
    <col min="508" max="508" width="0.140625" style="1" customWidth="1"/>
    <col min="509" max="509" width="7.140625" style="1" customWidth="1"/>
    <col min="510" max="510" width="22" style="1" customWidth="1"/>
    <col min="511" max="511" width="19.42578125" style="1" customWidth="1"/>
    <col min="512" max="512" width="6.85546875" style="1" customWidth="1"/>
    <col min="513" max="513" width="6.7109375" style="1" customWidth="1"/>
    <col min="514" max="514" width="11.140625" style="1" customWidth="1"/>
    <col min="515" max="515" width="13.28515625" style="1" customWidth="1"/>
    <col min="516" max="516" width="14.7109375" style="1" customWidth="1"/>
    <col min="517" max="532" width="9" style="1"/>
    <col min="533" max="533" width="12.28515625" style="1" customWidth="1"/>
    <col min="534" max="552" width="9" style="1"/>
    <col min="553" max="597" width="9.140625" style="1" customWidth="1"/>
    <col min="598" max="762" width="9" style="1"/>
    <col min="763" max="763" width="9.140625" style="1" customWidth="1"/>
    <col min="764" max="764" width="0.140625" style="1" customWidth="1"/>
    <col min="765" max="765" width="7.140625" style="1" customWidth="1"/>
    <col min="766" max="766" width="22" style="1" customWidth="1"/>
    <col min="767" max="767" width="19.42578125" style="1" customWidth="1"/>
    <col min="768" max="768" width="6.85546875" style="1" customWidth="1"/>
    <col min="769" max="769" width="6.7109375" style="1" customWidth="1"/>
    <col min="770" max="770" width="11.140625" style="1" customWidth="1"/>
    <col min="771" max="771" width="13.28515625" style="1" customWidth="1"/>
    <col min="772" max="772" width="14.7109375" style="1" customWidth="1"/>
    <col min="773" max="788" width="9" style="1"/>
    <col min="789" max="789" width="12.28515625" style="1" customWidth="1"/>
    <col min="790" max="808" width="9" style="1"/>
    <col min="809" max="853" width="9.140625" style="1" customWidth="1"/>
    <col min="854" max="1018" width="9" style="1"/>
    <col min="1019" max="1019" width="9.140625" style="1" customWidth="1"/>
    <col min="1020" max="1020" width="0.140625" style="1" customWidth="1"/>
    <col min="1021" max="1021" width="7.140625" style="1" customWidth="1"/>
    <col min="1022" max="1022" width="22" style="1" customWidth="1"/>
    <col min="1023" max="1023" width="19.42578125" style="1" customWidth="1"/>
    <col min="1024" max="1024" width="6.85546875" style="1" customWidth="1"/>
    <col min="1025" max="1025" width="6.7109375" style="1" customWidth="1"/>
    <col min="1026" max="1026" width="11.140625" style="1" customWidth="1"/>
    <col min="1027" max="1027" width="13.28515625" style="1" customWidth="1"/>
    <col min="1028" max="1028" width="14.7109375" style="1" customWidth="1"/>
    <col min="1029" max="1044" width="9" style="1"/>
    <col min="1045" max="1045" width="12.28515625" style="1" customWidth="1"/>
    <col min="1046" max="1064" width="9" style="1"/>
    <col min="1065" max="1109" width="9.140625" style="1" customWidth="1"/>
    <col min="1110" max="1274" width="9" style="1"/>
    <col min="1275" max="1275" width="9.140625" style="1" customWidth="1"/>
    <col min="1276" max="1276" width="0.140625" style="1" customWidth="1"/>
    <col min="1277" max="1277" width="7.140625" style="1" customWidth="1"/>
    <col min="1278" max="1278" width="22" style="1" customWidth="1"/>
    <col min="1279" max="1279" width="19.42578125" style="1" customWidth="1"/>
    <col min="1280" max="1280" width="6.85546875" style="1" customWidth="1"/>
    <col min="1281" max="1281" width="6.7109375" style="1" customWidth="1"/>
    <col min="1282" max="1282" width="11.140625" style="1" customWidth="1"/>
    <col min="1283" max="1283" width="13.28515625" style="1" customWidth="1"/>
    <col min="1284" max="1284" width="14.7109375" style="1" customWidth="1"/>
    <col min="1285" max="1300" width="9" style="1"/>
    <col min="1301" max="1301" width="12.28515625" style="1" customWidth="1"/>
    <col min="1302" max="1320" width="9" style="1"/>
    <col min="1321" max="1365" width="9.140625" style="1" customWidth="1"/>
    <col min="1366" max="1530" width="9" style="1"/>
    <col min="1531" max="1531" width="9.140625" style="1" customWidth="1"/>
    <col min="1532" max="1532" width="0.140625" style="1" customWidth="1"/>
    <col min="1533" max="1533" width="7.140625" style="1" customWidth="1"/>
    <col min="1534" max="1534" width="22" style="1" customWidth="1"/>
    <col min="1535" max="1535" width="19.42578125" style="1" customWidth="1"/>
    <col min="1536" max="1536" width="6.85546875" style="1" customWidth="1"/>
    <col min="1537" max="1537" width="6.7109375" style="1" customWidth="1"/>
    <col min="1538" max="1538" width="11.140625" style="1" customWidth="1"/>
    <col min="1539" max="1539" width="13.28515625" style="1" customWidth="1"/>
    <col min="1540" max="1540" width="14.7109375" style="1" customWidth="1"/>
    <col min="1541" max="1556" width="9" style="1"/>
    <col min="1557" max="1557" width="12.28515625" style="1" customWidth="1"/>
    <col min="1558" max="1576" width="9" style="1"/>
    <col min="1577" max="1621" width="9.140625" style="1" customWidth="1"/>
    <col min="1622" max="1786" width="9" style="1"/>
    <col min="1787" max="1787" width="9.140625" style="1" customWidth="1"/>
    <col min="1788" max="1788" width="0.140625" style="1" customWidth="1"/>
    <col min="1789" max="1789" width="7.140625" style="1" customWidth="1"/>
    <col min="1790" max="1790" width="22" style="1" customWidth="1"/>
    <col min="1791" max="1791" width="19.42578125" style="1" customWidth="1"/>
    <col min="1792" max="1792" width="6.85546875" style="1" customWidth="1"/>
    <col min="1793" max="1793" width="6.7109375" style="1" customWidth="1"/>
    <col min="1794" max="1794" width="11.140625" style="1" customWidth="1"/>
    <col min="1795" max="1795" width="13.28515625" style="1" customWidth="1"/>
    <col min="1796" max="1796" width="14.7109375" style="1" customWidth="1"/>
    <col min="1797" max="1812" width="9" style="1"/>
    <col min="1813" max="1813" width="12.28515625" style="1" customWidth="1"/>
    <col min="1814" max="1832" width="9" style="1"/>
    <col min="1833" max="1877" width="9.140625" style="1" customWidth="1"/>
    <col min="1878" max="2042" width="9" style="1"/>
    <col min="2043" max="2043" width="9.140625" style="1" customWidth="1"/>
    <col min="2044" max="2044" width="0.140625" style="1" customWidth="1"/>
    <col min="2045" max="2045" width="7.140625" style="1" customWidth="1"/>
    <col min="2046" max="2046" width="22" style="1" customWidth="1"/>
    <col min="2047" max="2047" width="19.42578125" style="1" customWidth="1"/>
    <col min="2048" max="2048" width="6.85546875" style="1" customWidth="1"/>
    <col min="2049" max="2049" width="6.7109375" style="1" customWidth="1"/>
    <col min="2050" max="2050" width="11.140625" style="1" customWidth="1"/>
    <col min="2051" max="2051" width="13.28515625" style="1" customWidth="1"/>
    <col min="2052" max="2052" width="14.7109375" style="1" customWidth="1"/>
    <col min="2053" max="2068" width="9" style="1"/>
    <col min="2069" max="2069" width="12.28515625" style="1" customWidth="1"/>
    <col min="2070" max="2088" width="9" style="1"/>
    <col min="2089" max="2133" width="9.140625" style="1" customWidth="1"/>
    <col min="2134" max="2298" width="9" style="1"/>
    <col min="2299" max="2299" width="9.140625" style="1" customWidth="1"/>
    <col min="2300" max="2300" width="0.140625" style="1" customWidth="1"/>
    <col min="2301" max="2301" width="7.140625" style="1" customWidth="1"/>
    <col min="2302" max="2302" width="22" style="1" customWidth="1"/>
    <col min="2303" max="2303" width="19.42578125" style="1" customWidth="1"/>
    <col min="2304" max="2304" width="6.85546875" style="1" customWidth="1"/>
    <col min="2305" max="2305" width="6.7109375" style="1" customWidth="1"/>
    <col min="2306" max="2306" width="11.140625" style="1" customWidth="1"/>
    <col min="2307" max="2307" width="13.28515625" style="1" customWidth="1"/>
    <col min="2308" max="2308" width="14.7109375" style="1" customWidth="1"/>
    <col min="2309" max="2324" width="9" style="1"/>
    <col min="2325" max="2325" width="12.28515625" style="1" customWidth="1"/>
    <col min="2326" max="2344" width="9" style="1"/>
    <col min="2345" max="2389" width="9.140625" style="1" customWidth="1"/>
    <col min="2390" max="2554" width="9" style="1"/>
    <col min="2555" max="2555" width="9.140625" style="1" customWidth="1"/>
    <col min="2556" max="2556" width="0.140625" style="1" customWidth="1"/>
    <col min="2557" max="2557" width="7.140625" style="1" customWidth="1"/>
    <col min="2558" max="2558" width="22" style="1" customWidth="1"/>
    <col min="2559" max="2559" width="19.42578125" style="1" customWidth="1"/>
    <col min="2560" max="2560" width="6.85546875" style="1" customWidth="1"/>
    <col min="2561" max="2561" width="6.7109375" style="1" customWidth="1"/>
    <col min="2562" max="2562" width="11.140625" style="1" customWidth="1"/>
    <col min="2563" max="2563" width="13.28515625" style="1" customWidth="1"/>
    <col min="2564" max="2564" width="14.7109375" style="1" customWidth="1"/>
    <col min="2565" max="2580" width="9" style="1"/>
    <col min="2581" max="2581" width="12.28515625" style="1" customWidth="1"/>
    <col min="2582" max="2600" width="9" style="1"/>
    <col min="2601" max="2645" width="9.140625" style="1" customWidth="1"/>
    <col min="2646" max="2810" width="9" style="1"/>
    <col min="2811" max="2811" width="9.140625" style="1" customWidth="1"/>
    <col min="2812" max="2812" width="0.140625" style="1" customWidth="1"/>
    <col min="2813" max="2813" width="7.140625" style="1" customWidth="1"/>
    <col min="2814" max="2814" width="22" style="1" customWidth="1"/>
    <col min="2815" max="2815" width="19.42578125" style="1" customWidth="1"/>
    <col min="2816" max="2816" width="6.85546875" style="1" customWidth="1"/>
    <col min="2817" max="2817" width="6.7109375" style="1" customWidth="1"/>
    <col min="2818" max="2818" width="11.140625" style="1" customWidth="1"/>
    <col min="2819" max="2819" width="13.28515625" style="1" customWidth="1"/>
    <col min="2820" max="2820" width="14.7109375" style="1" customWidth="1"/>
    <col min="2821" max="2836" width="9" style="1"/>
    <col min="2837" max="2837" width="12.28515625" style="1" customWidth="1"/>
    <col min="2838" max="2856" width="9" style="1"/>
    <col min="2857" max="2901" width="9.140625" style="1" customWidth="1"/>
    <col min="2902" max="3066" width="9" style="1"/>
    <col min="3067" max="3067" width="9.140625" style="1" customWidth="1"/>
    <col min="3068" max="3068" width="0.140625" style="1" customWidth="1"/>
    <col min="3069" max="3069" width="7.140625" style="1" customWidth="1"/>
    <col min="3070" max="3070" width="22" style="1" customWidth="1"/>
    <col min="3071" max="3071" width="19.42578125" style="1" customWidth="1"/>
    <col min="3072" max="3072" width="6.85546875" style="1" customWidth="1"/>
    <col min="3073" max="3073" width="6.7109375" style="1" customWidth="1"/>
    <col min="3074" max="3074" width="11.140625" style="1" customWidth="1"/>
    <col min="3075" max="3075" width="13.28515625" style="1" customWidth="1"/>
    <col min="3076" max="3076" width="14.7109375" style="1" customWidth="1"/>
    <col min="3077" max="3092" width="9" style="1"/>
    <col min="3093" max="3093" width="12.28515625" style="1" customWidth="1"/>
    <col min="3094" max="3112" width="9" style="1"/>
    <col min="3113" max="3157" width="9.140625" style="1" customWidth="1"/>
    <col min="3158" max="3322" width="9" style="1"/>
    <col min="3323" max="3323" width="9.140625" style="1" customWidth="1"/>
    <col min="3324" max="3324" width="0.140625" style="1" customWidth="1"/>
    <col min="3325" max="3325" width="7.140625" style="1" customWidth="1"/>
    <col min="3326" max="3326" width="22" style="1" customWidth="1"/>
    <col min="3327" max="3327" width="19.42578125" style="1" customWidth="1"/>
    <col min="3328" max="3328" width="6.85546875" style="1" customWidth="1"/>
    <col min="3329" max="3329" width="6.7109375" style="1" customWidth="1"/>
    <col min="3330" max="3330" width="11.140625" style="1" customWidth="1"/>
    <col min="3331" max="3331" width="13.28515625" style="1" customWidth="1"/>
    <col min="3332" max="3332" width="14.7109375" style="1" customWidth="1"/>
    <col min="3333" max="3348" width="9" style="1"/>
    <col min="3349" max="3349" width="12.28515625" style="1" customWidth="1"/>
    <col min="3350" max="3368" width="9" style="1"/>
    <col min="3369" max="3413" width="9.140625" style="1" customWidth="1"/>
    <col min="3414" max="3578" width="9" style="1"/>
    <col min="3579" max="3579" width="9.140625" style="1" customWidth="1"/>
    <col min="3580" max="3580" width="0.140625" style="1" customWidth="1"/>
    <col min="3581" max="3581" width="7.140625" style="1" customWidth="1"/>
    <col min="3582" max="3582" width="22" style="1" customWidth="1"/>
    <col min="3583" max="3583" width="19.42578125" style="1" customWidth="1"/>
    <col min="3584" max="3584" width="6.85546875" style="1" customWidth="1"/>
    <col min="3585" max="3585" width="6.7109375" style="1" customWidth="1"/>
    <col min="3586" max="3586" width="11.140625" style="1" customWidth="1"/>
    <col min="3587" max="3587" width="13.28515625" style="1" customWidth="1"/>
    <col min="3588" max="3588" width="14.7109375" style="1" customWidth="1"/>
    <col min="3589" max="3604" width="9" style="1"/>
    <col min="3605" max="3605" width="12.28515625" style="1" customWidth="1"/>
    <col min="3606" max="3624" width="9" style="1"/>
    <col min="3625" max="3669" width="9.140625" style="1" customWidth="1"/>
    <col min="3670" max="3834" width="9" style="1"/>
    <col min="3835" max="3835" width="9.140625" style="1" customWidth="1"/>
    <col min="3836" max="3836" width="0.140625" style="1" customWidth="1"/>
    <col min="3837" max="3837" width="7.140625" style="1" customWidth="1"/>
    <col min="3838" max="3838" width="22" style="1" customWidth="1"/>
    <col min="3839" max="3839" width="19.42578125" style="1" customWidth="1"/>
    <col min="3840" max="3840" width="6.85546875" style="1" customWidth="1"/>
    <col min="3841" max="3841" width="6.7109375" style="1" customWidth="1"/>
    <col min="3842" max="3842" width="11.140625" style="1" customWidth="1"/>
    <col min="3843" max="3843" width="13.28515625" style="1" customWidth="1"/>
    <col min="3844" max="3844" width="14.7109375" style="1" customWidth="1"/>
    <col min="3845" max="3860" width="9" style="1"/>
    <col min="3861" max="3861" width="12.28515625" style="1" customWidth="1"/>
    <col min="3862" max="3880" width="9" style="1"/>
    <col min="3881" max="3925" width="9.140625" style="1" customWidth="1"/>
    <col min="3926" max="4090" width="9" style="1"/>
    <col min="4091" max="4091" width="9.140625" style="1" customWidth="1"/>
    <col min="4092" max="4092" width="0.140625" style="1" customWidth="1"/>
    <col min="4093" max="4093" width="7.140625" style="1" customWidth="1"/>
    <col min="4094" max="4094" width="22" style="1" customWidth="1"/>
    <col min="4095" max="4095" width="19.42578125" style="1" customWidth="1"/>
    <col min="4096" max="4096" width="6.85546875" style="1" customWidth="1"/>
    <col min="4097" max="4097" width="6.7109375" style="1" customWidth="1"/>
    <col min="4098" max="4098" width="11.140625" style="1" customWidth="1"/>
    <col min="4099" max="4099" width="13.28515625" style="1" customWidth="1"/>
    <col min="4100" max="4100" width="14.7109375" style="1" customWidth="1"/>
    <col min="4101" max="4116" width="9" style="1"/>
    <col min="4117" max="4117" width="12.28515625" style="1" customWidth="1"/>
    <col min="4118" max="4136" width="9" style="1"/>
    <col min="4137" max="4181" width="9.140625" style="1" customWidth="1"/>
    <col min="4182" max="4346" width="9" style="1"/>
    <col min="4347" max="4347" width="9.140625" style="1" customWidth="1"/>
    <col min="4348" max="4348" width="0.140625" style="1" customWidth="1"/>
    <col min="4349" max="4349" width="7.140625" style="1" customWidth="1"/>
    <col min="4350" max="4350" width="22" style="1" customWidth="1"/>
    <col min="4351" max="4351" width="19.42578125" style="1" customWidth="1"/>
    <col min="4352" max="4352" width="6.85546875" style="1" customWidth="1"/>
    <col min="4353" max="4353" width="6.7109375" style="1" customWidth="1"/>
    <col min="4354" max="4354" width="11.140625" style="1" customWidth="1"/>
    <col min="4355" max="4355" width="13.28515625" style="1" customWidth="1"/>
    <col min="4356" max="4356" width="14.7109375" style="1" customWidth="1"/>
    <col min="4357" max="4372" width="9" style="1"/>
    <col min="4373" max="4373" width="12.28515625" style="1" customWidth="1"/>
    <col min="4374" max="4392" width="9" style="1"/>
    <col min="4393" max="4437" width="9.140625" style="1" customWidth="1"/>
    <col min="4438" max="4602" width="9" style="1"/>
    <col min="4603" max="4603" width="9.140625" style="1" customWidth="1"/>
    <col min="4604" max="4604" width="0.140625" style="1" customWidth="1"/>
    <col min="4605" max="4605" width="7.140625" style="1" customWidth="1"/>
    <col min="4606" max="4606" width="22" style="1" customWidth="1"/>
    <col min="4607" max="4607" width="19.42578125" style="1" customWidth="1"/>
    <col min="4608" max="4608" width="6.85546875" style="1" customWidth="1"/>
    <col min="4609" max="4609" width="6.7109375" style="1" customWidth="1"/>
    <col min="4610" max="4610" width="11.140625" style="1" customWidth="1"/>
    <col min="4611" max="4611" width="13.28515625" style="1" customWidth="1"/>
    <col min="4612" max="4612" width="14.7109375" style="1" customWidth="1"/>
    <col min="4613" max="4628" width="9" style="1"/>
    <col min="4629" max="4629" width="12.28515625" style="1" customWidth="1"/>
    <col min="4630" max="4648" width="9" style="1"/>
    <col min="4649" max="4693" width="9.140625" style="1" customWidth="1"/>
    <col min="4694" max="4858" width="9" style="1"/>
    <col min="4859" max="4859" width="9.140625" style="1" customWidth="1"/>
    <col min="4860" max="4860" width="0.140625" style="1" customWidth="1"/>
    <col min="4861" max="4861" width="7.140625" style="1" customWidth="1"/>
    <col min="4862" max="4862" width="22" style="1" customWidth="1"/>
    <col min="4863" max="4863" width="19.42578125" style="1" customWidth="1"/>
    <col min="4864" max="4864" width="6.85546875" style="1" customWidth="1"/>
    <col min="4865" max="4865" width="6.7109375" style="1" customWidth="1"/>
    <col min="4866" max="4866" width="11.140625" style="1" customWidth="1"/>
    <col min="4867" max="4867" width="13.28515625" style="1" customWidth="1"/>
    <col min="4868" max="4868" width="14.7109375" style="1" customWidth="1"/>
    <col min="4869" max="4884" width="9" style="1"/>
    <col min="4885" max="4885" width="12.28515625" style="1" customWidth="1"/>
    <col min="4886" max="4904" width="9" style="1"/>
    <col min="4905" max="4949" width="9.140625" style="1" customWidth="1"/>
    <col min="4950" max="5114" width="9" style="1"/>
    <col min="5115" max="5115" width="9.140625" style="1" customWidth="1"/>
    <col min="5116" max="5116" width="0.140625" style="1" customWidth="1"/>
    <col min="5117" max="5117" width="7.140625" style="1" customWidth="1"/>
    <col min="5118" max="5118" width="22" style="1" customWidth="1"/>
    <col min="5119" max="5119" width="19.42578125" style="1" customWidth="1"/>
    <col min="5120" max="5120" width="6.85546875" style="1" customWidth="1"/>
    <col min="5121" max="5121" width="6.7109375" style="1" customWidth="1"/>
    <col min="5122" max="5122" width="11.140625" style="1" customWidth="1"/>
    <col min="5123" max="5123" width="13.28515625" style="1" customWidth="1"/>
    <col min="5124" max="5124" width="14.7109375" style="1" customWidth="1"/>
    <col min="5125" max="5140" width="9" style="1"/>
    <col min="5141" max="5141" width="12.28515625" style="1" customWidth="1"/>
    <col min="5142" max="5160" width="9" style="1"/>
    <col min="5161" max="5205" width="9.140625" style="1" customWidth="1"/>
    <col min="5206" max="5370" width="9" style="1"/>
    <col min="5371" max="5371" width="9.140625" style="1" customWidth="1"/>
    <col min="5372" max="5372" width="0.140625" style="1" customWidth="1"/>
    <col min="5373" max="5373" width="7.140625" style="1" customWidth="1"/>
    <col min="5374" max="5374" width="22" style="1" customWidth="1"/>
    <col min="5375" max="5375" width="19.42578125" style="1" customWidth="1"/>
    <col min="5376" max="5376" width="6.85546875" style="1" customWidth="1"/>
    <col min="5377" max="5377" width="6.7109375" style="1" customWidth="1"/>
    <col min="5378" max="5378" width="11.140625" style="1" customWidth="1"/>
    <col min="5379" max="5379" width="13.28515625" style="1" customWidth="1"/>
    <col min="5380" max="5380" width="14.7109375" style="1" customWidth="1"/>
    <col min="5381" max="5396" width="9" style="1"/>
    <col min="5397" max="5397" width="12.28515625" style="1" customWidth="1"/>
    <col min="5398" max="5416" width="9" style="1"/>
    <col min="5417" max="5461" width="9.140625" style="1" customWidth="1"/>
    <col min="5462" max="5626" width="9" style="1"/>
    <col min="5627" max="5627" width="9.140625" style="1" customWidth="1"/>
    <col min="5628" max="5628" width="0.140625" style="1" customWidth="1"/>
    <col min="5629" max="5629" width="7.140625" style="1" customWidth="1"/>
    <col min="5630" max="5630" width="22" style="1" customWidth="1"/>
    <col min="5631" max="5631" width="19.42578125" style="1" customWidth="1"/>
    <col min="5632" max="5632" width="6.85546875" style="1" customWidth="1"/>
    <col min="5633" max="5633" width="6.7109375" style="1" customWidth="1"/>
    <col min="5634" max="5634" width="11.140625" style="1" customWidth="1"/>
    <col min="5635" max="5635" width="13.28515625" style="1" customWidth="1"/>
    <col min="5636" max="5636" width="14.7109375" style="1" customWidth="1"/>
    <col min="5637" max="5652" width="9" style="1"/>
    <col min="5653" max="5653" width="12.28515625" style="1" customWidth="1"/>
    <col min="5654" max="5672" width="9" style="1"/>
    <col min="5673" max="5717" width="9.140625" style="1" customWidth="1"/>
    <col min="5718" max="5882" width="9" style="1"/>
    <col min="5883" max="5883" width="9.140625" style="1" customWidth="1"/>
    <col min="5884" max="5884" width="0.140625" style="1" customWidth="1"/>
    <col min="5885" max="5885" width="7.140625" style="1" customWidth="1"/>
    <col min="5886" max="5886" width="22" style="1" customWidth="1"/>
    <col min="5887" max="5887" width="19.42578125" style="1" customWidth="1"/>
    <col min="5888" max="5888" width="6.85546875" style="1" customWidth="1"/>
    <col min="5889" max="5889" width="6.7109375" style="1" customWidth="1"/>
    <col min="5890" max="5890" width="11.140625" style="1" customWidth="1"/>
    <col min="5891" max="5891" width="13.28515625" style="1" customWidth="1"/>
    <col min="5892" max="5892" width="14.7109375" style="1" customWidth="1"/>
    <col min="5893" max="5908" width="9" style="1"/>
    <col min="5909" max="5909" width="12.28515625" style="1" customWidth="1"/>
    <col min="5910" max="5928" width="9" style="1"/>
    <col min="5929" max="5973" width="9.140625" style="1" customWidth="1"/>
    <col min="5974" max="6138" width="9" style="1"/>
    <col min="6139" max="6139" width="9.140625" style="1" customWidth="1"/>
    <col min="6140" max="6140" width="0.140625" style="1" customWidth="1"/>
    <col min="6141" max="6141" width="7.140625" style="1" customWidth="1"/>
    <col min="6142" max="6142" width="22" style="1" customWidth="1"/>
    <col min="6143" max="6143" width="19.42578125" style="1" customWidth="1"/>
    <col min="6144" max="6144" width="6.85546875" style="1" customWidth="1"/>
    <col min="6145" max="6145" width="6.7109375" style="1" customWidth="1"/>
    <col min="6146" max="6146" width="11.140625" style="1" customWidth="1"/>
    <col min="6147" max="6147" width="13.28515625" style="1" customWidth="1"/>
    <col min="6148" max="6148" width="14.7109375" style="1" customWidth="1"/>
    <col min="6149" max="6164" width="9" style="1"/>
    <col min="6165" max="6165" width="12.28515625" style="1" customWidth="1"/>
    <col min="6166" max="6184" width="9" style="1"/>
    <col min="6185" max="6229" width="9.140625" style="1" customWidth="1"/>
    <col min="6230" max="6394" width="9" style="1"/>
    <col min="6395" max="6395" width="9.140625" style="1" customWidth="1"/>
    <col min="6396" max="6396" width="0.140625" style="1" customWidth="1"/>
    <col min="6397" max="6397" width="7.140625" style="1" customWidth="1"/>
    <col min="6398" max="6398" width="22" style="1" customWidth="1"/>
    <col min="6399" max="6399" width="19.42578125" style="1" customWidth="1"/>
    <col min="6400" max="6400" width="6.85546875" style="1" customWidth="1"/>
    <col min="6401" max="6401" width="6.7109375" style="1" customWidth="1"/>
    <col min="6402" max="6402" width="11.140625" style="1" customWidth="1"/>
    <col min="6403" max="6403" width="13.28515625" style="1" customWidth="1"/>
    <col min="6404" max="6404" width="14.7109375" style="1" customWidth="1"/>
    <col min="6405" max="6420" width="9" style="1"/>
    <col min="6421" max="6421" width="12.28515625" style="1" customWidth="1"/>
    <col min="6422" max="6440" width="9" style="1"/>
    <col min="6441" max="6485" width="9.140625" style="1" customWidth="1"/>
    <col min="6486" max="6650" width="9" style="1"/>
    <col min="6651" max="6651" width="9.140625" style="1" customWidth="1"/>
    <col min="6652" max="6652" width="0.140625" style="1" customWidth="1"/>
    <col min="6653" max="6653" width="7.140625" style="1" customWidth="1"/>
    <col min="6654" max="6654" width="22" style="1" customWidth="1"/>
    <col min="6655" max="6655" width="19.42578125" style="1" customWidth="1"/>
    <col min="6656" max="6656" width="6.85546875" style="1" customWidth="1"/>
    <col min="6657" max="6657" width="6.7109375" style="1" customWidth="1"/>
    <col min="6658" max="6658" width="11.140625" style="1" customWidth="1"/>
    <col min="6659" max="6659" width="13.28515625" style="1" customWidth="1"/>
    <col min="6660" max="6660" width="14.7109375" style="1" customWidth="1"/>
    <col min="6661" max="6676" width="9" style="1"/>
    <col min="6677" max="6677" width="12.28515625" style="1" customWidth="1"/>
    <col min="6678" max="6696" width="9" style="1"/>
    <col min="6697" max="6741" width="9.140625" style="1" customWidth="1"/>
    <col min="6742" max="6906" width="9" style="1"/>
    <col min="6907" max="6907" width="9.140625" style="1" customWidth="1"/>
    <col min="6908" max="6908" width="0.140625" style="1" customWidth="1"/>
    <col min="6909" max="6909" width="7.140625" style="1" customWidth="1"/>
    <col min="6910" max="6910" width="22" style="1" customWidth="1"/>
    <col min="6911" max="6911" width="19.42578125" style="1" customWidth="1"/>
    <col min="6912" max="6912" width="6.85546875" style="1" customWidth="1"/>
    <col min="6913" max="6913" width="6.7109375" style="1" customWidth="1"/>
    <col min="6914" max="6914" width="11.140625" style="1" customWidth="1"/>
    <col min="6915" max="6915" width="13.28515625" style="1" customWidth="1"/>
    <col min="6916" max="6916" width="14.7109375" style="1" customWidth="1"/>
    <col min="6917" max="6932" width="9" style="1"/>
    <col min="6933" max="6933" width="12.28515625" style="1" customWidth="1"/>
    <col min="6934" max="6952" width="9" style="1"/>
    <col min="6953" max="6997" width="9.140625" style="1" customWidth="1"/>
    <col min="6998" max="7162" width="9" style="1"/>
    <col min="7163" max="7163" width="9.140625" style="1" customWidth="1"/>
    <col min="7164" max="7164" width="0.140625" style="1" customWidth="1"/>
    <col min="7165" max="7165" width="7.140625" style="1" customWidth="1"/>
    <col min="7166" max="7166" width="22" style="1" customWidth="1"/>
    <col min="7167" max="7167" width="19.42578125" style="1" customWidth="1"/>
    <col min="7168" max="7168" width="6.85546875" style="1" customWidth="1"/>
    <col min="7169" max="7169" width="6.7109375" style="1" customWidth="1"/>
    <col min="7170" max="7170" width="11.140625" style="1" customWidth="1"/>
    <col min="7171" max="7171" width="13.28515625" style="1" customWidth="1"/>
    <col min="7172" max="7172" width="14.7109375" style="1" customWidth="1"/>
    <col min="7173" max="7188" width="9" style="1"/>
    <col min="7189" max="7189" width="12.28515625" style="1" customWidth="1"/>
    <col min="7190" max="7208" width="9" style="1"/>
    <col min="7209" max="7253" width="9.140625" style="1" customWidth="1"/>
    <col min="7254" max="7418" width="9" style="1"/>
    <col min="7419" max="7419" width="9.140625" style="1" customWidth="1"/>
    <col min="7420" max="7420" width="0.140625" style="1" customWidth="1"/>
    <col min="7421" max="7421" width="7.140625" style="1" customWidth="1"/>
    <col min="7422" max="7422" width="22" style="1" customWidth="1"/>
    <col min="7423" max="7423" width="19.42578125" style="1" customWidth="1"/>
    <col min="7424" max="7424" width="6.85546875" style="1" customWidth="1"/>
    <col min="7425" max="7425" width="6.7109375" style="1" customWidth="1"/>
    <col min="7426" max="7426" width="11.140625" style="1" customWidth="1"/>
    <col min="7427" max="7427" width="13.28515625" style="1" customWidth="1"/>
    <col min="7428" max="7428" width="14.7109375" style="1" customWidth="1"/>
    <col min="7429" max="7444" width="9" style="1"/>
    <col min="7445" max="7445" width="12.28515625" style="1" customWidth="1"/>
    <col min="7446" max="7464" width="9" style="1"/>
    <col min="7465" max="7509" width="9.140625" style="1" customWidth="1"/>
    <col min="7510" max="7674" width="9" style="1"/>
    <col min="7675" max="7675" width="9.140625" style="1" customWidth="1"/>
    <col min="7676" max="7676" width="0.140625" style="1" customWidth="1"/>
    <col min="7677" max="7677" width="7.140625" style="1" customWidth="1"/>
    <col min="7678" max="7678" width="22" style="1" customWidth="1"/>
    <col min="7679" max="7679" width="19.42578125" style="1" customWidth="1"/>
    <col min="7680" max="7680" width="6.85546875" style="1" customWidth="1"/>
    <col min="7681" max="7681" width="6.7109375" style="1" customWidth="1"/>
    <col min="7682" max="7682" width="11.140625" style="1" customWidth="1"/>
    <col min="7683" max="7683" width="13.28515625" style="1" customWidth="1"/>
    <col min="7684" max="7684" width="14.7109375" style="1" customWidth="1"/>
    <col min="7685" max="7700" width="9" style="1"/>
    <col min="7701" max="7701" width="12.28515625" style="1" customWidth="1"/>
    <col min="7702" max="7720" width="9" style="1"/>
    <col min="7721" max="7765" width="9.140625" style="1" customWidth="1"/>
    <col min="7766" max="7930" width="9" style="1"/>
    <col min="7931" max="7931" width="9.140625" style="1" customWidth="1"/>
    <col min="7932" max="7932" width="0.140625" style="1" customWidth="1"/>
    <col min="7933" max="7933" width="7.140625" style="1" customWidth="1"/>
    <col min="7934" max="7934" width="22" style="1" customWidth="1"/>
    <col min="7935" max="7935" width="19.42578125" style="1" customWidth="1"/>
    <col min="7936" max="7936" width="6.85546875" style="1" customWidth="1"/>
    <col min="7937" max="7937" width="6.7109375" style="1" customWidth="1"/>
    <col min="7938" max="7938" width="11.140625" style="1" customWidth="1"/>
    <col min="7939" max="7939" width="13.28515625" style="1" customWidth="1"/>
    <col min="7940" max="7940" width="14.7109375" style="1" customWidth="1"/>
    <col min="7941" max="7956" width="9" style="1"/>
    <col min="7957" max="7957" width="12.28515625" style="1" customWidth="1"/>
    <col min="7958" max="7976" width="9" style="1"/>
    <col min="7977" max="8021" width="9.140625" style="1" customWidth="1"/>
    <col min="8022" max="8186" width="9" style="1"/>
    <col min="8187" max="8187" width="9.140625" style="1" customWidth="1"/>
    <col min="8188" max="8188" width="0.140625" style="1" customWidth="1"/>
    <col min="8189" max="8189" width="7.140625" style="1" customWidth="1"/>
    <col min="8190" max="8190" width="22" style="1" customWidth="1"/>
    <col min="8191" max="8191" width="19.42578125" style="1" customWidth="1"/>
    <col min="8192" max="8192" width="6.85546875" style="1" customWidth="1"/>
    <col min="8193" max="8193" width="6.7109375" style="1" customWidth="1"/>
    <col min="8194" max="8194" width="11.140625" style="1" customWidth="1"/>
    <col min="8195" max="8195" width="13.28515625" style="1" customWidth="1"/>
    <col min="8196" max="8196" width="14.7109375" style="1" customWidth="1"/>
    <col min="8197" max="8212" width="9" style="1"/>
    <col min="8213" max="8213" width="12.28515625" style="1" customWidth="1"/>
    <col min="8214" max="8232" width="9" style="1"/>
    <col min="8233" max="8277" width="9.140625" style="1" customWidth="1"/>
    <col min="8278" max="8442" width="9" style="1"/>
    <col min="8443" max="8443" width="9.140625" style="1" customWidth="1"/>
    <col min="8444" max="8444" width="0.140625" style="1" customWidth="1"/>
    <col min="8445" max="8445" width="7.140625" style="1" customWidth="1"/>
    <col min="8446" max="8446" width="22" style="1" customWidth="1"/>
    <col min="8447" max="8447" width="19.42578125" style="1" customWidth="1"/>
    <col min="8448" max="8448" width="6.85546875" style="1" customWidth="1"/>
    <col min="8449" max="8449" width="6.7109375" style="1" customWidth="1"/>
    <col min="8450" max="8450" width="11.140625" style="1" customWidth="1"/>
    <col min="8451" max="8451" width="13.28515625" style="1" customWidth="1"/>
    <col min="8452" max="8452" width="14.7109375" style="1" customWidth="1"/>
    <col min="8453" max="8468" width="9" style="1"/>
    <col min="8469" max="8469" width="12.28515625" style="1" customWidth="1"/>
    <col min="8470" max="8488" width="9" style="1"/>
    <col min="8489" max="8533" width="9.140625" style="1" customWidth="1"/>
    <col min="8534" max="8698" width="9" style="1"/>
    <col min="8699" max="8699" width="9.140625" style="1" customWidth="1"/>
    <col min="8700" max="8700" width="0.140625" style="1" customWidth="1"/>
    <col min="8701" max="8701" width="7.140625" style="1" customWidth="1"/>
    <col min="8702" max="8702" width="22" style="1" customWidth="1"/>
    <col min="8703" max="8703" width="19.42578125" style="1" customWidth="1"/>
    <col min="8704" max="8704" width="6.85546875" style="1" customWidth="1"/>
    <col min="8705" max="8705" width="6.7109375" style="1" customWidth="1"/>
    <col min="8706" max="8706" width="11.140625" style="1" customWidth="1"/>
    <col min="8707" max="8707" width="13.28515625" style="1" customWidth="1"/>
    <col min="8708" max="8708" width="14.7109375" style="1" customWidth="1"/>
    <col min="8709" max="8724" width="9" style="1"/>
    <col min="8725" max="8725" width="12.28515625" style="1" customWidth="1"/>
    <col min="8726" max="8744" width="9" style="1"/>
    <col min="8745" max="8789" width="9.140625" style="1" customWidth="1"/>
    <col min="8790" max="8954" width="9" style="1"/>
    <col min="8955" max="8955" width="9.140625" style="1" customWidth="1"/>
    <col min="8956" max="8956" width="0.140625" style="1" customWidth="1"/>
    <col min="8957" max="8957" width="7.140625" style="1" customWidth="1"/>
    <col min="8958" max="8958" width="22" style="1" customWidth="1"/>
    <col min="8959" max="8959" width="19.42578125" style="1" customWidth="1"/>
    <col min="8960" max="8960" width="6.85546875" style="1" customWidth="1"/>
    <col min="8961" max="8961" width="6.7109375" style="1" customWidth="1"/>
    <col min="8962" max="8962" width="11.140625" style="1" customWidth="1"/>
    <col min="8963" max="8963" width="13.28515625" style="1" customWidth="1"/>
    <col min="8964" max="8964" width="14.7109375" style="1" customWidth="1"/>
    <col min="8965" max="8980" width="9" style="1"/>
    <col min="8981" max="8981" width="12.28515625" style="1" customWidth="1"/>
    <col min="8982" max="9000" width="9" style="1"/>
    <col min="9001" max="9045" width="9.140625" style="1" customWidth="1"/>
    <col min="9046" max="9210" width="9" style="1"/>
    <col min="9211" max="9211" width="9.140625" style="1" customWidth="1"/>
    <col min="9212" max="9212" width="0.140625" style="1" customWidth="1"/>
    <col min="9213" max="9213" width="7.140625" style="1" customWidth="1"/>
    <col min="9214" max="9214" width="22" style="1" customWidth="1"/>
    <col min="9215" max="9215" width="19.42578125" style="1" customWidth="1"/>
    <col min="9216" max="9216" width="6.85546875" style="1" customWidth="1"/>
    <col min="9217" max="9217" width="6.7109375" style="1" customWidth="1"/>
    <col min="9218" max="9218" width="11.140625" style="1" customWidth="1"/>
    <col min="9219" max="9219" width="13.28515625" style="1" customWidth="1"/>
    <col min="9220" max="9220" width="14.7109375" style="1" customWidth="1"/>
    <col min="9221" max="9236" width="9" style="1"/>
    <col min="9237" max="9237" width="12.28515625" style="1" customWidth="1"/>
    <col min="9238" max="9256" width="9" style="1"/>
    <col min="9257" max="9301" width="9.140625" style="1" customWidth="1"/>
    <col min="9302" max="9466" width="9" style="1"/>
    <col min="9467" max="9467" width="9.140625" style="1" customWidth="1"/>
    <col min="9468" max="9468" width="0.140625" style="1" customWidth="1"/>
    <col min="9469" max="9469" width="7.140625" style="1" customWidth="1"/>
    <col min="9470" max="9470" width="22" style="1" customWidth="1"/>
    <col min="9471" max="9471" width="19.42578125" style="1" customWidth="1"/>
    <col min="9472" max="9472" width="6.85546875" style="1" customWidth="1"/>
    <col min="9473" max="9473" width="6.7109375" style="1" customWidth="1"/>
    <col min="9474" max="9474" width="11.140625" style="1" customWidth="1"/>
    <col min="9475" max="9475" width="13.28515625" style="1" customWidth="1"/>
    <col min="9476" max="9476" width="14.7109375" style="1" customWidth="1"/>
    <col min="9477" max="9492" width="9" style="1"/>
    <col min="9493" max="9493" width="12.28515625" style="1" customWidth="1"/>
    <col min="9494" max="9512" width="9" style="1"/>
    <col min="9513" max="9557" width="9.140625" style="1" customWidth="1"/>
    <col min="9558" max="9722" width="9" style="1"/>
    <col min="9723" max="9723" width="9.140625" style="1" customWidth="1"/>
    <col min="9724" max="9724" width="0.140625" style="1" customWidth="1"/>
    <col min="9725" max="9725" width="7.140625" style="1" customWidth="1"/>
    <col min="9726" max="9726" width="22" style="1" customWidth="1"/>
    <col min="9727" max="9727" width="19.42578125" style="1" customWidth="1"/>
    <col min="9728" max="9728" width="6.85546875" style="1" customWidth="1"/>
    <col min="9729" max="9729" width="6.7109375" style="1" customWidth="1"/>
    <col min="9730" max="9730" width="11.140625" style="1" customWidth="1"/>
    <col min="9731" max="9731" width="13.28515625" style="1" customWidth="1"/>
    <col min="9732" max="9732" width="14.7109375" style="1" customWidth="1"/>
    <col min="9733" max="9748" width="9" style="1"/>
    <col min="9749" max="9749" width="12.28515625" style="1" customWidth="1"/>
    <col min="9750" max="9768" width="9" style="1"/>
    <col min="9769" max="9813" width="9.140625" style="1" customWidth="1"/>
    <col min="9814" max="9978" width="9" style="1"/>
    <col min="9979" max="9979" width="9.140625" style="1" customWidth="1"/>
    <col min="9980" max="9980" width="0.140625" style="1" customWidth="1"/>
    <col min="9981" max="9981" width="7.140625" style="1" customWidth="1"/>
    <col min="9982" max="9982" width="22" style="1" customWidth="1"/>
    <col min="9983" max="9983" width="19.42578125" style="1" customWidth="1"/>
    <col min="9984" max="9984" width="6.85546875" style="1" customWidth="1"/>
    <col min="9985" max="9985" width="6.7109375" style="1" customWidth="1"/>
    <col min="9986" max="9986" width="11.140625" style="1" customWidth="1"/>
    <col min="9987" max="9987" width="13.28515625" style="1" customWidth="1"/>
    <col min="9988" max="9988" width="14.7109375" style="1" customWidth="1"/>
    <col min="9989" max="10004" width="9" style="1"/>
    <col min="10005" max="10005" width="12.28515625" style="1" customWidth="1"/>
    <col min="10006" max="10024" width="9" style="1"/>
    <col min="10025" max="10069" width="9.140625" style="1" customWidth="1"/>
    <col min="10070" max="10234" width="9" style="1"/>
    <col min="10235" max="10235" width="9.140625" style="1" customWidth="1"/>
    <col min="10236" max="10236" width="0.140625" style="1" customWidth="1"/>
    <col min="10237" max="10237" width="7.140625" style="1" customWidth="1"/>
    <col min="10238" max="10238" width="22" style="1" customWidth="1"/>
    <col min="10239" max="10239" width="19.42578125" style="1" customWidth="1"/>
    <col min="10240" max="10240" width="6.85546875" style="1" customWidth="1"/>
    <col min="10241" max="10241" width="6.7109375" style="1" customWidth="1"/>
    <col min="10242" max="10242" width="11.140625" style="1" customWidth="1"/>
    <col min="10243" max="10243" width="13.28515625" style="1" customWidth="1"/>
    <col min="10244" max="10244" width="14.7109375" style="1" customWidth="1"/>
    <col min="10245" max="10260" width="9" style="1"/>
    <col min="10261" max="10261" width="12.28515625" style="1" customWidth="1"/>
    <col min="10262" max="10280" width="9" style="1"/>
    <col min="10281" max="10325" width="9.140625" style="1" customWidth="1"/>
    <col min="10326" max="10490" width="9" style="1"/>
    <col min="10491" max="10491" width="9.140625" style="1" customWidth="1"/>
    <col min="10492" max="10492" width="0.140625" style="1" customWidth="1"/>
    <col min="10493" max="10493" width="7.140625" style="1" customWidth="1"/>
    <col min="10494" max="10494" width="22" style="1" customWidth="1"/>
    <col min="10495" max="10495" width="19.42578125" style="1" customWidth="1"/>
    <col min="10496" max="10496" width="6.85546875" style="1" customWidth="1"/>
    <col min="10497" max="10497" width="6.7109375" style="1" customWidth="1"/>
    <col min="10498" max="10498" width="11.140625" style="1" customWidth="1"/>
    <col min="10499" max="10499" width="13.28515625" style="1" customWidth="1"/>
    <col min="10500" max="10500" width="14.7109375" style="1" customWidth="1"/>
    <col min="10501" max="10516" width="9" style="1"/>
    <col min="10517" max="10517" width="12.28515625" style="1" customWidth="1"/>
    <col min="10518" max="10536" width="9" style="1"/>
    <col min="10537" max="10581" width="9.140625" style="1" customWidth="1"/>
    <col min="10582" max="10746" width="9" style="1"/>
    <col min="10747" max="10747" width="9.140625" style="1" customWidth="1"/>
    <col min="10748" max="10748" width="0.140625" style="1" customWidth="1"/>
    <col min="10749" max="10749" width="7.140625" style="1" customWidth="1"/>
    <col min="10750" max="10750" width="22" style="1" customWidth="1"/>
    <col min="10751" max="10751" width="19.42578125" style="1" customWidth="1"/>
    <col min="10752" max="10752" width="6.85546875" style="1" customWidth="1"/>
    <col min="10753" max="10753" width="6.7109375" style="1" customWidth="1"/>
    <col min="10754" max="10754" width="11.140625" style="1" customWidth="1"/>
    <col min="10755" max="10755" width="13.28515625" style="1" customWidth="1"/>
    <col min="10756" max="10756" width="14.7109375" style="1" customWidth="1"/>
    <col min="10757" max="10772" width="9" style="1"/>
    <col min="10773" max="10773" width="12.28515625" style="1" customWidth="1"/>
    <col min="10774" max="10792" width="9" style="1"/>
    <col min="10793" max="10837" width="9.140625" style="1" customWidth="1"/>
    <col min="10838" max="11002" width="9" style="1"/>
    <col min="11003" max="11003" width="9.140625" style="1" customWidth="1"/>
    <col min="11004" max="11004" width="0.140625" style="1" customWidth="1"/>
    <col min="11005" max="11005" width="7.140625" style="1" customWidth="1"/>
    <col min="11006" max="11006" width="22" style="1" customWidth="1"/>
    <col min="11007" max="11007" width="19.42578125" style="1" customWidth="1"/>
    <col min="11008" max="11008" width="6.85546875" style="1" customWidth="1"/>
    <col min="11009" max="11009" width="6.7109375" style="1" customWidth="1"/>
    <col min="11010" max="11010" width="11.140625" style="1" customWidth="1"/>
    <col min="11011" max="11011" width="13.28515625" style="1" customWidth="1"/>
    <col min="11012" max="11012" width="14.7109375" style="1" customWidth="1"/>
    <col min="11013" max="11028" width="9" style="1"/>
    <col min="11029" max="11029" width="12.28515625" style="1" customWidth="1"/>
    <col min="11030" max="11048" width="9" style="1"/>
    <col min="11049" max="11093" width="9.140625" style="1" customWidth="1"/>
    <col min="11094" max="11258" width="9" style="1"/>
    <col min="11259" max="11259" width="9.140625" style="1" customWidth="1"/>
    <col min="11260" max="11260" width="0.140625" style="1" customWidth="1"/>
    <col min="11261" max="11261" width="7.140625" style="1" customWidth="1"/>
    <col min="11262" max="11262" width="22" style="1" customWidth="1"/>
    <col min="11263" max="11263" width="19.42578125" style="1" customWidth="1"/>
    <col min="11264" max="11264" width="6.85546875" style="1" customWidth="1"/>
    <col min="11265" max="11265" width="6.7109375" style="1" customWidth="1"/>
    <col min="11266" max="11266" width="11.140625" style="1" customWidth="1"/>
    <col min="11267" max="11267" width="13.28515625" style="1" customWidth="1"/>
    <col min="11268" max="11268" width="14.7109375" style="1" customWidth="1"/>
    <col min="11269" max="11284" width="9" style="1"/>
    <col min="11285" max="11285" width="12.28515625" style="1" customWidth="1"/>
    <col min="11286" max="11304" width="9" style="1"/>
    <col min="11305" max="11349" width="9.140625" style="1" customWidth="1"/>
    <col min="11350" max="11514" width="9" style="1"/>
    <col min="11515" max="11515" width="9.140625" style="1" customWidth="1"/>
    <col min="11516" max="11516" width="0.140625" style="1" customWidth="1"/>
    <col min="11517" max="11517" width="7.140625" style="1" customWidth="1"/>
    <col min="11518" max="11518" width="22" style="1" customWidth="1"/>
    <col min="11519" max="11519" width="19.42578125" style="1" customWidth="1"/>
    <col min="11520" max="11520" width="6.85546875" style="1" customWidth="1"/>
    <col min="11521" max="11521" width="6.7109375" style="1" customWidth="1"/>
    <col min="11522" max="11522" width="11.140625" style="1" customWidth="1"/>
    <col min="11523" max="11523" width="13.28515625" style="1" customWidth="1"/>
    <col min="11524" max="11524" width="14.7109375" style="1" customWidth="1"/>
    <col min="11525" max="11540" width="9" style="1"/>
    <col min="11541" max="11541" width="12.28515625" style="1" customWidth="1"/>
    <col min="11542" max="11560" width="9" style="1"/>
    <col min="11561" max="11605" width="9.140625" style="1" customWidth="1"/>
    <col min="11606" max="11770" width="9" style="1"/>
    <col min="11771" max="11771" width="9.140625" style="1" customWidth="1"/>
    <col min="11772" max="11772" width="0.140625" style="1" customWidth="1"/>
    <col min="11773" max="11773" width="7.140625" style="1" customWidth="1"/>
    <col min="11774" max="11774" width="22" style="1" customWidth="1"/>
    <col min="11775" max="11775" width="19.42578125" style="1" customWidth="1"/>
    <col min="11776" max="11776" width="6.85546875" style="1" customWidth="1"/>
    <col min="11777" max="11777" width="6.7109375" style="1" customWidth="1"/>
    <col min="11778" max="11778" width="11.140625" style="1" customWidth="1"/>
    <col min="11779" max="11779" width="13.28515625" style="1" customWidth="1"/>
    <col min="11780" max="11780" width="14.7109375" style="1" customWidth="1"/>
    <col min="11781" max="11796" width="9" style="1"/>
    <col min="11797" max="11797" width="12.28515625" style="1" customWidth="1"/>
    <col min="11798" max="11816" width="9" style="1"/>
    <col min="11817" max="11861" width="9.140625" style="1" customWidth="1"/>
    <col min="11862" max="12026" width="9" style="1"/>
    <col min="12027" max="12027" width="9.140625" style="1" customWidth="1"/>
    <col min="12028" max="12028" width="0.140625" style="1" customWidth="1"/>
    <col min="12029" max="12029" width="7.140625" style="1" customWidth="1"/>
    <col min="12030" max="12030" width="22" style="1" customWidth="1"/>
    <col min="12031" max="12031" width="19.42578125" style="1" customWidth="1"/>
    <col min="12032" max="12032" width="6.85546875" style="1" customWidth="1"/>
    <col min="12033" max="12033" width="6.7109375" style="1" customWidth="1"/>
    <col min="12034" max="12034" width="11.140625" style="1" customWidth="1"/>
    <col min="12035" max="12035" width="13.28515625" style="1" customWidth="1"/>
    <col min="12036" max="12036" width="14.7109375" style="1" customWidth="1"/>
    <col min="12037" max="12052" width="9" style="1"/>
    <col min="12053" max="12053" width="12.28515625" style="1" customWidth="1"/>
    <col min="12054" max="12072" width="9" style="1"/>
    <col min="12073" max="12117" width="9.140625" style="1" customWidth="1"/>
    <col min="12118" max="12282" width="9" style="1"/>
    <col min="12283" max="12283" width="9.140625" style="1" customWidth="1"/>
    <col min="12284" max="12284" width="0.140625" style="1" customWidth="1"/>
    <col min="12285" max="12285" width="7.140625" style="1" customWidth="1"/>
    <col min="12286" max="12286" width="22" style="1" customWidth="1"/>
    <col min="12287" max="12287" width="19.42578125" style="1" customWidth="1"/>
    <col min="12288" max="12288" width="6.85546875" style="1" customWidth="1"/>
    <col min="12289" max="12289" width="6.7109375" style="1" customWidth="1"/>
    <col min="12290" max="12290" width="11.140625" style="1" customWidth="1"/>
    <col min="12291" max="12291" width="13.28515625" style="1" customWidth="1"/>
    <col min="12292" max="12292" width="14.7109375" style="1" customWidth="1"/>
    <col min="12293" max="12308" width="9" style="1"/>
    <col min="12309" max="12309" width="12.28515625" style="1" customWidth="1"/>
    <col min="12310" max="12328" width="9" style="1"/>
    <col min="12329" max="12373" width="9.140625" style="1" customWidth="1"/>
    <col min="12374" max="12538" width="9" style="1"/>
    <col min="12539" max="12539" width="9.140625" style="1" customWidth="1"/>
    <col min="12540" max="12540" width="0.140625" style="1" customWidth="1"/>
    <col min="12541" max="12541" width="7.140625" style="1" customWidth="1"/>
    <col min="12542" max="12542" width="22" style="1" customWidth="1"/>
    <col min="12543" max="12543" width="19.42578125" style="1" customWidth="1"/>
    <col min="12544" max="12544" width="6.85546875" style="1" customWidth="1"/>
    <col min="12545" max="12545" width="6.7109375" style="1" customWidth="1"/>
    <col min="12546" max="12546" width="11.140625" style="1" customWidth="1"/>
    <col min="12547" max="12547" width="13.28515625" style="1" customWidth="1"/>
    <col min="12548" max="12548" width="14.7109375" style="1" customWidth="1"/>
    <col min="12549" max="12564" width="9" style="1"/>
    <col min="12565" max="12565" width="12.28515625" style="1" customWidth="1"/>
    <col min="12566" max="12584" width="9" style="1"/>
    <col min="12585" max="12629" width="9.140625" style="1" customWidth="1"/>
    <col min="12630" max="12794" width="9" style="1"/>
    <col min="12795" max="12795" width="9.140625" style="1" customWidth="1"/>
    <col min="12796" max="12796" width="0.140625" style="1" customWidth="1"/>
    <col min="12797" max="12797" width="7.140625" style="1" customWidth="1"/>
    <col min="12798" max="12798" width="22" style="1" customWidth="1"/>
    <col min="12799" max="12799" width="19.42578125" style="1" customWidth="1"/>
    <col min="12800" max="12800" width="6.85546875" style="1" customWidth="1"/>
    <col min="12801" max="12801" width="6.7109375" style="1" customWidth="1"/>
    <col min="12802" max="12802" width="11.140625" style="1" customWidth="1"/>
    <col min="12803" max="12803" width="13.28515625" style="1" customWidth="1"/>
    <col min="12804" max="12804" width="14.7109375" style="1" customWidth="1"/>
    <col min="12805" max="12820" width="9" style="1"/>
    <col min="12821" max="12821" width="12.28515625" style="1" customWidth="1"/>
    <col min="12822" max="12840" width="9" style="1"/>
    <col min="12841" max="12885" width="9.140625" style="1" customWidth="1"/>
    <col min="12886" max="13050" width="9" style="1"/>
    <col min="13051" max="13051" width="9.140625" style="1" customWidth="1"/>
    <col min="13052" max="13052" width="0.140625" style="1" customWidth="1"/>
    <col min="13053" max="13053" width="7.140625" style="1" customWidth="1"/>
    <col min="13054" max="13054" width="22" style="1" customWidth="1"/>
    <col min="13055" max="13055" width="19.42578125" style="1" customWidth="1"/>
    <col min="13056" max="13056" width="6.85546875" style="1" customWidth="1"/>
    <col min="13057" max="13057" width="6.7109375" style="1" customWidth="1"/>
    <col min="13058" max="13058" width="11.140625" style="1" customWidth="1"/>
    <col min="13059" max="13059" width="13.28515625" style="1" customWidth="1"/>
    <col min="13060" max="13060" width="14.7109375" style="1" customWidth="1"/>
    <col min="13061" max="13076" width="9" style="1"/>
    <col min="13077" max="13077" width="12.28515625" style="1" customWidth="1"/>
    <col min="13078" max="13096" width="9" style="1"/>
    <col min="13097" max="13141" width="9.140625" style="1" customWidth="1"/>
    <col min="13142" max="13306" width="9" style="1"/>
    <col min="13307" max="13307" width="9.140625" style="1" customWidth="1"/>
    <col min="13308" max="13308" width="0.140625" style="1" customWidth="1"/>
    <col min="13309" max="13309" width="7.140625" style="1" customWidth="1"/>
    <col min="13310" max="13310" width="22" style="1" customWidth="1"/>
    <col min="13311" max="13311" width="19.42578125" style="1" customWidth="1"/>
    <col min="13312" max="13312" width="6.85546875" style="1" customWidth="1"/>
    <col min="13313" max="13313" width="6.7109375" style="1" customWidth="1"/>
    <col min="13314" max="13314" width="11.140625" style="1" customWidth="1"/>
    <col min="13315" max="13315" width="13.28515625" style="1" customWidth="1"/>
    <col min="13316" max="13316" width="14.7109375" style="1" customWidth="1"/>
    <col min="13317" max="13332" width="9" style="1"/>
    <col min="13333" max="13333" width="12.28515625" style="1" customWidth="1"/>
    <col min="13334" max="13352" width="9" style="1"/>
    <col min="13353" max="13397" width="9.140625" style="1" customWidth="1"/>
    <col min="13398" max="13562" width="9" style="1"/>
    <col min="13563" max="13563" width="9.140625" style="1" customWidth="1"/>
    <col min="13564" max="13564" width="0.140625" style="1" customWidth="1"/>
    <col min="13565" max="13565" width="7.140625" style="1" customWidth="1"/>
    <col min="13566" max="13566" width="22" style="1" customWidth="1"/>
    <col min="13567" max="13567" width="19.42578125" style="1" customWidth="1"/>
    <col min="13568" max="13568" width="6.85546875" style="1" customWidth="1"/>
    <col min="13569" max="13569" width="6.7109375" style="1" customWidth="1"/>
    <col min="13570" max="13570" width="11.140625" style="1" customWidth="1"/>
    <col min="13571" max="13571" width="13.28515625" style="1" customWidth="1"/>
    <col min="13572" max="13572" width="14.7109375" style="1" customWidth="1"/>
    <col min="13573" max="13588" width="9" style="1"/>
    <col min="13589" max="13589" width="12.28515625" style="1" customWidth="1"/>
    <col min="13590" max="13608" width="9" style="1"/>
    <col min="13609" max="13653" width="9.140625" style="1" customWidth="1"/>
    <col min="13654" max="13818" width="9" style="1"/>
    <col min="13819" max="13819" width="9.140625" style="1" customWidth="1"/>
    <col min="13820" max="13820" width="0.140625" style="1" customWidth="1"/>
    <col min="13821" max="13821" width="7.140625" style="1" customWidth="1"/>
    <col min="13822" max="13822" width="22" style="1" customWidth="1"/>
    <col min="13823" max="13823" width="19.42578125" style="1" customWidth="1"/>
    <col min="13824" max="13824" width="6.85546875" style="1" customWidth="1"/>
    <col min="13825" max="13825" width="6.7109375" style="1" customWidth="1"/>
    <col min="13826" max="13826" width="11.140625" style="1" customWidth="1"/>
    <col min="13827" max="13827" width="13.28515625" style="1" customWidth="1"/>
    <col min="13828" max="13828" width="14.7109375" style="1" customWidth="1"/>
    <col min="13829" max="13844" width="9" style="1"/>
    <col min="13845" max="13845" width="12.28515625" style="1" customWidth="1"/>
    <col min="13846" max="13864" width="9" style="1"/>
    <col min="13865" max="13909" width="9.140625" style="1" customWidth="1"/>
    <col min="13910" max="14074" width="9" style="1"/>
    <col min="14075" max="14075" width="9.140625" style="1" customWidth="1"/>
    <col min="14076" max="14076" width="0.140625" style="1" customWidth="1"/>
    <col min="14077" max="14077" width="7.140625" style="1" customWidth="1"/>
    <col min="14078" max="14078" width="22" style="1" customWidth="1"/>
    <col min="14079" max="14079" width="19.42578125" style="1" customWidth="1"/>
    <col min="14080" max="14080" width="6.85546875" style="1" customWidth="1"/>
    <col min="14081" max="14081" width="6.7109375" style="1" customWidth="1"/>
    <col min="14082" max="14082" width="11.140625" style="1" customWidth="1"/>
    <col min="14083" max="14083" width="13.28515625" style="1" customWidth="1"/>
    <col min="14084" max="14084" width="14.7109375" style="1" customWidth="1"/>
    <col min="14085" max="14100" width="9" style="1"/>
    <col min="14101" max="14101" width="12.28515625" style="1" customWidth="1"/>
    <col min="14102" max="14120" width="9" style="1"/>
    <col min="14121" max="14165" width="9.140625" style="1" customWidth="1"/>
    <col min="14166" max="14330" width="9" style="1"/>
    <col min="14331" max="14331" width="9.140625" style="1" customWidth="1"/>
    <col min="14332" max="14332" width="0.140625" style="1" customWidth="1"/>
    <col min="14333" max="14333" width="7.140625" style="1" customWidth="1"/>
    <col min="14334" max="14334" width="22" style="1" customWidth="1"/>
    <col min="14335" max="14335" width="19.42578125" style="1" customWidth="1"/>
    <col min="14336" max="14336" width="6.85546875" style="1" customWidth="1"/>
    <col min="14337" max="14337" width="6.7109375" style="1" customWidth="1"/>
    <col min="14338" max="14338" width="11.140625" style="1" customWidth="1"/>
    <col min="14339" max="14339" width="13.28515625" style="1" customWidth="1"/>
    <col min="14340" max="14340" width="14.7109375" style="1" customWidth="1"/>
    <col min="14341" max="14356" width="9" style="1"/>
    <col min="14357" max="14357" width="12.28515625" style="1" customWidth="1"/>
    <col min="14358" max="14376" width="9" style="1"/>
    <col min="14377" max="14421" width="9.140625" style="1" customWidth="1"/>
    <col min="14422" max="14586" width="9" style="1"/>
    <col min="14587" max="14587" width="9.140625" style="1" customWidth="1"/>
    <col min="14588" max="14588" width="0.140625" style="1" customWidth="1"/>
    <col min="14589" max="14589" width="7.140625" style="1" customWidth="1"/>
    <col min="14590" max="14590" width="22" style="1" customWidth="1"/>
    <col min="14591" max="14591" width="19.42578125" style="1" customWidth="1"/>
    <col min="14592" max="14592" width="6.85546875" style="1" customWidth="1"/>
    <col min="14593" max="14593" width="6.7109375" style="1" customWidth="1"/>
    <col min="14594" max="14594" width="11.140625" style="1" customWidth="1"/>
    <col min="14595" max="14595" width="13.28515625" style="1" customWidth="1"/>
    <col min="14596" max="14596" width="14.7109375" style="1" customWidth="1"/>
    <col min="14597" max="14612" width="9" style="1"/>
    <col min="14613" max="14613" width="12.28515625" style="1" customWidth="1"/>
    <col min="14614" max="14632" width="9" style="1"/>
    <col min="14633" max="14677" width="9.140625" style="1" customWidth="1"/>
    <col min="14678" max="14842" width="9" style="1"/>
    <col min="14843" max="14843" width="9.140625" style="1" customWidth="1"/>
    <col min="14844" max="14844" width="0.140625" style="1" customWidth="1"/>
    <col min="14845" max="14845" width="7.140625" style="1" customWidth="1"/>
    <col min="14846" max="14846" width="22" style="1" customWidth="1"/>
    <col min="14847" max="14847" width="19.42578125" style="1" customWidth="1"/>
    <col min="14848" max="14848" width="6.85546875" style="1" customWidth="1"/>
    <col min="14849" max="14849" width="6.7109375" style="1" customWidth="1"/>
    <col min="14850" max="14850" width="11.140625" style="1" customWidth="1"/>
    <col min="14851" max="14851" width="13.28515625" style="1" customWidth="1"/>
    <col min="14852" max="14852" width="14.7109375" style="1" customWidth="1"/>
    <col min="14853" max="14868" width="9" style="1"/>
    <col min="14869" max="14869" width="12.28515625" style="1" customWidth="1"/>
    <col min="14870" max="14888" width="9" style="1"/>
    <col min="14889" max="14933" width="9.140625" style="1" customWidth="1"/>
    <col min="14934" max="15098" width="9" style="1"/>
    <col min="15099" max="15099" width="9.140625" style="1" customWidth="1"/>
    <col min="15100" max="15100" width="0.140625" style="1" customWidth="1"/>
    <col min="15101" max="15101" width="7.140625" style="1" customWidth="1"/>
    <col min="15102" max="15102" width="22" style="1" customWidth="1"/>
    <col min="15103" max="15103" width="19.42578125" style="1" customWidth="1"/>
    <col min="15104" max="15104" width="6.85546875" style="1" customWidth="1"/>
    <col min="15105" max="15105" width="6.7109375" style="1" customWidth="1"/>
    <col min="15106" max="15106" width="11.140625" style="1" customWidth="1"/>
    <col min="15107" max="15107" width="13.28515625" style="1" customWidth="1"/>
    <col min="15108" max="15108" width="14.7109375" style="1" customWidth="1"/>
    <col min="15109" max="15124" width="9" style="1"/>
    <col min="15125" max="15125" width="12.28515625" style="1" customWidth="1"/>
    <col min="15126" max="15144" width="9" style="1"/>
    <col min="15145" max="15189" width="9.140625" style="1" customWidth="1"/>
    <col min="15190" max="15354" width="9" style="1"/>
    <col min="15355" max="15355" width="9.140625" style="1" customWidth="1"/>
    <col min="15356" max="15356" width="0.140625" style="1" customWidth="1"/>
    <col min="15357" max="15357" width="7.140625" style="1" customWidth="1"/>
    <col min="15358" max="15358" width="22" style="1" customWidth="1"/>
    <col min="15359" max="15359" width="19.42578125" style="1" customWidth="1"/>
    <col min="15360" max="15360" width="6.85546875" style="1" customWidth="1"/>
    <col min="15361" max="15361" width="6.7109375" style="1" customWidth="1"/>
    <col min="15362" max="15362" width="11.140625" style="1" customWidth="1"/>
    <col min="15363" max="15363" width="13.28515625" style="1" customWidth="1"/>
    <col min="15364" max="15364" width="14.7109375" style="1" customWidth="1"/>
    <col min="15365" max="15380" width="9" style="1"/>
    <col min="15381" max="15381" width="12.28515625" style="1" customWidth="1"/>
    <col min="15382" max="15400" width="9" style="1"/>
    <col min="15401" max="15445" width="9.140625" style="1" customWidth="1"/>
    <col min="15446" max="15610" width="9" style="1"/>
    <col min="15611" max="15611" width="9.140625" style="1" customWidth="1"/>
    <col min="15612" max="15612" width="0.140625" style="1" customWidth="1"/>
    <col min="15613" max="15613" width="7.140625" style="1" customWidth="1"/>
    <col min="15614" max="15614" width="22" style="1" customWidth="1"/>
    <col min="15615" max="15615" width="19.42578125" style="1" customWidth="1"/>
    <col min="15616" max="15616" width="6.85546875" style="1" customWidth="1"/>
    <col min="15617" max="15617" width="6.7109375" style="1" customWidth="1"/>
    <col min="15618" max="15618" width="11.140625" style="1" customWidth="1"/>
    <col min="15619" max="15619" width="13.28515625" style="1" customWidth="1"/>
    <col min="15620" max="15620" width="14.7109375" style="1" customWidth="1"/>
    <col min="15621" max="15636" width="9" style="1"/>
    <col min="15637" max="15637" width="12.28515625" style="1" customWidth="1"/>
    <col min="15638" max="15656" width="9" style="1"/>
    <col min="15657" max="15701" width="9.140625" style="1" customWidth="1"/>
    <col min="15702" max="15866" width="9" style="1"/>
    <col min="15867" max="15867" width="9.140625" style="1" customWidth="1"/>
    <col min="15868" max="15868" width="0.140625" style="1" customWidth="1"/>
    <col min="15869" max="15869" width="7.140625" style="1" customWidth="1"/>
    <col min="15870" max="15870" width="22" style="1" customWidth="1"/>
    <col min="15871" max="15871" width="19.42578125" style="1" customWidth="1"/>
    <col min="15872" max="15872" width="6.85546875" style="1" customWidth="1"/>
    <col min="15873" max="15873" width="6.7109375" style="1" customWidth="1"/>
    <col min="15874" max="15874" width="11.140625" style="1" customWidth="1"/>
    <col min="15875" max="15875" width="13.28515625" style="1" customWidth="1"/>
    <col min="15876" max="15876" width="14.7109375" style="1" customWidth="1"/>
    <col min="15877" max="15892" width="9" style="1"/>
    <col min="15893" max="15893" width="12.28515625" style="1" customWidth="1"/>
    <col min="15894" max="15912" width="9" style="1"/>
    <col min="15913" max="15957" width="9.140625" style="1" customWidth="1"/>
    <col min="15958" max="16122" width="9" style="1"/>
    <col min="16123" max="16123" width="9.140625" style="1" customWidth="1"/>
    <col min="16124" max="16124" width="0.140625" style="1" customWidth="1"/>
    <col min="16125" max="16125" width="7.140625" style="1" customWidth="1"/>
    <col min="16126" max="16126" width="22" style="1" customWidth="1"/>
    <col min="16127" max="16127" width="19.42578125" style="1" customWidth="1"/>
    <col min="16128" max="16128" width="6.85546875" style="1" customWidth="1"/>
    <col min="16129" max="16129" width="6.7109375" style="1" customWidth="1"/>
    <col min="16130" max="16130" width="11.140625" style="1" customWidth="1"/>
    <col min="16131" max="16131" width="13.28515625" style="1" customWidth="1"/>
    <col min="16132" max="16132" width="14.7109375" style="1" customWidth="1"/>
    <col min="16133" max="16148" width="9" style="1"/>
    <col min="16149" max="16149" width="12.28515625" style="1" customWidth="1"/>
    <col min="16150" max="16168" width="9" style="1"/>
    <col min="16169" max="16213" width="9.140625" style="1" customWidth="1"/>
    <col min="16214" max="16384" width="9" style="1"/>
  </cols>
  <sheetData>
    <row r="1" spans="1:95" ht="23.85" customHeight="1">
      <c r="A1" s="49" t="s">
        <v>0</v>
      </c>
      <c r="B1" s="49"/>
      <c r="C1" s="49"/>
      <c r="D1" s="49"/>
      <c r="E1" s="49"/>
      <c r="F1" s="1"/>
      <c r="G1" s="1"/>
      <c r="H1" s="1"/>
    </row>
    <row r="2" spans="1:95" s="9" customFormat="1" ht="31.5" customHeight="1">
      <c r="A2" s="50" t="s">
        <v>1</v>
      </c>
      <c r="B2" s="50" t="s">
        <v>2</v>
      </c>
      <c r="C2" s="50" t="s">
        <v>3</v>
      </c>
      <c r="D2" s="51" t="s">
        <v>36</v>
      </c>
      <c r="E2" s="50" t="s">
        <v>4</v>
      </c>
      <c r="F2" s="8"/>
      <c r="G2" s="8"/>
      <c r="H2" s="8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2"/>
      <c r="BB2" s="12"/>
      <c r="BC2" s="12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</row>
    <row r="3" spans="1:95" s="9" customFormat="1" ht="31.5" customHeight="1">
      <c r="A3" s="50"/>
      <c r="B3" s="50"/>
      <c r="C3" s="50"/>
      <c r="D3" s="51"/>
      <c r="E3" s="50"/>
      <c r="F3" s="8"/>
      <c r="G3" s="8"/>
      <c r="H3" s="8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2"/>
      <c r="BB3" s="12"/>
      <c r="BC3" s="12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</row>
    <row r="4" spans="1:95" s="9" customFormat="1" ht="15.95" customHeight="1">
      <c r="A4" s="44" t="s">
        <v>47</v>
      </c>
      <c r="B4" s="45" t="s">
        <v>48</v>
      </c>
      <c r="C4" s="44"/>
      <c r="D4" s="46"/>
      <c r="E4" s="44"/>
      <c r="F4" s="8"/>
      <c r="G4" s="8"/>
      <c r="H4" s="8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2"/>
      <c r="BB4" s="12"/>
      <c r="BC4" s="12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</row>
    <row r="5" spans="1:95" ht="30">
      <c r="A5" s="13">
        <v>1</v>
      </c>
      <c r="B5" s="14" t="s">
        <v>41</v>
      </c>
      <c r="C5" s="15" t="s">
        <v>6</v>
      </c>
      <c r="D5" s="16">
        <v>180000</v>
      </c>
      <c r="E5" s="14"/>
    </row>
    <row r="6" spans="1:95" ht="30">
      <c r="A6" s="13">
        <v>2</v>
      </c>
      <c r="B6" s="14" t="s">
        <v>42</v>
      </c>
      <c r="C6" s="15" t="s">
        <v>6</v>
      </c>
      <c r="D6" s="16">
        <v>200000</v>
      </c>
      <c r="E6" s="14"/>
      <c r="I6" s="3"/>
    </row>
    <row r="7" spans="1:95" s="9" customFormat="1" ht="18" customHeight="1">
      <c r="A7" s="44" t="s">
        <v>49</v>
      </c>
      <c r="B7" s="45" t="s">
        <v>50</v>
      </c>
      <c r="C7" s="44"/>
      <c r="D7" s="46"/>
      <c r="E7" s="44"/>
      <c r="F7" s="8"/>
      <c r="G7" s="8"/>
      <c r="H7" s="8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2"/>
      <c r="BB7" s="12"/>
      <c r="BC7" s="12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</row>
    <row r="8" spans="1:95" ht="56.1" customHeight="1">
      <c r="A8" s="13">
        <v>1</v>
      </c>
      <c r="B8" s="14" t="s">
        <v>57</v>
      </c>
      <c r="C8" s="15" t="s">
        <v>8</v>
      </c>
      <c r="D8" s="16">
        <v>12000</v>
      </c>
      <c r="E8" s="14"/>
      <c r="I8" s="3"/>
    </row>
    <row r="9" spans="1:95" ht="56.1" customHeight="1">
      <c r="A9" s="13">
        <v>2</v>
      </c>
      <c r="B9" s="14" t="s">
        <v>56</v>
      </c>
      <c r="C9" s="15" t="s">
        <v>8</v>
      </c>
      <c r="D9" s="16">
        <v>15000</v>
      </c>
      <c r="E9" s="14"/>
      <c r="I9" s="3"/>
    </row>
    <row r="10" spans="1:95" ht="62.1" customHeight="1">
      <c r="A10" s="13">
        <v>3</v>
      </c>
      <c r="B10" s="14" t="s">
        <v>51</v>
      </c>
      <c r="C10" s="15" t="s">
        <v>8</v>
      </c>
      <c r="D10" s="16">
        <v>22000</v>
      </c>
      <c r="E10" s="14"/>
      <c r="I10" s="3"/>
    </row>
    <row r="11" spans="1:95" ht="62.1" customHeight="1">
      <c r="A11" s="13">
        <v>4</v>
      </c>
      <c r="B11" s="14" t="s">
        <v>55</v>
      </c>
      <c r="C11" s="15" t="s">
        <v>8</v>
      </c>
      <c r="D11" s="16">
        <v>25000</v>
      </c>
      <c r="E11" s="14"/>
      <c r="I11" s="3"/>
    </row>
    <row r="12" spans="1:95" ht="62.1" customHeight="1">
      <c r="A12" s="13">
        <v>5</v>
      </c>
      <c r="B12" s="14" t="s">
        <v>54</v>
      </c>
      <c r="C12" s="15" t="s">
        <v>8</v>
      </c>
      <c r="D12" s="16">
        <v>35000</v>
      </c>
      <c r="E12" s="14"/>
      <c r="G12" s="17"/>
    </row>
    <row r="13" spans="1:95" ht="62.1" customHeight="1">
      <c r="A13" s="13">
        <v>6</v>
      </c>
      <c r="B13" s="14" t="s">
        <v>53</v>
      </c>
      <c r="C13" s="15" t="s">
        <v>8</v>
      </c>
      <c r="D13" s="42">
        <v>25000</v>
      </c>
      <c r="E13" s="14"/>
      <c r="I13" s="3"/>
    </row>
    <row r="14" spans="1:95" ht="66" customHeight="1">
      <c r="A14" s="13">
        <v>7</v>
      </c>
      <c r="B14" s="14" t="s">
        <v>52</v>
      </c>
      <c r="C14" s="15" t="s">
        <v>8</v>
      </c>
      <c r="D14" s="42">
        <v>35000</v>
      </c>
      <c r="E14" s="14"/>
      <c r="I14" s="3"/>
    </row>
    <row r="15" spans="1:95" s="9" customFormat="1" ht="18" customHeight="1">
      <c r="A15" s="44" t="s">
        <v>58</v>
      </c>
      <c r="B15" s="45" t="s">
        <v>59</v>
      </c>
      <c r="C15" s="44"/>
      <c r="D15" s="46"/>
      <c r="E15" s="44"/>
      <c r="F15" s="8"/>
      <c r="G15" s="8"/>
      <c r="H15" s="8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2"/>
      <c r="BB15" s="12"/>
      <c r="BC15" s="12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</row>
    <row r="16" spans="1:95" ht="45" customHeight="1">
      <c r="A16" s="13">
        <v>1</v>
      </c>
      <c r="B16" s="14" t="s">
        <v>45</v>
      </c>
      <c r="C16" s="15" t="s">
        <v>8</v>
      </c>
      <c r="D16" s="16">
        <v>25000</v>
      </c>
      <c r="E16" s="14"/>
      <c r="I16" s="3"/>
    </row>
    <row r="17" spans="1:95" ht="45" customHeight="1">
      <c r="A17" s="13">
        <v>2</v>
      </c>
      <c r="B17" s="14" t="s">
        <v>46</v>
      </c>
      <c r="C17" s="15" t="s">
        <v>8</v>
      </c>
      <c r="D17" s="16">
        <v>35000</v>
      </c>
      <c r="E17" s="14"/>
      <c r="I17" s="3"/>
    </row>
    <row r="18" spans="1:95" s="4" customFormat="1" ht="45" customHeight="1">
      <c r="A18" s="13">
        <v>3</v>
      </c>
      <c r="B18" s="14" t="s">
        <v>67</v>
      </c>
      <c r="C18" s="15" t="s">
        <v>12</v>
      </c>
      <c r="D18" s="16">
        <v>10000</v>
      </c>
      <c r="E18" s="14"/>
      <c r="H18" s="18"/>
      <c r="R18" s="1"/>
      <c r="S18" s="1"/>
      <c r="T18" s="1"/>
      <c r="U18" s="1"/>
      <c r="V18" s="1"/>
      <c r="W18" s="1"/>
      <c r="X18" s="1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6"/>
      <c r="BB18" s="6"/>
      <c r="BC18" s="6"/>
    </row>
    <row r="19" spans="1:95" s="4" customFormat="1" ht="45" customHeight="1">
      <c r="A19" s="13">
        <v>4</v>
      </c>
      <c r="B19" s="14" t="s">
        <v>70</v>
      </c>
      <c r="C19" s="15" t="s">
        <v>7</v>
      </c>
      <c r="D19" s="43">
        <v>80000</v>
      </c>
      <c r="E19" s="14"/>
      <c r="H19" s="18"/>
      <c r="R19" s="1"/>
      <c r="S19" s="1"/>
      <c r="T19" s="1"/>
      <c r="U19" s="1"/>
      <c r="V19" s="1"/>
      <c r="W19" s="1"/>
      <c r="X19" s="1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6"/>
      <c r="BB19" s="6"/>
      <c r="BC19" s="6"/>
    </row>
    <row r="20" spans="1:95" s="4" customFormat="1" ht="45" customHeight="1">
      <c r="A20" s="13">
        <v>5</v>
      </c>
      <c r="B20" s="14" t="s">
        <v>43</v>
      </c>
      <c r="C20" s="15" t="s">
        <v>7</v>
      </c>
      <c r="D20" s="43">
        <v>100000</v>
      </c>
      <c r="E20" s="14"/>
      <c r="H20" s="18"/>
      <c r="R20" s="1"/>
      <c r="S20" s="1"/>
      <c r="T20" s="1"/>
      <c r="U20" s="1"/>
      <c r="V20" s="1"/>
      <c r="W20" s="1"/>
      <c r="X20" s="1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6"/>
      <c r="BB20" s="6"/>
      <c r="BC20" s="6"/>
    </row>
    <row r="21" spans="1:95" s="9" customFormat="1" ht="18" customHeight="1">
      <c r="A21" s="44" t="s">
        <v>60</v>
      </c>
      <c r="B21" s="45" t="s">
        <v>61</v>
      </c>
      <c r="C21" s="44"/>
      <c r="D21" s="46"/>
      <c r="E21" s="44"/>
      <c r="F21" s="8"/>
      <c r="G21" s="8"/>
      <c r="H21" s="8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2"/>
      <c r="BB21" s="12"/>
      <c r="BC21" s="12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</row>
    <row r="22" spans="1:95" s="4" customFormat="1" ht="49.5" customHeight="1">
      <c r="A22" s="13">
        <v>1</v>
      </c>
      <c r="B22" s="14" t="s">
        <v>63</v>
      </c>
      <c r="C22" s="15" t="s">
        <v>8</v>
      </c>
      <c r="D22" s="16">
        <v>25000</v>
      </c>
      <c r="E22" s="14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6"/>
      <c r="BB22" s="6"/>
      <c r="BC22" s="6"/>
    </row>
    <row r="23" spans="1:95" s="4" customFormat="1" ht="49.5" customHeight="1">
      <c r="A23" s="13">
        <v>2</v>
      </c>
      <c r="B23" s="14" t="s">
        <v>62</v>
      </c>
      <c r="C23" s="15" t="s">
        <v>8</v>
      </c>
      <c r="D23" s="16">
        <v>40000</v>
      </c>
      <c r="E23" s="14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6"/>
      <c r="BB23" s="6"/>
      <c r="BC23" s="6"/>
    </row>
    <row r="24" spans="1:95" s="9" customFormat="1" ht="18" customHeight="1">
      <c r="A24" s="44" t="s">
        <v>64</v>
      </c>
      <c r="B24" s="45" t="s">
        <v>75</v>
      </c>
      <c r="C24" s="44"/>
      <c r="D24" s="46"/>
      <c r="E24" s="44"/>
      <c r="F24" s="8"/>
      <c r="G24" s="8"/>
      <c r="H24" s="8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2"/>
      <c r="BB24" s="12"/>
      <c r="BC24" s="12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</row>
    <row r="25" spans="1:95" s="4" customFormat="1" ht="38.25" customHeight="1">
      <c r="A25" s="13">
        <v>1</v>
      </c>
      <c r="B25" s="14" t="s">
        <v>23</v>
      </c>
      <c r="C25" s="15" t="s">
        <v>7</v>
      </c>
      <c r="D25" s="16">
        <v>40000</v>
      </c>
      <c r="E25" s="14"/>
      <c r="F25" s="18"/>
      <c r="G25" s="18"/>
      <c r="H25" s="18"/>
      <c r="R25" s="1"/>
      <c r="S25" s="1"/>
      <c r="T25" s="1"/>
      <c r="U25" s="1"/>
      <c r="V25" s="1"/>
      <c r="W25" s="1"/>
      <c r="X25" s="1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6"/>
      <c r="BB25" s="6"/>
      <c r="BC25" s="6"/>
    </row>
    <row r="26" spans="1:95" s="4" customFormat="1" ht="33.75" customHeight="1">
      <c r="A26" s="13">
        <v>2</v>
      </c>
      <c r="B26" s="14" t="s">
        <v>24</v>
      </c>
      <c r="C26" s="15" t="s">
        <v>7</v>
      </c>
      <c r="D26" s="42">
        <v>50000</v>
      </c>
      <c r="E26" s="14"/>
      <c r="F26" s="18"/>
      <c r="G26" s="18"/>
      <c r="H26" s="18"/>
      <c r="R26" s="1"/>
      <c r="S26" s="1"/>
      <c r="T26" s="1"/>
      <c r="U26" s="1"/>
      <c r="V26" s="1"/>
      <c r="W26" s="1"/>
      <c r="X26" s="1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6"/>
      <c r="BB26" s="6"/>
      <c r="BC26" s="6"/>
    </row>
    <row r="27" spans="1:95" s="4" customFormat="1">
      <c r="A27" s="13">
        <v>3</v>
      </c>
      <c r="B27" s="14" t="s">
        <v>39</v>
      </c>
      <c r="C27" s="15" t="s">
        <v>7</v>
      </c>
      <c r="D27" s="42">
        <v>110000</v>
      </c>
      <c r="E27" s="14"/>
      <c r="F27" s="18"/>
      <c r="G27" s="18"/>
      <c r="H27" s="18"/>
      <c r="R27" s="1"/>
      <c r="S27" s="1"/>
      <c r="T27" s="1"/>
      <c r="U27" s="1"/>
      <c r="V27" s="1"/>
      <c r="W27" s="1"/>
      <c r="X27" s="1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6"/>
      <c r="BB27" s="6"/>
      <c r="BC27" s="6"/>
    </row>
    <row r="28" spans="1:95" s="4" customFormat="1">
      <c r="A28" s="13">
        <v>4</v>
      </c>
      <c r="B28" s="14" t="s">
        <v>66</v>
      </c>
      <c r="C28" s="15" t="s">
        <v>7</v>
      </c>
      <c r="D28" s="42">
        <v>80000</v>
      </c>
      <c r="E28" s="14"/>
      <c r="F28" s="18"/>
      <c r="G28" s="18"/>
      <c r="H28" s="18"/>
      <c r="R28" s="1"/>
      <c r="S28" s="1"/>
      <c r="T28" s="1"/>
      <c r="U28" s="1"/>
      <c r="V28" s="1"/>
      <c r="W28" s="1"/>
      <c r="X28" s="1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6"/>
      <c r="BB28" s="6"/>
      <c r="BC28" s="6"/>
    </row>
    <row r="29" spans="1:95" s="4" customFormat="1" ht="29.25" customHeight="1">
      <c r="A29" s="13">
        <v>5</v>
      </c>
      <c r="B29" s="14" t="s">
        <v>68</v>
      </c>
      <c r="C29" s="15" t="s">
        <v>7</v>
      </c>
      <c r="D29" s="42">
        <v>120000</v>
      </c>
      <c r="E29" s="14"/>
      <c r="H29" s="18"/>
      <c r="R29" s="1"/>
      <c r="S29" s="1"/>
      <c r="T29" s="1"/>
      <c r="U29" s="1"/>
      <c r="V29" s="1"/>
      <c r="W29" s="1"/>
      <c r="X29" s="1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6"/>
      <c r="BB29" s="6"/>
      <c r="BC29" s="6"/>
    </row>
    <row r="30" spans="1:95" s="4" customFormat="1">
      <c r="A30" s="13">
        <v>6</v>
      </c>
      <c r="B30" s="14" t="s">
        <v>9</v>
      </c>
      <c r="C30" s="15" t="s">
        <v>10</v>
      </c>
      <c r="D30" s="42">
        <v>200000</v>
      </c>
      <c r="E30" s="14"/>
      <c r="F30" s="18"/>
      <c r="G30" s="18"/>
      <c r="H30" s="18"/>
      <c r="R30" s="1"/>
      <c r="S30" s="1"/>
      <c r="T30" s="1"/>
      <c r="U30" s="1"/>
      <c r="V30" s="1"/>
      <c r="W30" s="1"/>
      <c r="X30" s="1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6"/>
      <c r="BB30" s="6"/>
      <c r="BC30" s="6"/>
    </row>
    <row r="31" spans="1:95" s="4" customFormat="1">
      <c r="A31" s="13">
        <v>7</v>
      </c>
      <c r="B31" s="14" t="s">
        <v>11</v>
      </c>
      <c r="C31" s="15" t="s">
        <v>10</v>
      </c>
      <c r="D31" s="42">
        <v>80000</v>
      </c>
      <c r="E31" s="14"/>
      <c r="F31" s="18"/>
      <c r="G31" s="18"/>
      <c r="H31" s="18"/>
      <c r="R31" s="1"/>
      <c r="S31" s="1"/>
      <c r="T31" s="1"/>
      <c r="U31" s="1"/>
      <c r="V31" s="1"/>
      <c r="W31" s="1"/>
      <c r="X31" s="1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6"/>
      <c r="BB31" s="6"/>
      <c r="BC31" s="6"/>
    </row>
    <row r="32" spans="1:95" s="4" customFormat="1">
      <c r="A32" s="13">
        <v>8</v>
      </c>
      <c r="B32" s="14" t="s">
        <v>69</v>
      </c>
      <c r="C32" s="15" t="s">
        <v>12</v>
      </c>
      <c r="D32" s="42">
        <v>10000</v>
      </c>
      <c r="E32" s="14"/>
      <c r="G32" s="18"/>
      <c r="H32" s="18"/>
      <c r="R32" s="1"/>
      <c r="S32" s="1"/>
      <c r="T32" s="1"/>
      <c r="U32" s="1"/>
      <c r="V32" s="1"/>
      <c r="W32" s="1"/>
      <c r="X32" s="1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6"/>
      <c r="BB32" s="6"/>
      <c r="BC32" s="6"/>
    </row>
    <row r="33" spans="1:95" s="4" customFormat="1">
      <c r="A33" s="13">
        <v>9</v>
      </c>
      <c r="B33" s="14" t="s">
        <v>31</v>
      </c>
      <c r="C33" s="15" t="s">
        <v>12</v>
      </c>
      <c r="D33" s="42">
        <v>15000</v>
      </c>
      <c r="E33" s="14"/>
      <c r="G33" s="18"/>
      <c r="H33" s="18"/>
      <c r="R33" s="1"/>
      <c r="S33" s="1"/>
      <c r="T33" s="1"/>
      <c r="U33" s="1"/>
      <c r="V33" s="1"/>
      <c r="W33" s="1"/>
      <c r="X33" s="1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6"/>
      <c r="BB33" s="6"/>
      <c r="BC33" s="6"/>
    </row>
    <row r="34" spans="1:95" s="4" customFormat="1">
      <c r="A34" s="13">
        <v>10</v>
      </c>
      <c r="B34" s="14" t="s">
        <v>76</v>
      </c>
      <c r="C34" s="15" t="s">
        <v>83</v>
      </c>
      <c r="D34" s="16">
        <v>50000</v>
      </c>
      <c r="E34" s="14"/>
      <c r="H34" s="18"/>
      <c r="R34" s="1"/>
      <c r="S34" s="1"/>
      <c r="T34" s="1"/>
      <c r="U34" s="1"/>
      <c r="V34" s="1"/>
      <c r="W34" s="1"/>
      <c r="X34" s="1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6"/>
      <c r="BB34" s="6"/>
      <c r="BC34" s="6"/>
    </row>
    <row r="35" spans="1:95" s="9" customFormat="1" ht="18" customHeight="1">
      <c r="A35" s="44" t="s">
        <v>74</v>
      </c>
      <c r="B35" s="45" t="s">
        <v>65</v>
      </c>
      <c r="C35" s="44"/>
      <c r="D35" s="46"/>
      <c r="E35" s="44"/>
      <c r="F35" s="18"/>
      <c r="G35" s="18"/>
      <c r="H35" s="8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2"/>
      <c r="BB35" s="12"/>
      <c r="BC35" s="12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</row>
    <row r="36" spans="1:95" s="4" customFormat="1" ht="17.850000000000001" customHeight="1">
      <c r="A36" s="13">
        <v>1</v>
      </c>
      <c r="B36" s="14" t="s">
        <v>13</v>
      </c>
      <c r="C36" s="15" t="s">
        <v>8</v>
      </c>
      <c r="D36" s="42">
        <v>12000</v>
      </c>
      <c r="E36" s="14" t="s">
        <v>84</v>
      </c>
      <c r="H36" s="18"/>
      <c r="R36" s="1"/>
      <c r="S36" s="1"/>
      <c r="T36" s="1"/>
      <c r="U36" s="1"/>
      <c r="V36" s="1"/>
      <c r="W36" s="1"/>
      <c r="X36" s="1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6"/>
      <c r="BB36" s="6"/>
      <c r="BC36" s="6"/>
    </row>
    <row r="37" spans="1:95" s="4" customFormat="1" ht="17.850000000000001" customHeight="1">
      <c r="A37" s="13">
        <v>2</v>
      </c>
      <c r="B37" s="14" t="s">
        <v>37</v>
      </c>
      <c r="C37" s="15" t="s">
        <v>34</v>
      </c>
      <c r="D37" s="43">
        <v>50000</v>
      </c>
      <c r="E37" s="14" t="s">
        <v>84</v>
      </c>
      <c r="H37" s="18"/>
      <c r="R37" s="1"/>
      <c r="S37" s="1"/>
      <c r="T37" s="1"/>
      <c r="U37" s="1"/>
      <c r="V37" s="1"/>
      <c r="W37" s="1"/>
      <c r="X37" s="1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6"/>
      <c r="BB37" s="6"/>
      <c r="BC37" s="6"/>
    </row>
    <row r="38" spans="1:95" s="4" customFormat="1">
      <c r="A38" s="13">
        <v>3</v>
      </c>
      <c r="B38" s="48" t="s">
        <v>40</v>
      </c>
      <c r="C38" s="15" t="s">
        <v>34</v>
      </c>
      <c r="D38" s="42">
        <v>90000</v>
      </c>
      <c r="E38" s="14" t="s">
        <v>84</v>
      </c>
      <c r="H38" s="18"/>
      <c r="R38" s="1"/>
      <c r="S38" s="1"/>
      <c r="T38" s="1"/>
      <c r="U38" s="1"/>
      <c r="V38" s="1"/>
      <c r="W38" s="1"/>
      <c r="X38" s="1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6"/>
      <c r="BB38" s="6"/>
      <c r="BC38" s="6"/>
    </row>
    <row r="39" spans="1:95" s="4" customFormat="1" ht="18.95" customHeight="1">
      <c r="A39" s="13">
        <v>4</v>
      </c>
      <c r="B39" s="48" t="s">
        <v>38</v>
      </c>
      <c r="C39" s="15" t="s">
        <v>34</v>
      </c>
      <c r="D39" s="42">
        <v>150000</v>
      </c>
      <c r="E39" s="14" t="s">
        <v>84</v>
      </c>
      <c r="H39" s="18"/>
      <c r="R39" s="1"/>
      <c r="S39" s="1"/>
      <c r="T39" s="1"/>
      <c r="U39" s="1"/>
      <c r="V39" s="1"/>
      <c r="W39" s="1"/>
      <c r="X39" s="1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6"/>
      <c r="BB39" s="6"/>
      <c r="BC39" s="6"/>
    </row>
    <row r="40" spans="1:95" s="4" customFormat="1">
      <c r="A40" s="13">
        <v>5</v>
      </c>
      <c r="B40" s="48" t="s">
        <v>71</v>
      </c>
      <c r="C40" s="15" t="s">
        <v>8</v>
      </c>
      <c r="D40" s="42">
        <v>35000</v>
      </c>
      <c r="E40" s="14" t="s">
        <v>84</v>
      </c>
      <c r="F40" s="18"/>
      <c r="G40" s="18"/>
      <c r="H40" s="18"/>
      <c r="R40" s="1"/>
      <c r="S40" s="1"/>
      <c r="T40" s="1"/>
      <c r="U40" s="1"/>
      <c r="V40" s="1"/>
      <c r="W40" s="1"/>
      <c r="X40" s="1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6"/>
      <c r="BB40" s="6"/>
      <c r="BC40" s="6"/>
    </row>
    <row r="41" spans="1:95" s="4" customFormat="1" ht="33.950000000000003" customHeight="1">
      <c r="A41" s="13">
        <v>6</v>
      </c>
      <c r="B41" s="48" t="s">
        <v>72</v>
      </c>
      <c r="C41" s="15" t="s">
        <v>8</v>
      </c>
      <c r="D41" s="42">
        <v>45000</v>
      </c>
      <c r="E41" s="14" t="s">
        <v>84</v>
      </c>
      <c r="F41" s="18"/>
      <c r="G41" s="18"/>
      <c r="H41" s="18"/>
      <c r="R41" s="1"/>
      <c r="S41" s="1"/>
      <c r="T41" s="1"/>
      <c r="U41" s="1"/>
      <c r="V41" s="1"/>
      <c r="W41" s="1"/>
      <c r="X41" s="1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6"/>
      <c r="BB41" s="6"/>
      <c r="BC41" s="6"/>
    </row>
    <row r="42" spans="1:95" s="4" customFormat="1" ht="33.950000000000003" customHeight="1">
      <c r="A42" s="13">
        <v>7</v>
      </c>
      <c r="B42" s="48" t="s">
        <v>73</v>
      </c>
      <c r="C42" s="15" t="s">
        <v>8</v>
      </c>
      <c r="D42" s="42">
        <v>80000</v>
      </c>
      <c r="E42" s="14" t="s">
        <v>84</v>
      </c>
      <c r="F42" s="18"/>
      <c r="G42" s="18"/>
      <c r="H42" s="18"/>
      <c r="R42" s="1"/>
      <c r="S42" s="1"/>
      <c r="T42" s="1"/>
      <c r="U42" s="1"/>
      <c r="V42" s="1"/>
      <c r="W42" s="1"/>
      <c r="X42" s="1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6"/>
      <c r="BB42" s="6"/>
      <c r="BC42" s="6"/>
    </row>
    <row r="43" spans="1:95" s="4" customFormat="1">
      <c r="A43" s="13">
        <v>8</v>
      </c>
      <c r="B43" s="48" t="s">
        <v>44</v>
      </c>
      <c r="C43" s="15" t="s">
        <v>7</v>
      </c>
      <c r="D43" s="42">
        <v>150000</v>
      </c>
      <c r="E43" s="14" t="s">
        <v>84</v>
      </c>
      <c r="F43" s="18"/>
      <c r="G43" s="18"/>
      <c r="H43" s="18"/>
      <c r="R43" s="1"/>
      <c r="S43" s="1"/>
      <c r="T43" s="1"/>
      <c r="U43" s="1"/>
      <c r="V43" s="1"/>
      <c r="W43" s="1"/>
      <c r="X43" s="1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6"/>
      <c r="BB43" s="6"/>
      <c r="BC43" s="6"/>
    </row>
    <row r="44" spans="1:95" s="4" customFormat="1" ht="33.950000000000003" customHeight="1">
      <c r="A44" s="13">
        <v>9</v>
      </c>
      <c r="B44" s="48" t="s">
        <v>85</v>
      </c>
      <c r="C44" s="15" t="s">
        <v>7</v>
      </c>
      <c r="D44" s="42">
        <v>250000</v>
      </c>
      <c r="E44" s="14"/>
      <c r="F44" s="18"/>
      <c r="G44" s="18"/>
      <c r="H44" s="18"/>
      <c r="R44" s="1"/>
      <c r="S44" s="1"/>
      <c r="T44" s="1"/>
      <c r="U44" s="1"/>
      <c r="V44" s="1"/>
      <c r="W44" s="1"/>
      <c r="X44" s="1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6"/>
      <c r="BB44" s="6"/>
      <c r="BC44" s="6"/>
    </row>
    <row r="45" spans="1:95" s="9" customFormat="1" ht="18" customHeight="1">
      <c r="A45" s="44" t="s">
        <v>77</v>
      </c>
      <c r="B45" s="45" t="s">
        <v>78</v>
      </c>
      <c r="C45" s="44"/>
      <c r="D45" s="46"/>
      <c r="E45" s="44"/>
      <c r="F45" s="18"/>
      <c r="G45" s="18">
        <f>G41*G43</f>
        <v>0</v>
      </c>
      <c r="H45" s="8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2"/>
      <c r="BB45" s="12"/>
      <c r="BC45" s="12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</row>
    <row r="46" spans="1:95" s="4" customFormat="1">
      <c r="A46" s="13">
        <v>1</v>
      </c>
      <c r="B46" s="14" t="s">
        <v>27</v>
      </c>
      <c r="C46" s="15" t="s">
        <v>12</v>
      </c>
      <c r="D46" s="20">
        <v>40000</v>
      </c>
      <c r="E46" s="14" t="s">
        <v>84</v>
      </c>
      <c r="F46" s="18"/>
      <c r="G46" s="18"/>
      <c r="H46" s="18"/>
      <c r="R46" s="1"/>
      <c r="S46" s="1"/>
      <c r="T46" s="1"/>
      <c r="U46" s="1"/>
      <c r="V46" s="1"/>
      <c r="W46" s="1"/>
      <c r="X46" s="1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6"/>
      <c r="BB46" s="6"/>
      <c r="BC46" s="6"/>
    </row>
    <row r="47" spans="1:95" s="4" customFormat="1">
      <c r="A47" s="13">
        <v>2</v>
      </c>
      <c r="B47" s="14" t="s">
        <v>28</v>
      </c>
      <c r="C47" s="15" t="s">
        <v>10</v>
      </c>
      <c r="D47" s="20">
        <v>120000</v>
      </c>
      <c r="E47" s="14" t="s">
        <v>84</v>
      </c>
      <c r="F47" s="18"/>
      <c r="G47" s="18"/>
      <c r="H47" s="18"/>
      <c r="R47" s="1"/>
      <c r="S47" s="1"/>
      <c r="T47" s="1"/>
      <c r="U47" s="1"/>
      <c r="V47" s="1"/>
      <c r="W47" s="1"/>
      <c r="X47" s="1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6"/>
      <c r="BB47" s="6"/>
      <c r="BC47" s="6"/>
    </row>
    <row r="48" spans="1:95" s="4" customFormat="1">
      <c r="A48" s="13">
        <v>3</v>
      </c>
      <c r="B48" s="14" t="s">
        <v>29</v>
      </c>
      <c r="C48" s="15" t="s">
        <v>8</v>
      </c>
      <c r="D48" s="20">
        <v>120000</v>
      </c>
      <c r="E48" s="14" t="s">
        <v>84</v>
      </c>
      <c r="F48" s="18"/>
      <c r="G48" s="18"/>
      <c r="H48" s="18"/>
      <c r="R48" s="1"/>
      <c r="S48" s="1"/>
      <c r="T48" s="1"/>
      <c r="U48" s="1"/>
      <c r="V48" s="1"/>
      <c r="W48" s="1"/>
      <c r="X48" s="1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6"/>
      <c r="BB48" s="6"/>
      <c r="BC48" s="6"/>
    </row>
    <row r="49" spans="1:95" s="4" customFormat="1" ht="30">
      <c r="A49" s="13">
        <v>4</v>
      </c>
      <c r="B49" s="14" t="s">
        <v>25</v>
      </c>
      <c r="C49" s="15" t="s">
        <v>7</v>
      </c>
      <c r="D49" s="20">
        <v>60000</v>
      </c>
      <c r="E49" s="14" t="s">
        <v>84</v>
      </c>
      <c r="G49" s="18"/>
      <c r="H49" s="18"/>
      <c r="R49" s="1"/>
      <c r="S49" s="1"/>
      <c r="T49" s="1"/>
      <c r="U49" s="1"/>
      <c r="V49" s="1"/>
      <c r="W49" s="1"/>
      <c r="X49" s="1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6"/>
      <c r="BB49" s="6"/>
      <c r="BC49" s="6"/>
    </row>
    <row r="50" spans="1:95" s="4" customFormat="1" ht="30">
      <c r="A50" s="13">
        <v>5</v>
      </c>
      <c r="B50" s="14" t="s">
        <v>26</v>
      </c>
      <c r="C50" s="15" t="s">
        <v>10</v>
      </c>
      <c r="D50" s="20">
        <v>200000</v>
      </c>
      <c r="E50" s="14" t="s">
        <v>84</v>
      </c>
      <c r="G50" s="18"/>
      <c r="H50" s="18"/>
      <c r="R50" s="1"/>
      <c r="S50" s="1"/>
      <c r="T50" s="1"/>
      <c r="U50" s="1"/>
      <c r="V50" s="1"/>
      <c r="W50" s="1"/>
      <c r="X50" s="1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6"/>
      <c r="BB50" s="6"/>
      <c r="BC50" s="6"/>
    </row>
    <row r="51" spans="1:95" s="4" customFormat="1" ht="30">
      <c r="A51" s="13">
        <v>6</v>
      </c>
      <c r="B51" s="14" t="s">
        <v>30</v>
      </c>
      <c r="C51" s="15" t="s">
        <v>10</v>
      </c>
      <c r="D51" s="20">
        <v>120000</v>
      </c>
      <c r="E51" s="14" t="s">
        <v>84</v>
      </c>
      <c r="G51" s="18"/>
      <c r="H51" s="18"/>
      <c r="I51" s="18"/>
      <c r="R51" s="1"/>
      <c r="S51" s="1"/>
      <c r="T51" s="1"/>
      <c r="U51" s="1"/>
      <c r="V51" s="1"/>
      <c r="W51" s="1"/>
      <c r="X51" s="1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6"/>
      <c r="BB51" s="6"/>
      <c r="BC51" s="6"/>
    </row>
    <row r="52" spans="1:95" s="4" customFormat="1">
      <c r="A52" s="13">
        <v>7</v>
      </c>
      <c r="B52" s="14" t="s">
        <v>14</v>
      </c>
      <c r="C52" s="15" t="s">
        <v>7</v>
      </c>
      <c r="D52" s="20">
        <v>40000</v>
      </c>
      <c r="E52" s="40" t="s">
        <v>22</v>
      </c>
      <c r="G52" s="18"/>
      <c r="H52" s="18"/>
      <c r="I52" s="18"/>
      <c r="R52" s="1"/>
      <c r="S52" s="1"/>
      <c r="T52" s="1"/>
      <c r="U52" s="1"/>
      <c r="V52" s="1"/>
      <c r="W52" s="1"/>
      <c r="X52" s="1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6"/>
      <c r="BB52" s="6"/>
      <c r="BC52" s="6"/>
    </row>
    <row r="53" spans="1:95" s="9" customFormat="1" ht="18" customHeight="1">
      <c r="A53" s="44" t="s">
        <v>79</v>
      </c>
      <c r="B53" s="45" t="s">
        <v>80</v>
      </c>
      <c r="C53" s="44"/>
      <c r="D53" s="46"/>
      <c r="E53" s="44"/>
      <c r="F53" s="18"/>
      <c r="G53" s="18"/>
      <c r="H53" s="18"/>
      <c r="I53" s="18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2"/>
      <c r="BB53" s="12"/>
      <c r="BC53" s="12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</row>
    <row r="54" spans="1:95" s="4" customFormat="1" ht="18.95" customHeight="1">
      <c r="A54" s="13">
        <v>1</v>
      </c>
      <c r="B54" s="14" t="s">
        <v>15</v>
      </c>
      <c r="C54" s="15" t="s">
        <v>16</v>
      </c>
      <c r="D54" s="47" t="s">
        <v>17</v>
      </c>
      <c r="E54" s="21"/>
      <c r="G54" s="18"/>
      <c r="H54" s="18"/>
      <c r="I54" s="18"/>
      <c r="R54" s="1"/>
      <c r="S54" s="1"/>
      <c r="T54" s="1"/>
      <c r="U54" s="1"/>
      <c r="V54" s="1"/>
      <c r="W54" s="1"/>
      <c r="X54" s="1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6"/>
      <c r="BB54" s="6"/>
      <c r="BC54" s="6"/>
    </row>
    <row r="55" spans="1:95" s="4" customFormat="1" ht="15" customHeight="1">
      <c r="A55" s="13">
        <v>2</v>
      </c>
      <c r="B55" s="14" t="s">
        <v>81</v>
      </c>
      <c r="C55" s="15" t="s">
        <v>16</v>
      </c>
      <c r="D55" s="40" t="s">
        <v>20</v>
      </c>
      <c r="E55" s="21"/>
      <c r="F55" s="18"/>
      <c r="G55" s="18"/>
      <c r="H55" s="18"/>
      <c r="I55" s="18"/>
      <c r="R55" s="1"/>
      <c r="S55" s="1"/>
      <c r="T55" s="1"/>
      <c r="U55" s="1"/>
      <c r="V55" s="1"/>
      <c r="W55" s="1"/>
      <c r="X55" s="1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6"/>
      <c r="BB55" s="6"/>
      <c r="BC55" s="6"/>
    </row>
    <row r="56" spans="1:95" s="4" customFormat="1" ht="15" customHeight="1">
      <c r="A56" s="13">
        <v>3</v>
      </c>
      <c r="B56" s="14" t="s">
        <v>18</v>
      </c>
      <c r="C56" s="22"/>
      <c r="D56" s="40" t="s">
        <v>21</v>
      </c>
      <c r="E56" s="19"/>
      <c r="F56" s="18"/>
      <c r="G56" s="18"/>
      <c r="H56" s="18"/>
      <c r="R56" s="1"/>
      <c r="S56" s="1"/>
      <c r="T56" s="1"/>
      <c r="U56" s="1"/>
      <c r="V56" s="1"/>
      <c r="W56" s="1"/>
      <c r="X56" s="1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6"/>
      <c r="BB56" s="6"/>
      <c r="BC56" s="6"/>
    </row>
    <row r="57" spans="1:95" s="4" customFormat="1" ht="15" customHeight="1">
      <c r="A57" s="13">
        <v>4</v>
      </c>
      <c r="B57" s="14" t="s">
        <v>32</v>
      </c>
      <c r="C57" s="22"/>
      <c r="D57" s="40" t="s">
        <v>33</v>
      </c>
      <c r="E57" s="19"/>
      <c r="F57" s="18"/>
      <c r="G57" s="18"/>
      <c r="H57" s="18"/>
      <c r="R57" s="1"/>
      <c r="S57" s="1"/>
      <c r="T57" s="1"/>
      <c r="U57" s="1"/>
      <c r="V57" s="1"/>
      <c r="W57" s="1"/>
      <c r="X57" s="1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6"/>
      <c r="BB57" s="6"/>
      <c r="BC57" s="6"/>
    </row>
    <row r="58" spans="1:95" s="4" customFormat="1" ht="14.85" customHeight="1">
      <c r="A58" s="23"/>
      <c r="B58" s="23"/>
      <c r="C58" s="24"/>
      <c r="D58" s="25"/>
      <c r="E58" s="1"/>
      <c r="F58" s="18"/>
      <c r="G58" s="18"/>
      <c r="H58" s="18"/>
      <c r="R58" s="1"/>
      <c r="S58" s="1"/>
      <c r="T58" s="1"/>
      <c r="U58" s="1"/>
      <c r="V58" s="1"/>
      <c r="W58" s="1"/>
      <c r="X58" s="1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6"/>
      <c r="BB58" s="6"/>
      <c r="BC58" s="6"/>
    </row>
    <row r="59" spans="1:95" s="4" customFormat="1" ht="14.85" customHeight="1">
      <c r="A59" s="41" t="s">
        <v>82</v>
      </c>
      <c r="C59" s="24"/>
      <c r="D59" s="25"/>
      <c r="E59" s="1"/>
      <c r="G59" s="18"/>
      <c r="H59" s="18"/>
      <c r="R59" s="1"/>
      <c r="S59" s="1"/>
      <c r="T59" s="1"/>
      <c r="U59" s="1"/>
      <c r="V59" s="1"/>
      <c r="W59" s="1"/>
      <c r="X59" s="1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6"/>
      <c r="BB59" s="6"/>
      <c r="BC59" s="6"/>
    </row>
    <row r="60" spans="1:95" s="4" customFormat="1" ht="14.85" customHeight="1">
      <c r="A60" s="7" t="s">
        <v>5</v>
      </c>
      <c r="B60" s="23"/>
      <c r="C60" s="24"/>
      <c r="D60" s="25"/>
      <c r="E60" s="1"/>
      <c r="G60" s="18"/>
      <c r="H60" s="18"/>
      <c r="R60" s="1"/>
      <c r="S60" s="1"/>
      <c r="T60" s="1"/>
      <c r="U60" s="1"/>
      <c r="V60" s="1"/>
      <c r="W60" s="1"/>
      <c r="X60" s="1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6"/>
      <c r="BB60" s="6"/>
      <c r="BC60" s="6"/>
    </row>
    <row r="61" spans="1:95" s="4" customFormat="1" ht="14.85" customHeight="1">
      <c r="A61" s="7" t="s">
        <v>35</v>
      </c>
      <c r="B61" s="23"/>
      <c r="C61" s="24"/>
      <c r="D61" s="25"/>
      <c r="E61" s="1"/>
      <c r="G61" s="18"/>
      <c r="H61" s="18"/>
      <c r="R61" s="1"/>
      <c r="S61" s="1"/>
      <c r="T61" s="1"/>
      <c r="U61" s="1"/>
      <c r="V61" s="1"/>
      <c r="W61" s="1"/>
      <c r="X61" s="1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6"/>
      <c r="BB61" s="6"/>
      <c r="BC61" s="6"/>
    </row>
    <row r="62" spans="1:95" s="4" customFormat="1">
      <c r="A62" s="23"/>
      <c r="B62" s="23"/>
      <c r="C62" s="1"/>
      <c r="D62" s="25"/>
      <c r="E62" s="1"/>
      <c r="G62" s="18"/>
      <c r="H62" s="18"/>
      <c r="R62" s="1"/>
      <c r="S62" s="1"/>
      <c r="T62" s="1"/>
      <c r="U62" s="1"/>
      <c r="V62" s="1"/>
      <c r="W62" s="1"/>
      <c r="X62" s="1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6"/>
      <c r="BB62" s="6"/>
      <c r="BC62" s="6"/>
    </row>
    <row r="63" spans="1:95" s="4" customFormat="1">
      <c r="A63" s="1"/>
      <c r="B63" s="1"/>
      <c r="C63" s="1"/>
      <c r="D63" s="2"/>
      <c r="E63" s="1"/>
      <c r="F63" s="18"/>
      <c r="G63" s="18"/>
      <c r="H63" s="18"/>
      <c r="R63" s="1"/>
      <c r="S63" s="1"/>
      <c r="T63" s="1"/>
      <c r="U63" s="1"/>
      <c r="V63" s="1"/>
      <c r="W63" s="1"/>
      <c r="X63" s="1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6"/>
      <c r="BB63" s="6"/>
      <c r="BC63" s="6"/>
    </row>
    <row r="64" spans="1:95" s="4" customFormat="1">
      <c r="A64" s="1"/>
      <c r="B64" s="1"/>
      <c r="C64" s="1"/>
      <c r="D64" s="2"/>
      <c r="E64" s="1"/>
      <c r="F64" s="18"/>
      <c r="G64" s="18"/>
      <c r="H64" s="18"/>
      <c r="R64" s="1"/>
      <c r="S64" s="1"/>
      <c r="T64" s="1"/>
      <c r="U64" s="1"/>
      <c r="V64" s="1"/>
      <c r="W64" s="1"/>
      <c r="X64" s="1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6"/>
      <c r="BB64" s="6"/>
      <c r="BC64" s="6"/>
    </row>
    <row r="65" spans="1:55" s="4" customFormat="1">
      <c r="A65" s="1"/>
      <c r="B65" s="1"/>
      <c r="C65" s="1"/>
      <c r="D65" s="2"/>
      <c r="E65" s="1"/>
      <c r="F65" s="18"/>
      <c r="G65" s="18"/>
      <c r="H65" s="18"/>
      <c r="R65" s="1"/>
      <c r="S65" s="1"/>
      <c r="T65" s="1"/>
      <c r="U65" s="1"/>
      <c r="V65" s="1"/>
      <c r="W65" s="1"/>
      <c r="X65" s="1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6"/>
      <c r="BB65" s="6"/>
      <c r="BC65" s="6"/>
    </row>
    <row r="66" spans="1:55" s="4" customFormat="1">
      <c r="A66" s="1"/>
      <c r="B66" s="1"/>
      <c r="C66" s="1"/>
      <c r="D66" s="2"/>
      <c r="E66" s="1"/>
      <c r="F66" s="18"/>
      <c r="G66" s="18"/>
      <c r="H66" s="18"/>
      <c r="R66" s="1"/>
      <c r="S66" s="1"/>
      <c r="T66" s="1"/>
      <c r="U66" s="1"/>
      <c r="V66" s="1"/>
      <c r="W66" s="1"/>
      <c r="X66" s="1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6"/>
      <c r="BB66" s="6"/>
      <c r="BC66" s="6"/>
    </row>
    <row r="67" spans="1:55" s="4" customFormat="1">
      <c r="A67" s="1"/>
      <c r="B67" s="1"/>
      <c r="C67" s="1"/>
      <c r="D67" s="2"/>
      <c r="E67" s="1"/>
      <c r="F67" s="18"/>
      <c r="G67" s="18"/>
      <c r="H67" s="18"/>
      <c r="R67" s="1"/>
      <c r="S67" s="1"/>
      <c r="T67" s="1"/>
      <c r="U67" s="1"/>
      <c r="V67" s="1"/>
      <c r="W67" s="1"/>
      <c r="X67" s="1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6"/>
      <c r="BB67" s="6"/>
      <c r="BC67" s="6"/>
    </row>
    <row r="68" spans="1:55" s="4" customFormat="1">
      <c r="A68" s="1"/>
      <c r="B68" s="1"/>
      <c r="C68" s="1"/>
      <c r="D68" s="2"/>
      <c r="E68" s="1"/>
      <c r="F68" s="18"/>
      <c r="G68" s="18"/>
      <c r="H68" s="18"/>
      <c r="R68" s="1"/>
      <c r="S68" s="1"/>
      <c r="T68" s="1"/>
      <c r="U68" s="1"/>
      <c r="V68" s="1"/>
      <c r="W68" s="1"/>
      <c r="X68" s="1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6"/>
      <c r="BB68" s="6"/>
      <c r="BC68" s="6"/>
    </row>
    <row r="69" spans="1:55" s="4" customFormat="1">
      <c r="A69" s="1"/>
      <c r="B69" s="1"/>
      <c r="C69" s="1"/>
      <c r="D69" s="2"/>
      <c r="E69" s="1"/>
      <c r="F69" s="18"/>
      <c r="G69" s="18"/>
      <c r="H69" s="18"/>
      <c r="R69" s="1"/>
      <c r="S69" s="1"/>
      <c r="T69" s="1"/>
      <c r="U69" s="1"/>
      <c r="V69" s="1"/>
      <c r="W69" s="1"/>
      <c r="X69" s="1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6"/>
      <c r="BB69" s="6"/>
      <c r="BC69" s="6"/>
    </row>
    <row r="70" spans="1:55" s="4" customFormat="1">
      <c r="A70" s="1"/>
      <c r="B70" s="1"/>
      <c r="C70" s="1"/>
      <c r="D70" s="2"/>
      <c r="E70" s="1"/>
      <c r="F70" s="18"/>
      <c r="G70" s="18"/>
      <c r="H70" s="18"/>
      <c r="R70" s="1"/>
      <c r="S70" s="1"/>
      <c r="T70" s="1"/>
      <c r="U70" s="1"/>
      <c r="V70" s="1"/>
      <c r="W70" s="1"/>
      <c r="X70" s="1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6"/>
      <c r="BB70" s="6"/>
      <c r="BC70" s="6"/>
    </row>
    <row r="71" spans="1:55" s="4" customFormat="1">
      <c r="A71" s="1"/>
      <c r="B71" s="1"/>
      <c r="C71" s="1"/>
      <c r="D71" s="2"/>
      <c r="E71" s="1"/>
      <c r="F71" s="18"/>
      <c r="G71" s="18"/>
      <c r="H71" s="18"/>
      <c r="R71" s="1"/>
      <c r="S71" s="1"/>
      <c r="T71" s="1"/>
      <c r="U71" s="1"/>
      <c r="V71" s="1"/>
      <c r="W71" s="1"/>
      <c r="X71" s="1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6"/>
      <c r="BB71" s="6"/>
      <c r="BC71" s="6"/>
    </row>
    <row r="72" spans="1:55" s="4" customFormat="1">
      <c r="A72" s="1"/>
      <c r="B72" s="1"/>
      <c r="C72" s="1"/>
      <c r="D72" s="2"/>
      <c r="E72" s="1"/>
      <c r="F72" s="18"/>
      <c r="G72" s="18"/>
      <c r="H72" s="18"/>
      <c r="R72" s="1"/>
      <c r="S72" s="1"/>
      <c r="T72" s="1"/>
      <c r="U72" s="1"/>
      <c r="V72" s="1"/>
      <c r="W72" s="1"/>
      <c r="X72" s="1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6"/>
      <c r="BB72" s="6"/>
      <c r="BC72" s="6"/>
    </row>
    <row r="73" spans="1:55" s="4" customFormat="1">
      <c r="A73" s="1"/>
      <c r="B73" s="1"/>
      <c r="C73" s="1"/>
      <c r="D73" s="2"/>
      <c r="E73" s="1"/>
      <c r="F73" s="18"/>
      <c r="G73" s="18"/>
      <c r="H73" s="18"/>
      <c r="R73" s="1"/>
      <c r="S73" s="1"/>
      <c r="T73" s="1"/>
      <c r="U73" s="1"/>
      <c r="V73" s="1"/>
      <c r="W73" s="1"/>
      <c r="X73" s="1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6"/>
      <c r="BB73" s="6"/>
      <c r="BC73" s="6"/>
    </row>
    <row r="74" spans="1:55" s="4" customFormat="1">
      <c r="A74" s="1"/>
      <c r="B74" s="1"/>
      <c r="C74" s="1"/>
      <c r="D74" s="2"/>
      <c r="E74" s="1"/>
      <c r="F74" s="18"/>
      <c r="G74" s="18"/>
      <c r="H74" s="18"/>
      <c r="R74" s="1"/>
      <c r="S74" s="1"/>
      <c r="T74" s="1"/>
      <c r="U74" s="1"/>
      <c r="V74" s="1"/>
      <c r="W74" s="1"/>
      <c r="X74" s="1"/>
      <c r="AP74" s="26">
        <f>AN74</f>
        <v>0</v>
      </c>
      <c r="AQ74" s="27" t="str">
        <f>RIGHT("000000000000"&amp;ROUND(AP74,0),12)</f>
        <v>000000000000</v>
      </c>
      <c r="AR74" s="28">
        <v>1</v>
      </c>
      <c r="AS74" s="28">
        <v>2</v>
      </c>
      <c r="AT74" s="28">
        <v>3</v>
      </c>
      <c r="AU74" s="28">
        <v>4</v>
      </c>
      <c r="AV74" s="28">
        <v>5</v>
      </c>
      <c r="AW74" s="28">
        <v>6</v>
      </c>
      <c r="AX74" s="28">
        <v>7</v>
      </c>
      <c r="AY74" s="28">
        <v>8</v>
      </c>
      <c r="AZ74" s="28">
        <v>9</v>
      </c>
      <c r="BA74" s="29">
        <v>10</v>
      </c>
      <c r="BB74" s="29">
        <v>11</v>
      </c>
      <c r="BC74" s="29">
        <v>12</v>
      </c>
    </row>
    <row r="75" spans="1:55" s="4" customFormat="1">
      <c r="A75" s="1"/>
      <c r="B75" s="1"/>
      <c r="C75" s="1"/>
      <c r="D75" s="2"/>
      <c r="E75" s="1"/>
      <c r="F75" s="18"/>
      <c r="G75" s="18"/>
      <c r="H75" s="18"/>
      <c r="R75" s="1"/>
      <c r="S75" s="1"/>
      <c r="T75" s="1"/>
      <c r="U75" s="1"/>
      <c r="V75" s="1"/>
      <c r="W75" s="1"/>
      <c r="X75" s="1"/>
      <c r="AP75" s="30"/>
      <c r="AQ75" s="31"/>
      <c r="AR75" s="32">
        <f>VALUE(MID(AQ74,AR74,1))</f>
        <v>0</v>
      </c>
      <c r="AS75" s="32">
        <f>VALUE(MID(AQ74,AS74,1))</f>
        <v>0</v>
      </c>
      <c r="AT75" s="32">
        <f>VALUE(MID(AQ74,AT74,1))</f>
        <v>0</v>
      </c>
      <c r="AU75" s="32">
        <f>VALUE(MID(AQ74,AU74,1))</f>
        <v>0</v>
      </c>
      <c r="AV75" s="32">
        <f>VALUE(MID(AQ74,AV74,1))</f>
        <v>0</v>
      </c>
      <c r="AW75" s="32">
        <f>VALUE(MID(AQ74,AW74,1))</f>
        <v>0</v>
      </c>
      <c r="AX75" s="32">
        <f>VALUE(MID(AQ74,AX74,1))</f>
        <v>0</v>
      </c>
      <c r="AY75" s="32">
        <f>VALUE(MID(AQ74,AY74,1))</f>
        <v>0</v>
      </c>
      <c r="AZ75" s="32">
        <f>VALUE(MID(AQ74,AZ74,1))</f>
        <v>0</v>
      </c>
      <c r="BA75" s="33">
        <f>VALUE(MID(AQ74,BA74,1))</f>
        <v>0</v>
      </c>
      <c r="BB75" s="33">
        <f>VALUE(MID(AQ74,BB74,1))</f>
        <v>0</v>
      </c>
      <c r="BC75" s="33">
        <f>VALUE(MID(AQ74,BC74,1))</f>
        <v>0</v>
      </c>
    </row>
    <row r="76" spans="1:55" s="4" customFormat="1">
      <c r="A76" s="1"/>
      <c r="B76" s="1"/>
      <c r="C76" s="1"/>
      <c r="D76" s="2"/>
      <c r="E76" s="1"/>
      <c r="F76" s="18"/>
      <c r="G76" s="18"/>
      <c r="H76" s="18"/>
      <c r="R76" s="1"/>
      <c r="S76" s="1"/>
      <c r="T76" s="1"/>
      <c r="U76" s="1"/>
      <c r="V76" s="1"/>
      <c r="W76" s="1"/>
      <c r="X76" s="1"/>
      <c r="AP76" s="30"/>
      <c r="AQ76" s="31"/>
      <c r="AR76" s="32"/>
      <c r="AS76" s="32"/>
      <c r="AT76" s="32"/>
      <c r="AU76" s="32"/>
      <c r="AV76" s="32"/>
      <c r="AW76" s="32"/>
      <c r="AX76" s="32"/>
      <c r="AY76" s="32"/>
      <c r="AZ76" s="32"/>
      <c r="BA76" s="33"/>
      <c r="BB76" s="33"/>
      <c r="BC76" s="33"/>
    </row>
    <row r="77" spans="1:55" s="4" customFormat="1">
      <c r="A77" s="1"/>
      <c r="B77" s="1"/>
      <c r="C77" s="1"/>
      <c r="D77" s="2"/>
      <c r="E77" s="1"/>
      <c r="F77" s="18"/>
      <c r="G77" s="18"/>
      <c r="H77" s="18"/>
      <c r="R77" s="1"/>
      <c r="S77" s="1"/>
      <c r="T77" s="1"/>
      <c r="U77" s="1"/>
      <c r="V77" s="1"/>
      <c r="W77" s="1"/>
      <c r="X77" s="1"/>
      <c r="AP77" s="30"/>
      <c r="AQ77" s="31"/>
      <c r="AR77" s="32">
        <f>SUM(AR75:AR75)</f>
        <v>0</v>
      </c>
      <c r="AS77" s="32">
        <f>SUM(AR75:AS75)</f>
        <v>0</v>
      </c>
      <c r="AT77" s="32">
        <f>SUM(AR75:AT75)</f>
        <v>0</v>
      </c>
      <c r="AU77" s="32">
        <f>SUM(AU75:AU75)</f>
        <v>0</v>
      </c>
      <c r="AV77" s="32">
        <f>SUM(AU75:AV75)</f>
        <v>0</v>
      </c>
      <c r="AW77" s="32">
        <f>SUM(AU75:AW75)</f>
        <v>0</v>
      </c>
      <c r="AX77" s="32">
        <f>SUM(AX75:AX75)</f>
        <v>0</v>
      </c>
      <c r="AY77" s="32">
        <f>SUM(AX75:AY75)</f>
        <v>0</v>
      </c>
      <c r="AZ77" s="32">
        <f>SUM(AX75:AZ75)</f>
        <v>0</v>
      </c>
      <c r="BA77" s="33">
        <f>SUM(BA75:BA75)</f>
        <v>0</v>
      </c>
      <c r="BB77" s="33">
        <f>SUM(BA75:BB75)</f>
        <v>0</v>
      </c>
      <c r="BC77" s="33">
        <f>SUM(BA75:BC75)</f>
        <v>0</v>
      </c>
    </row>
    <row r="78" spans="1:55" s="4" customFormat="1">
      <c r="A78" s="1"/>
      <c r="B78" s="1"/>
      <c r="C78" s="1"/>
      <c r="D78" s="2"/>
      <c r="E78" s="1"/>
      <c r="F78" s="18"/>
      <c r="G78" s="18"/>
      <c r="H78" s="18"/>
      <c r="R78" s="1"/>
      <c r="S78" s="1"/>
      <c r="T78" s="1"/>
      <c r="U78" s="1"/>
      <c r="V78" s="1"/>
      <c r="W78" s="1"/>
      <c r="X78" s="1"/>
      <c r="AP78" s="30"/>
      <c r="AQ78" s="31"/>
      <c r="AR78" s="34" t="str">
        <f>IF(AR75=0,"",CHOOSE(AR75,"mét","hai","ba","bèn","n¨m","s¸u","b¶y","t¸m","chÝn"))</f>
        <v/>
      </c>
      <c r="AS78" s="34" t="str">
        <f>IF(AS75=0,IF(AND(AR75&lt;&gt;0,AT75&lt;&gt;0),"lÎ",""),CHOOSE(AS75,"m­êi","hai","ba","bèn","n¨m","s¸u","b¶y","t¸m","chÝn"))</f>
        <v/>
      </c>
      <c r="AT78" s="34" t="str">
        <f>IF(AT75=0,"",CHOOSE(AT75,IF(AS75&gt;1,"mèt","mét"),"hai","ba","bèn",IF(AS75=0,"n¨m","l¨m"),"s¸u","b¶y","t¸m","chÝn"))</f>
        <v/>
      </c>
      <c r="AU78" s="34" t="str">
        <f>IF(AU75=0,"",CHOOSE(AU75,"mét","hai","ba","bốn","n¨m","s¸u","b¶y","t¸m","chÝn"))</f>
        <v/>
      </c>
      <c r="AV78" s="34" t="str">
        <f>IF(AV75=0,IF(AND(AU75&lt;&gt;0,AW75&lt;&gt;0),"lÎ",""),CHOOSE(AV75,"m­êi ","hai","ba","bèn","n¨m","s¸u","b¶y","t¸m","chÝn"))</f>
        <v/>
      </c>
      <c r="AW78" s="34" t="str">
        <f>IF(AW75=0,"",CHOOSE(AW75,IF(AV75&gt;1,"mèt","mét"),"hai","ba","bèn",IF(AV75=0,"n¨m","l¨m"),"s¸u","b¶y","t¸m","chÝn"))</f>
        <v/>
      </c>
      <c r="AX78" s="34" t="str">
        <f>IF(AX75=0,"",CHOOSE(AX75,"mét","hai","ba","bèn","n¨m","s¸u","b¶y","t¸m","chÝn"))</f>
        <v/>
      </c>
      <c r="AY78" s="34" t="str">
        <f>IF(AY75=0,IF(AND(AX75&lt;&gt;0,AZ75&lt;&gt;0),"lÎ",""),CHOOSE(AY75,"m­êi","hai","ba","bèn","n¨m","s¸u","b¶y","t¸m","chÝn"))</f>
        <v/>
      </c>
      <c r="AZ78" s="34" t="str">
        <f>IF(AZ75=0,"",CHOOSE(AZ75,IF(AY75&gt;1,"mèt","mét"),"hai","ba","bèn",IF(AY75=0,"n¨m","l¨m"),"s¸u","b¶y","t¸m","chÝn"))</f>
        <v/>
      </c>
      <c r="BA78" s="35" t="str">
        <f>IF(BA75=0,"",CHOOSE(BA75,"mét","hai","ba","bèn","n¨m","s¸u","b¶y","t¸m","chÝn"))</f>
        <v/>
      </c>
      <c r="BB78" s="35" t="str">
        <f>IF(BB75=0,IF(AND(BA75&lt;&gt;0,BC75&lt;&gt;0),"lÎ",""),CHOOSE(BB75,"m­êi","hai","ba","bèn","n¨m","s¸u","b¶y","t¸m","chÝn"))</f>
        <v/>
      </c>
      <c r="BC78" s="35" t="str">
        <f>IF(BC75=0,"",CHOOSE(BC75,IF(BB75&gt;1,"mèt","mét"),"hai","ba","bèn",IF(BB75=0,"n¨m","l¨m"),"s¸u","b¶y","t¸m","chÝn"))</f>
        <v/>
      </c>
    </row>
    <row r="79" spans="1:55" s="4" customFormat="1">
      <c r="A79" s="1"/>
      <c r="B79" s="1"/>
      <c r="C79" s="1"/>
      <c r="D79" s="2"/>
      <c r="E79" s="1"/>
      <c r="F79" s="18"/>
      <c r="G79" s="18"/>
      <c r="H79" s="18"/>
      <c r="R79" s="1"/>
      <c r="S79" s="1"/>
      <c r="T79" s="1"/>
      <c r="U79" s="1"/>
      <c r="V79" s="1"/>
      <c r="W79" s="1"/>
      <c r="X79" s="1"/>
      <c r="AP79" s="30"/>
      <c r="AQ79" s="31"/>
      <c r="AR79" s="36" t="str">
        <f>IF(AR75=0,"","tr¨m")</f>
        <v/>
      </c>
      <c r="AS79" s="36" t="str">
        <f>IF(AS75=0,"",IF(AS75=1,"","m­¬i"))</f>
        <v/>
      </c>
      <c r="AT79" s="36" t="str">
        <f>IF(AND(AT75=0,AT77=0),"","tû")</f>
        <v/>
      </c>
      <c r="AU79" s="36" t="str">
        <f>IF(AU75=0,"","tr¨m")</f>
        <v/>
      </c>
      <c r="AV79" s="36" t="str">
        <f>IF(AV75=0,"",IF(AV75=1,"","m­¬i"))</f>
        <v/>
      </c>
      <c r="AW79" s="36" t="str">
        <f>IF(AND(AW75=0,AW77=0),"","triÖu")</f>
        <v/>
      </c>
      <c r="AX79" s="36" t="str">
        <f>IF(AX75=0,"","tr¨m")</f>
        <v/>
      </c>
      <c r="AY79" s="36" t="str">
        <f>IF(AY75=0,"",IF(AY75=1,"","m­¬i"))</f>
        <v/>
      </c>
      <c r="AZ79" s="36" t="str">
        <f>IF(AND(AZ75=0,AZ77=0),"","ngh×n")</f>
        <v/>
      </c>
      <c r="BA79" s="37" t="str">
        <f>IF(BA75=0,"","tr¨m")</f>
        <v/>
      </c>
      <c r="BB79" s="37" t="str">
        <f>IF(BB75=0,"",IF(BB75=1,"","m­¬i"))</f>
        <v/>
      </c>
      <c r="BC79" s="38" t="s">
        <v>19</v>
      </c>
    </row>
    <row r="80" spans="1:55" s="4" customFormat="1">
      <c r="A80" s="1"/>
      <c r="B80" s="1"/>
      <c r="C80" s="1"/>
      <c r="D80" s="2"/>
      <c r="E80" s="1"/>
      <c r="F80" s="18"/>
      <c r="G80" s="18"/>
      <c r="H80" s="18"/>
      <c r="R80" s="1"/>
      <c r="S80" s="1"/>
      <c r="T80" s="1"/>
      <c r="U80" s="1"/>
      <c r="V80" s="1"/>
      <c r="W80" s="1"/>
      <c r="X80" s="1"/>
      <c r="AP80" s="30"/>
      <c r="AQ80" s="32" t="str">
        <f>UPPER(LEFT(TRIM(IF(AP74=0,"kh«ng đồng.",AR78&amp;" "&amp;AR79&amp;" "&amp;AS78&amp;" "&amp;AS79&amp;" "&amp;AT78&amp;" "&amp;AT79&amp;" "&amp;AU78&amp;" "&amp;AU79&amp;" "&amp;AV78&amp;" "&amp;AV79&amp;" "&amp;AW78&amp;" "&amp;AW79&amp;" "&amp;AX78&amp;" "&amp;AX79&amp;" "&amp;AY78&amp;" "&amp;AY79&amp;" "&amp;AZ78&amp;" "&amp;AZ79&amp;" "&amp;BA78&amp;" "&amp;BA79&amp;" "&amp;BB78&amp;" "&amp;BB79&amp;" "&amp;BC78&amp;" "&amp;BC79)),1))&amp;RIGHT(TRIM(IF(AP74=0,"kh«ng đồng.",AR78&amp;" "&amp;AR79&amp;" "&amp;AS78&amp;" "&amp;AS79&amp;" "&amp;AT78&amp;" "&amp;AT79&amp;" "&amp;AU78&amp;" "&amp;AU79&amp;" "&amp;AV78&amp;" "&amp;AV79&amp;" "&amp;AW78&amp;" "&amp;AW79&amp;" "&amp;AX78&amp;" "&amp;AX79&amp;" "&amp;AY78&amp;" "&amp;AY79&amp;" "&amp;AZ78&amp;" "&amp;AZ79&amp;" "&amp;BA78&amp;" "&amp;BA79&amp;" "&amp;BB78&amp;" "&amp;BB79&amp;" "&amp;BC78&amp;" "&amp;BC79)),LEN(TRIM(IF(AP74=0,"không đồng.",AR78&amp;" "&amp;AR79&amp;" "&amp;AS78&amp;" "&amp;AS79&amp;" "&amp;AT78&amp;" "&amp;AT79&amp;" "&amp;AU78&amp;" "&amp;AU79&amp;" "&amp;AV78&amp;" "&amp;AV79&amp;" "&amp;AW78&amp;" "&amp;AW79&amp;" "&amp;AX78&amp;" "&amp;AX79&amp;" "&amp;AY78&amp;" "&amp;AY79&amp;" "&amp;AZ78&amp;" "&amp;AZ79&amp;" "&amp;BA78&amp;" "&amp;BA79&amp;" "&amp;BB78&amp;" "&amp;BB79&amp;" "&amp;BC78&amp;" "&amp;BC79)))-1)</f>
        <v>Kh«ng đồng.</v>
      </c>
      <c r="AR80" s="31"/>
      <c r="AS80" s="31"/>
      <c r="AT80" s="31"/>
      <c r="AU80" s="31"/>
      <c r="AV80" s="31"/>
      <c r="AW80" s="31"/>
      <c r="AX80" s="31"/>
      <c r="AY80" s="31"/>
      <c r="AZ80" s="31"/>
      <c r="BA80" s="39"/>
      <c r="BB80" s="39"/>
      <c r="BC80" s="39"/>
    </row>
    <row r="81" spans="1:55" s="4" customFormat="1">
      <c r="A81" s="1"/>
      <c r="B81" s="1"/>
      <c r="C81" s="1"/>
      <c r="D81" s="2"/>
      <c r="E81" s="1"/>
      <c r="F81" s="18"/>
      <c r="G81" s="18"/>
      <c r="H81" s="18"/>
      <c r="R81" s="1"/>
      <c r="S81" s="1"/>
      <c r="T81" s="1"/>
      <c r="U81" s="1"/>
      <c r="V81" s="1"/>
      <c r="W81" s="1"/>
      <c r="X81" s="1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6"/>
      <c r="BB81" s="6"/>
      <c r="BC81" s="6"/>
    </row>
    <row r="82" spans="1:55" s="4" customFormat="1">
      <c r="A82" s="1"/>
      <c r="B82" s="1"/>
      <c r="C82" s="1"/>
      <c r="D82" s="2"/>
      <c r="E82" s="1"/>
      <c r="F82" s="18"/>
      <c r="G82" s="18"/>
      <c r="H82" s="18"/>
      <c r="R82" s="1"/>
      <c r="S82" s="1"/>
      <c r="T82" s="1"/>
      <c r="U82" s="1"/>
      <c r="V82" s="1"/>
      <c r="W82" s="1"/>
      <c r="X82" s="1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6"/>
      <c r="BB82" s="6"/>
      <c r="BC82" s="6"/>
    </row>
    <row r="83" spans="1:55" s="4" customFormat="1">
      <c r="A83" s="1"/>
      <c r="B83" s="1"/>
      <c r="C83" s="1"/>
      <c r="D83" s="2"/>
      <c r="E83" s="1"/>
      <c r="F83" s="18"/>
      <c r="G83" s="18"/>
      <c r="H83" s="18"/>
      <c r="R83" s="1"/>
      <c r="S83" s="1"/>
      <c r="T83" s="1"/>
      <c r="U83" s="1"/>
      <c r="V83" s="1"/>
      <c r="W83" s="1"/>
      <c r="X83" s="1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6"/>
      <c r="BB83" s="6"/>
      <c r="BC83" s="6"/>
    </row>
    <row r="84" spans="1:55" s="4" customFormat="1">
      <c r="A84" s="1"/>
      <c r="B84" s="1"/>
      <c r="C84" s="1"/>
      <c r="D84" s="2"/>
      <c r="E84" s="1"/>
      <c r="F84" s="18"/>
      <c r="G84" s="18"/>
      <c r="H84" s="18"/>
      <c r="R84" s="1"/>
      <c r="S84" s="1"/>
      <c r="T84" s="1"/>
      <c r="U84" s="1"/>
      <c r="V84" s="1"/>
      <c r="W84" s="1"/>
      <c r="X84" s="1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6"/>
      <c r="BB84" s="6"/>
      <c r="BC84" s="6"/>
    </row>
  </sheetData>
  <mergeCells count="6">
    <mergeCell ref="A1:E1"/>
    <mergeCell ref="A2:A3"/>
    <mergeCell ref="B2:B3"/>
    <mergeCell ref="C2:C3"/>
    <mergeCell ref="E2:E3"/>
    <mergeCell ref="D2:D3"/>
  </mergeCells>
  <pageMargins left="0.45" right="0.2" top="0.5" bottom="0.2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O39" sqref="O39"/>
    </sheetView>
  </sheetViews>
  <sheetFormatPr defaultColWidth="11.42578125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Đơn giá d.vụ sử dụng VL Gervin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Xuan Luan</dc:creator>
  <cp:lastModifiedBy>admin</cp:lastModifiedBy>
  <cp:lastPrinted>2022-05-02T08:47:11Z</cp:lastPrinted>
  <dcterms:created xsi:type="dcterms:W3CDTF">2022-05-02T03:59:53Z</dcterms:created>
  <dcterms:modified xsi:type="dcterms:W3CDTF">2026-07-03T02:01:20Z</dcterms:modified>
</cp:coreProperties>
</file>