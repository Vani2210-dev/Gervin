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THAM KHẢO\Desktop\"/>
    </mc:Choice>
  </mc:AlternateContent>
  <bookViews>
    <workbookView xWindow="-120" yWindow="-120" windowWidth="29040" windowHeight="15840" tabRatio="895"/>
  </bookViews>
  <sheets>
    <sheet name="GIA CONG ACRYLIC" sheetId="18" r:id="rId1"/>
    <sheet name="LENH GIA CONG TAM" sheetId="13" r:id="rId2"/>
    <sheet name="DH LEN PHAN MEM" sheetId="19" r:id="rId3"/>
    <sheet name="BAZIS" sheetId="20" r:id="rId4"/>
    <sheet name="BAZIS-PM" sheetId="21" r:id="rId5"/>
  </sheets>
  <definedNames>
    <definedName name="_xlnm._FilterDatabase" localSheetId="0" hidden="1">'GIA CONG ACRYLIC'!$D$12:$E$75</definedName>
    <definedName name="_xlnm.Print_Area" localSheetId="0">'GIA CONG ACRYLIC'!$A$1:$M$81</definedName>
    <definedName name="_xlnm.Print_Area" localSheetId="1">'LENH GIA CONG TAM'!$A$1:$K$67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3" i="13" l="1"/>
  <c r="J33" i="13"/>
  <c r="H33" i="13"/>
  <c r="E33" i="13"/>
  <c r="A35" i="13"/>
  <c r="B35" i="13"/>
  <c r="C35" i="13"/>
  <c r="D35" i="13"/>
  <c r="J35" i="13" s="1"/>
  <c r="E35" i="13"/>
  <c r="F35" i="13"/>
  <c r="G35" i="13"/>
  <c r="H35" i="13"/>
  <c r="I35" i="13"/>
  <c r="K35" i="13"/>
  <c r="A36" i="13"/>
  <c r="B36" i="13"/>
  <c r="C36" i="13"/>
  <c r="D36" i="13"/>
  <c r="E36" i="13"/>
  <c r="I36" i="13" s="1"/>
  <c r="F36" i="13"/>
  <c r="G36" i="13"/>
  <c r="K36" i="13"/>
  <c r="A37" i="13"/>
  <c r="B37" i="13"/>
  <c r="C37" i="13"/>
  <c r="D37" i="13"/>
  <c r="J37" i="13" s="1"/>
  <c r="E37" i="13"/>
  <c r="F37" i="13"/>
  <c r="G37" i="13"/>
  <c r="H37" i="13"/>
  <c r="I37" i="13"/>
  <c r="K37" i="13"/>
  <c r="A38" i="13"/>
  <c r="B38" i="13"/>
  <c r="C38" i="13"/>
  <c r="H38" i="13" s="1"/>
  <c r="D38" i="13"/>
  <c r="E38" i="13"/>
  <c r="F38" i="13"/>
  <c r="G38" i="13"/>
  <c r="I38" i="13"/>
  <c r="K38" i="13"/>
  <c r="A39" i="13"/>
  <c r="B39" i="13"/>
  <c r="C39" i="13"/>
  <c r="H39" i="13" s="1"/>
  <c r="D39" i="13"/>
  <c r="E39" i="13"/>
  <c r="J39" i="13" s="1"/>
  <c r="F39" i="13"/>
  <c r="G39" i="13"/>
  <c r="I39" i="13"/>
  <c r="K39" i="13"/>
  <c r="A40" i="13"/>
  <c r="B40" i="13"/>
  <c r="C40" i="13"/>
  <c r="J40" i="13" s="1"/>
  <c r="D40" i="13"/>
  <c r="E40" i="13"/>
  <c r="F40" i="13"/>
  <c r="G40" i="13"/>
  <c r="I40" i="13"/>
  <c r="K40" i="13"/>
  <c r="A41" i="13"/>
  <c r="B41" i="13"/>
  <c r="C41" i="13"/>
  <c r="H41" i="13" s="1"/>
  <c r="D41" i="13"/>
  <c r="E41" i="13"/>
  <c r="F41" i="13"/>
  <c r="G41" i="13"/>
  <c r="I41" i="13"/>
  <c r="K41" i="13"/>
  <c r="A42" i="13"/>
  <c r="B42" i="13"/>
  <c r="C42" i="13"/>
  <c r="J42" i="13" s="1"/>
  <c r="D42" i="13"/>
  <c r="E42" i="13"/>
  <c r="F42" i="13"/>
  <c r="G42" i="13"/>
  <c r="I42" i="13"/>
  <c r="K42" i="13"/>
  <c r="A43" i="13"/>
  <c r="B43" i="13"/>
  <c r="C43" i="13"/>
  <c r="J43" i="13" s="1"/>
  <c r="D43" i="13"/>
  <c r="E43" i="13"/>
  <c r="F43" i="13"/>
  <c r="G43" i="13"/>
  <c r="I43" i="13"/>
  <c r="K43" i="13"/>
  <c r="A44" i="13"/>
  <c r="B44" i="13"/>
  <c r="C44" i="13"/>
  <c r="D44" i="13"/>
  <c r="E44" i="13"/>
  <c r="F44" i="13"/>
  <c r="G44" i="13"/>
  <c r="I44" i="13"/>
  <c r="K44" i="13"/>
  <c r="A45" i="13"/>
  <c r="B45" i="13"/>
  <c r="C45" i="13"/>
  <c r="J45" i="13" s="1"/>
  <c r="D45" i="13"/>
  <c r="E45" i="13"/>
  <c r="F45" i="13"/>
  <c r="G45" i="13"/>
  <c r="I45" i="13"/>
  <c r="K45" i="13"/>
  <c r="A46" i="13"/>
  <c r="B46" i="13"/>
  <c r="C46" i="13"/>
  <c r="D46" i="13"/>
  <c r="E46" i="13"/>
  <c r="I46" i="13" s="1"/>
  <c r="F46" i="13"/>
  <c r="G46" i="13"/>
  <c r="K46" i="13"/>
  <c r="A47" i="13"/>
  <c r="B47" i="13"/>
  <c r="C47" i="13"/>
  <c r="D47" i="13"/>
  <c r="J47" i="13" s="1"/>
  <c r="E47" i="13"/>
  <c r="F47" i="13"/>
  <c r="G47" i="13"/>
  <c r="I47" i="13"/>
  <c r="K47" i="13"/>
  <c r="A48" i="13"/>
  <c r="B48" i="13"/>
  <c r="C48" i="13"/>
  <c r="J48" i="13" s="1"/>
  <c r="D48" i="13"/>
  <c r="E48" i="13"/>
  <c r="F48" i="13"/>
  <c r="G48" i="13"/>
  <c r="I48" i="13"/>
  <c r="K48" i="13"/>
  <c r="A49" i="13"/>
  <c r="B49" i="13"/>
  <c r="C49" i="13"/>
  <c r="H49" i="13" s="1"/>
  <c r="D49" i="13"/>
  <c r="E49" i="13"/>
  <c r="F49" i="13"/>
  <c r="G49" i="13"/>
  <c r="I49" i="13"/>
  <c r="K49" i="13"/>
  <c r="A50" i="13"/>
  <c r="B50" i="13"/>
  <c r="C50" i="13"/>
  <c r="J50" i="13" s="1"/>
  <c r="D50" i="13"/>
  <c r="E50" i="13"/>
  <c r="F50" i="13"/>
  <c r="G50" i="13"/>
  <c r="I50" i="13"/>
  <c r="K50" i="13"/>
  <c r="A51" i="13"/>
  <c r="B51" i="13"/>
  <c r="C51" i="13"/>
  <c r="J51" i="13" s="1"/>
  <c r="D51" i="13"/>
  <c r="E51" i="13"/>
  <c r="F51" i="13"/>
  <c r="G51" i="13"/>
  <c r="I51" i="13"/>
  <c r="K51" i="13"/>
  <c r="A52" i="13"/>
  <c r="B52" i="13"/>
  <c r="C52" i="13"/>
  <c r="D52" i="13"/>
  <c r="E52" i="13"/>
  <c r="F52" i="13"/>
  <c r="G52" i="13"/>
  <c r="I52" i="13"/>
  <c r="K52" i="13"/>
  <c r="A53" i="13"/>
  <c r="B53" i="13"/>
  <c r="C53" i="13"/>
  <c r="J53" i="13" s="1"/>
  <c r="D53" i="13"/>
  <c r="E53" i="13"/>
  <c r="F53" i="13"/>
  <c r="G53" i="13"/>
  <c r="I53" i="13"/>
  <c r="K53" i="13"/>
  <c r="A54" i="13"/>
  <c r="B54" i="13"/>
  <c r="C54" i="13"/>
  <c r="D54" i="13"/>
  <c r="E54" i="13"/>
  <c r="F54" i="13"/>
  <c r="G54" i="13"/>
  <c r="K54" i="13"/>
  <c r="A55" i="13"/>
  <c r="B55" i="13"/>
  <c r="C55" i="13"/>
  <c r="D55" i="13"/>
  <c r="E55" i="13"/>
  <c r="J55" i="13" s="1"/>
  <c r="F55" i="13"/>
  <c r="G55" i="13"/>
  <c r="K55" i="13"/>
  <c r="A56" i="13"/>
  <c r="B56" i="13"/>
  <c r="C56" i="13"/>
  <c r="J56" i="13" s="1"/>
  <c r="D56" i="13"/>
  <c r="E56" i="13"/>
  <c r="F56" i="13"/>
  <c r="G56" i="13"/>
  <c r="I56" i="13"/>
  <c r="K56" i="13"/>
  <c r="A57" i="13"/>
  <c r="B57" i="13"/>
  <c r="C57" i="13"/>
  <c r="J57" i="13" s="1"/>
  <c r="D57" i="13"/>
  <c r="E57" i="13"/>
  <c r="F57" i="13"/>
  <c r="G57" i="13"/>
  <c r="I57" i="13"/>
  <c r="K57" i="13"/>
  <c r="A58" i="13"/>
  <c r="B58" i="13"/>
  <c r="C58" i="13"/>
  <c r="D58" i="13"/>
  <c r="E58" i="13"/>
  <c r="F58" i="13"/>
  <c r="G58" i="13"/>
  <c r="I58" i="13"/>
  <c r="K58" i="13"/>
  <c r="A59" i="13"/>
  <c r="B59" i="13"/>
  <c r="C59" i="13"/>
  <c r="J59" i="13" s="1"/>
  <c r="D59" i="13"/>
  <c r="E59" i="13"/>
  <c r="F59" i="13"/>
  <c r="G59" i="13"/>
  <c r="I59" i="13"/>
  <c r="K59" i="13"/>
  <c r="A60" i="13"/>
  <c r="B60" i="13"/>
  <c r="C60" i="13"/>
  <c r="D60" i="13"/>
  <c r="E60" i="13"/>
  <c r="I60" i="13" s="1"/>
  <c r="F60" i="13"/>
  <c r="G60" i="13"/>
  <c r="K60" i="13"/>
  <c r="A61" i="13"/>
  <c r="B61" i="13"/>
  <c r="C61" i="13"/>
  <c r="D61" i="13"/>
  <c r="H61" i="13" s="1"/>
  <c r="E61" i="13"/>
  <c r="F61" i="13"/>
  <c r="G61" i="13"/>
  <c r="I61" i="13"/>
  <c r="K61" i="13"/>
  <c r="A62" i="13"/>
  <c r="B62" i="13"/>
  <c r="C62" i="13"/>
  <c r="J62" i="13" s="1"/>
  <c r="D62" i="13"/>
  <c r="E62" i="13"/>
  <c r="F62" i="13"/>
  <c r="G62" i="13"/>
  <c r="I62" i="13"/>
  <c r="K62" i="13"/>
  <c r="A63" i="13"/>
  <c r="B63" i="13"/>
  <c r="C63" i="13"/>
  <c r="J63" i="13" s="1"/>
  <c r="D63" i="13"/>
  <c r="E63" i="13"/>
  <c r="F63" i="13"/>
  <c r="G63" i="13"/>
  <c r="I63" i="13"/>
  <c r="K63" i="13"/>
  <c r="A64" i="13"/>
  <c r="B64" i="13"/>
  <c r="C64" i="13"/>
  <c r="D64" i="13"/>
  <c r="E64" i="13"/>
  <c r="F64" i="13"/>
  <c r="G64" i="13"/>
  <c r="I64" i="13"/>
  <c r="K64" i="13"/>
  <c r="F33" i="18"/>
  <c r="F13" i="18"/>
  <c r="I45" i="18"/>
  <c r="H64" i="13" l="1"/>
  <c r="H63" i="13"/>
  <c r="J61" i="13"/>
  <c r="J58" i="13"/>
  <c r="I55" i="13"/>
  <c r="J52" i="13"/>
  <c r="H51" i="13"/>
  <c r="J44" i="13"/>
  <c r="H43" i="13"/>
  <c r="H62" i="13"/>
  <c r="J60" i="13"/>
  <c r="H59" i="13"/>
  <c r="H57" i="13"/>
  <c r="J54" i="13"/>
  <c r="H50" i="13"/>
  <c r="J49" i="13"/>
  <c r="J46" i="13"/>
  <c r="H42" i="13"/>
  <c r="J41" i="13"/>
  <c r="J36" i="13"/>
  <c r="H55" i="13"/>
  <c r="H46" i="13"/>
  <c r="H58" i="13"/>
  <c r="H53" i="13"/>
  <c r="H47" i="13"/>
  <c r="H45" i="13"/>
  <c r="J64" i="13"/>
  <c r="H60" i="13"/>
  <c r="H56" i="13"/>
  <c r="H52" i="13"/>
  <c r="H48" i="13"/>
  <c r="H44" i="13"/>
  <c r="H40" i="13"/>
  <c r="J38" i="13"/>
  <c r="H36" i="13"/>
  <c r="I54" i="13"/>
  <c r="H54" i="13" s="1"/>
  <c r="J37" i="18"/>
  <c r="L37" i="18" s="1"/>
  <c r="J34" i="18"/>
  <c r="I55" i="18"/>
  <c r="L55" i="18" s="1"/>
  <c r="N54" i="18"/>
  <c r="G54" i="18" s="1"/>
  <c r="I54" i="18"/>
  <c r="L54" i="18" s="1"/>
  <c r="N53" i="18"/>
  <c r="G53" i="18" s="1"/>
  <c r="I53" i="18"/>
  <c r="L53" i="18" s="1"/>
  <c r="I52" i="18"/>
  <c r="L52" i="18" s="1"/>
  <c r="N51" i="18"/>
  <c r="G51" i="18" s="1"/>
  <c r="I51" i="18"/>
  <c r="L51" i="18" s="1"/>
  <c r="N50" i="18"/>
  <c r="G50" i="18" s="1"/>
  <c r="I50" i="18"/>
  <c r="L50" i="18" s="1"/>
  <c r="I49" i="18"/>
  <c r="L49" i="18" s="1"/>
  <c r="I48" i="18"/>
  <c r="L48" i="18" s="1"/>
  <c r="I47" i="18"/>
  <c r="L47" i="18" s="1"/>
  <c r="I46" i="18"/>
  <c r="L46" i="18" s="1"/>
  <c r="L45" i="18"/>
  <c r="N44" i="18"/>
  <c r="G44" i="18" s="1"/>
  <c r="I44" i="18"/>
  <c r="L44" i="18" s="1"/>
  <c r="N43" i="18"/>
  <c r="G43" i="18" s="1"/>
  <c r="I43" i="18"/>
  <c r="L43" i="18" s="1"/>
  <c r="I42" i="18"/>
  <c r="L42" i="18" s="1"/>
  <c r="I41" i="18"/>
  <c r="L41" i="18" s="1"/>
  <c r="I40" i="18"/>
  <c r="L40" i="18" s="1"/>
  <c r="I39" i="18"/>
  <c r="L39" i="18" s="1"/>
  <c r="I38" i="18"/>
  <c r="L38" i="18" s="1"/>
  <c r="I36" i="18"/>
  <c r="L36" i="18" s="1"/>
  <c r="I35" i="18"/>
  <c r="L35" i="18" s="1"/>
  <c r="N62" i="18"/>
  <c r="G62" i="18" s="1"/>
  <c r="I62" i="18"/>
  <c r="L62" i="18" s="1"/>
  <c r="I61" i="18"/>
  <c r="L61" i="18" s="1"/>
  <c r="I60" i="18"/>
  <c r="L60" i="18" s="1"/>
  <c r="I59" i="18"/>
  <c r="L59" i="18" s="1"/>
  <c r="I58" i="18"/>
  <c r="L58" i="18" s="1"/>
  <c r="I57" i="18"/>
  <c r="L57" i="18" s="1"/>
  <c r="I56" i="18"/>
  <c r="L56" i="18" s="1"/>
  <c r="J31" i="18"/>
  <c r="J22" i="18"/>
  <c r="J21" i="18"/>
  <c r="J17" i="18"/>
  <c r="I63" i="18"/>
  <c r="I64" i="18"/>
  <c r="I15" i="18"/>
  <c r="I16" i="18"/>
  <c r="I18" i="18"/>
  <c r="I19" i="18"/>
  <c r="I20" i="18"/>
  <c r="I23" i="18"/>
  <c r="I24" i="18"/>
  <c r="I25" i="18"/>
  <c r="I26" i="18"/>
  <c r="I27" i="18"/>
  <c r="I28" i="18"/>
  <c r="I29" i="18"/>
  <c r="I30" i="18"/>
  <c r="I32" i="18"/>
  <c r="A15" i="13" l="1"/>
  <c r="B15" i="13"/>
  <c r="C15" i="13"/>
  <c r="D15" i="13"/>
  <c r="E15" i="13"/>
  <c r="G15" i="13"/>
  <c r="K15" i="13"/>
  <c r="A16" i="13"/>
  <c r="B16" i="13"/>
  <c r="C16" i="13"/>
  <c r="D16" i="13"/>
  <c r="E16" i="13"/>
  <c r="G16" i="13"/>
  <c r="K16" i="13"/>
  <c r="A17" i="13"/>
  <c r="B17" i="13"/>
  <c r="C17" i="13"/>
  <c r="D17" i="13"/>
  <c r="E17" i="13"/>
  <c r="G17" i="13"/>
  <c r="K17" i="13"/>
  <c r="A18" i="13"/>
  <c r="B18" i="13"/>
  <c r="C18" i="13"/>
  <c r="D18" i="13"/>
  <c r="E18" i="13"/>
  <c r="G18" i="13"/>
  <c r="K18" i="13"/>
  <c r="A19" i="13"/>
  <c r="B19" i="13"/>
  <c r="C19" i="13"/>
  <c r="D19" i="13"/>
  <c r="E19" i="13"/>
  <c r="G19" i="13"/>
  <c r="K19" i="13"/>
  <c r="A20" i="13"/>
  <c r="B20" i="13"/>
  <c r="C20" i="13"/>
  <c r="D20" i="13"/>
  <c r="E20" i="13"/>
  <c r="G20" i="13"/>
  <c r="K20" i="13"/>
  <c r="A21" i="13"/>
  <c r="B21" i="13"/>
  <c r="C21" i="13"/>
  <c r="D21" i="13"/>
  <c r="E21" i="13"/>
  <c r="G21" i="13"/>
  <c r="K21" i="13"/>
  <c r="A22" i="13"/>
  <c r="B22" i="13"/>
  <c r="C22" i="13"/>
  <c r="D22" i="13"/>
  <c r="E22" i="13"/>
  <c r="G22" i="13"/>
  <c r="K22" i="13"/>
  <c r="A23" i="13"/>
  <c r="B23" i="13"/>
  <c r="C23" i="13"/>
  <c r="D23" i="13"/>
  <c r="E23" i="13"/>
  <c r="G23" i="13"/>
  <c r="K23" i="13"/>
  <c r="A24" i="13"/>
  <c r="B24" i="13"/>
  <c r="C24" i="13"/>
  <c r="D24" i="13"/>
  <c r="E24" i="13"/>
  <c r="G24" i="13"/>
  <c r="K24" i="13"/>
  <c r="A25" i="13"/>
  <c r="B25" i="13"/>
  <c r="C25" i="13"/>
  <c r="D25" i="13"/>
  <c r="E25" i="13"/>
  <c r="G25" i="13"/>
  <c r="K25" i="13"/>
  <c r="A26" i="13"/>
  <c r="B26" i="13"/>
  <c r="C26" i="13"/>
  <c r="D26" i="13"/>
  <c r="E26" i="13"/>
  <c r="G26" i="13"/>
  <c r="K26" i="13"/>
  <c r="A27" i="13"/>
  <c r="B27" i="13"/>
  <c r="C27" i="13"/>
  <c r="D27" i="13"/>
  <c r="E27" i="13"/>
  <c r="G27" i="13"/>
  <c r="K27" i="13"/>
  <c r="A28" i="13"/>
  <c r="B28" i="13"/>
  <c r="C28" i="13"/>
  <c r="D28" i="13"/>
  <c r="E28" i="13"/>
  <c r="G28" i="13"/>
  <c r="K28" i="13"/>
  <c r="A29" i="13"/>
  <c r="B29" i="13"/>
  <c r="C29" i="13"/>
  <c r="D29" i="13"/>
  <c r="E29" i="13"/>
  <c r="G29" i="13"/>
  <c r="K29" i="13"/>
  <c r="A30" i="13"/>
  <c r="B30" i="13"/>
  <c r="C30" i="13"/>
  <c r="D30" i="13"/>
  <c r="E30" i="13"/>
  <c r="G30" i="13"/>
  <c r="K30" i="13"/>
  <c r="A31" i="13"/>
  <c r="B31" i="13"/>
  <c r="C31" i="13"/>
  <c r="D31" i="13"/>
  <c r="E31" i="13"/>
  <c r="G31" i="13"/>
  <c r="K31" i="13"/>
  <c r="A32" i="13"/>
  <c r="B32" i="13"/>
  <c r="C32" i="13"/>
  <c r="D32" i="13"/>
  <c r="E32" i="13"/>
  <c r="G32" i="13"/>
  <c r="K32" i="13"/>
  <c r="A33" i="13"/>
  <c r="B33" i="13"/>
  <c r="K33" i="13"/>
  <c r="A34" i="13"/>
  <c r="B34" i="13"/>
  <c r="C34" i="13"/>
  <c r="D34" i="13"/>
  <c r="E34" i="13"/>
  <c r="G34" i="13"/>
  <c r="K34" i="13"/>
  <c r="F65" i="18" l="1"/>
  <c r="J21" i="13"/>
  <c r="J20" i="13"/>
  <c r="J31" i="13"/>
  <c r="J15" i="13"/>
  <c r="J29" i="13"/>
  <c r="J17" i="13"/>
  <c r="J19" i="13"/>
  <c r="J28" i="13"/>
  <c r="J23" i="13"/>
  <c r="J25" i="13"/>
  <c r="J24" i="13"/>
  <c r="J32" i="13"/>
  <c r="J27" i="13"/>
  <c r="J16" i="13"/>
  <c r="J34" i="13"/>
  <c r="J30" i="13"/>
  <c r="J26" i="13"/>
  <c r="J22" i="13"/>
  <c r="J18" i="13"/>
  <c r="L23" i="18"/>
  <c r="L22" i="18"/>
  <c r="L17" i="18"/>
  <c r="L24" i="18"/>
  <c r="L64" i="18"/>
  <c r="N64" i="18"/>
  <c r="G64" i="18" s="1"/>
  <c r="N63" i="18"/>
  <c r="L15" i="18"/>
  <c r="L16" i="18"/>
  <c r="L18" i="18"/>
  <c r="L19" i="18"/>
  <c r="L21" i="18"/>
  <c r="L25" i="18"/>
  <c r="L26" i="18"/>
  <c r="L27" i="18"/>
  <c r="L28" i="18"/>
  <c r="L29" i="18"/>
  <c r="L30" i="18"/>
  <c r="L31" i="18"/>
  <c r="L32" i="18"/>
  <c r="N15" i="18"/>
  <c r="N19" i="18"/>
  <c r="N20" i="18"/>
  <c r="F23" i="13"/>
  <c r="N24" i="18"/>
  <c r="N27" i="18"/>
  <c r="N28" i="18"/>
  <c r="N29" i="18"/>
  <c r="G29" i="18" s="1"/>
  <c r="N30" i="18"/>
  <c r="I32" i="13"/>
  <c r="H32" i="13" s="1"/>
  <c r="P53" i="19" l="1"/>
  <c r="P50" i="19"/>
  <c r="G63" i="18"/>
  <c r="P52" i="19"/>
  <c r="P49" i="19"/>
  <c r="L63" i="18"/>
  <c r="J33" i="18"/>
  <c r="P51" i="19"/>
  <c r="P48" i="19"/>
  <c r="Q47" i="19"/>
  <c r="G30" i="18"/>
  <c r="F30" i="13" s="1"/>
  <c r="I26" i="13"/>
  <c r="H26" i="13" s="1"/>
  <c r="P38" i="19" s="1"/>
  <c r="F26" i="13"/>
  <c r="F18" i="13"/>
  <c r="F25" i="13"/>
  <c r="I21" i="13"/>
  <c r="H21" i="13" s="1"/>
  <c r="P33" i="19" s="1"/>
  <c r="F21" i="13"/>
  <c r="F17" i="13"/>
  <c r="I23" i="13"/>
  <c r="H23" i="13" s="1"/>
  <c r="G27" i="18"/>
  <c r="F27" i="13" s="1"/>
  <c r="I19" i="13"/>
  <c r="H19" i="13" s="1"/>
  <c r="G19" i="18"/>
  <c r="F19" i="13" s="1"/>
  <c r="I22" i="13"/>
  <c r="H22" i="13" s="1"/>
  <c r="F22" i="13"/>
  <c r="F32" i="13"/>
  <c r="G28" i="18"/>
  <c r="F28" i="13" s="1"/>
  <c r="I24" i="13"/>
  <c r="H24" i="13" s="1"/>
  <c r="P36" i="19" s="1"/>
  <c r="G24" i="18"/>
  <c r="F24" i="13" s="1"/>
  <c r="I20" i="13"/>
  <c r="H20" i="13" s="1"/>
  <c r="G20" i="18"/>
  <c r="F20" i="13" s="1"/>
  <c r="F16" i="13"/>
  <c r="I30" i="13"/>
  <c r="H30" i="13" s="1"/>
  <c r="P42" i="19" s="1"/>
  <c r="I25" i="13"/>
  <c r="H25" i="13" s="1"/>
  <c r="P37" i="19" s="1"/>
  <c r="F31" i="13"/>
  <c r="I31" i="13"/>
  <c r="H31" i="13" s="1"/>
  <c r="P43" i="19" s="1"/>
  <c r="G15" i="18"/>
  <c r="F15" i="13" s="1"/>
  <c r="I15" i="13"/>
  <c r="H15" i="13" s="1"/>
  <c r="L20" i="18"/>
  <c r="J13" i="18"/>
  <c r="I16" i="13"/>
  <c r="H16" i="13" s="1"/>
  <c r="I28" i="13"/>
  <c r="H28" i="13" s="1"/>
  <c r="P40" i="19" s="1"/>
  <c r="F29" i="13"/>
  <c r="I29" i="13"/>
  <c r="H29" i="13" s="1"/>
  <c r="P41" i="19" s="1"/>
  <c r="I17" i="13"/>
  <c r="H17" i="13" s="1"/>
  <c r="I27" i="13"/>
  <c r="H27" i="13" s="1"/>
  <c r="P39" i="19" s="1"/>
  <c r="I18" i="13"/>
  <c r="H18" i="13" s="1"/>
  <c r="A14" i="19"/>
  <c r="B14" i="19"/>
  <c r="C14" i="19"/>
  <c r="D14" i="19"/>
  <c r="E14" i="19"/>
  <c r="F14" i="19"/>
  <c r="H14" i="19"/>
  <c r="J14" i="19"/>
  <c r="K14" i="19"/>
  <c r="M14" i="19"/>
  <c r="N14" i="19"/>
  <c r="R14" i="19"/>
  <c r="S14" i="19"/>
  <c r="A15" i="19"/>
  <c r="B15" i="19"/>
  <c r="C15" i="19"/>
  <c r="D15" i="19"/>
  <c r="E15" i="19"/>
  <c r="F15" i="19"/>
  <c r="H15" i="19"/>
  <c r="J15" i="19"/>
  <c r="K15" i="19"/>
  <c r="M15" i="19"/>
  <c r="N15" i="19"/>
  <c r="R15" i="19"/>
  <c r="S15" i="19"/>
  <c r="A16" i="19"/>
  <c r="B16" i="19"/>
  <c r="C16" i="19"/>
  <c r="D16" i="19"/>
  <c r="E16" i="19"/>
  <c r="F16" i="19"/>
  <c r="H16" i="19"/>
  <c r="J16" i="19"/>
  <c r="K16" i="19"/>
  <c r="M16" i="19"/>
  <c r="N16" i="19"/>
  <c r="R16" i="19"/>
  <c r="S16" i="19"/>
  <c r="A17" i="19"/>
  <c r="B17" i="19"/>
  <c r="C17" i="19"/>
  <c r="D17" i="19"/>
  <c r="E17" i="19"/>
  <c r="F17" i="19"/>
  <c r="H17" i="19"/>
  <c r="J17" i="19"/>
  <c r="K17" i="19"/>
  <c r="M17" i="19"/>
  <c r="N17" i="19"/>
  <c r="R17" i="19"/>
  <c r="S17" i="19"/>
  <c r="A18" i="19"/>
  <c r="B18" i="19"/>
  <c r="C18" i="19"/>
  <c r="D18" i="19"/>
  <c r="E18" i="19"/>
  <c r="F18" i="19"/>
  <c r="H18" i="19"/>
  <c r="J18" i="19"/>
  <c r="K18" i="19"/>
  <c r="M18" i="19"/>
  <c r="N18" i="19"/>
  <c r="R18" i="19"/>
  <c r="S18" i="19"/>
  <c r="A19" i="19"/>
  <c r="B19" i="19"/>
  <c r="C19" i="19"/>
  <c r="D19" i="19"/>
  <c r="E19" i="19"/>
  <c r="H19" i="19"/>
  <c r="K19" i="19"/>
  <c r="M19" i="19"/>
  <c r="N19" i="19"/>
  <c r="R19" i="19"/>
  <c r="S19" i="19"/>
  <c r="A20" i="19"/>
  <c r="B20" i="19"/>
  <c r="C20" i="19"/>
  <c r="D20" i="19"/>
  <c r="E20" i="19"/>
  <c r="F20" i="19"/>
  <c r="H20" i="19"/>
  <c r="J20" i="19"/>
  <c r="K20" i="19"/>
  <c r="M20" i="19"/>
  <c r="N20" i="19"/>
  <c r="R20" i="19"/>
  <c r="S20" i="19"/>
  <c r="A21" i="19"/>
  <c r="B21" i="19"/>
  <c r="C21" i="19"/>
  <c r="D21" i="19"/>
  <c r="E21" i="19"/>
  <c r="F21" i="19"/>
  <c r="H21" i="19"/>
  <c r="J21" i="19"/>
  <c r="K21" i="19"/>
  <c r="M21" i="19"/>
  <c r="N21" i="19"/>
  <c r="R21" i="19"/>
  <c r="S21" i="19"/>
  <c r="A22" i="19"/>
  <c r="B22" i="19"/>
  <c r="C22" i="19"/>
  <c r="D22" i="19"/>
  <c r="E22" i="19"/>
  <c r="F22" i="19"/>
  <c r="H22" i="19"/>
  <c r="J22" i="19"/>
  <c r="K22" i="19"/>
  <c r="M22" i="19"/>
  <c r="N22" i="19"/>
  <c r="R22" i="19"/>
  <c r="S22" i="19"/>
  <c r="A23" i="19"/>
  <c r="B23" i="19"/>
  <c r="C23" i="19"/>
  <c r="D23" i="19"/>
  <c r="E23" i="19"/>
  <c r="F23" i="19"/>
  <c r="H23" i="19"/>
  <c r="J23" i="19"/>
  <c r="K23" i="19"/>
  <c r="M23" i="19"/>
  <c r="N23" i="19"/>
  <c r="R23" i="19"/>
  <c r="S23" i="19"/>
  <c r="A24" i="19"/>
  <c r="B24" i="19"/>
  <c r="C24" i="19"/>
  <c r="D24" i="19"/>
  <c r="E24" i="19"/>
  <c r="F24" i="19"/>
  <c r="H24" i="19"/>
  <c r="J24" i="19"/>
  <c r="K24" i="19"/>
  <c r="M24" i="19"/>
  <c r="N24" i="19"/>
  <c r="R24" i="19"/>
  <c r="S24" i="19"/>
  <c r="A25" i="19"/>
  <c r="B25" i="19"/>
  <c r="C25" i="19"/>
  <c r="D25" i="19"/>
  <c r="E25" i="19"/>
  <c r="F25" i="19"/>
  <c r="H25" i="19"/>
  <c r="J25" i="19"/>
  <c r="K25" i="19"/>
  <c r="M25" i="19"/>
  <c r="N25" i="19"/>
  <c r="R25" i="19"/>
  <c r="S25" i="19"/>
  <c r="A26" i="19"/>
  <c r="B26" i="19"/>
  <c r="C26" i="19"/>
  <c r="D26" i="19"/>
  <c r="E26" i="19"/>
  <c r="G26" i="19"/>
  <c r="H26" i="19"/>
  <c r="J26" i="19"/>
  <c r="K26" i="19"/>
  <c r="L26" i="19"/>
  <c r="M26" i="19"/>
  <c r="N26" i="19"/>
  <c r="R26" i="19"/>
  <c r="S26" i="19"/>
  <c r="A27" i="19"/>
  <c r="B27" i="19"/>
  <c r="C27" i="19"/>
  <c r="D27" i="19"/>
  <c r="E27" i="19"/>
  <c r="F27" i="19"/>
  <c r="H27" i="19"/>
  <c r="J27" i="19"/>
  <c r="K27" i="19"/>
  <c r="M27" i="19"/>
  <c r="N27" i="19"/>
  <c r="R27" i="19"/>
  <c r="S27" i="19"/>
  <c r="A28" i="19"/>
  <c r="B28" i="19"/>
  <c r="C28" i="19"/>
  <c r="D28" i="19"/>
  <c r="E28" i="19"/>
  <c r="F28" i="19"/>
  <c r="H28" i="19"/>
  <c r="J28" i="19"/>
  <c r="K28" i="19"/>
  <c r="M28" i="19"/>
  <c r="N28" i="19"/>
  <c r="R28" i="19"/>
  <c r="S28" i="19"/>
  <c r="A29" i="19"/>
  <c r="B29" i="19"/>
  <c r="C29" i="19"/>
  <c r="D29" i="19"/>
  <c r="E29" i="19"/>
  <c r="F29" i="19"/>
  <c r="H29" i="19"/>
  <c r="J29" i="19"/>
  <c r="K29" i="19"/>
  <c r="M29" i="19"/>
  <c r="N29" i="19"/>
  <c r="R29" i="19"/>
  <c r="S29" i="19"/>
  <c r="A30" i="19"/>
  <c r="B30" i="19"/>
  <c r="C30" i="19"/>
  <c r="D30" i="19"/>
  <c r="E30" i="19"/>
  <c r="F30" i="19"/>
  <c r="H30" i="19"/>
  <c r="J30" i="19"/>
  <c r="K30" i="19"/>
  <c r="M30" i="19"/>
  <c r="N30" i="19"/>
  <c r="R30" i="19"/>
  <c r="S30" i="19"/>
  <c r="A31" i="19"/>
  <c r="B31" i="19"/>
  <c r="C31" i="19"/>
  <c r="D31" i="19"/>
  <c r="E31" i="19"/>
  <c r="F31" i="19"/>
  <c r="H31" i="19"/>
  <c r="J31" i="19"/>
  <c r="K31" i="19"/>
  <c r="M31" i="19"/>
  <c r="N31" i="19"/>
  <c r="R31" i="19"/>
  <c r="S31" i="19"/>
  <c r="A32" i="19"/>
  <c r="B32" i="19"/>
  <c r="C32" i="19"/>
  <c r="D32" i="19"/>
  <c r="E32" i="19"/>
  <c r="F32" i="19"/>
  <c r="H32" i="19"/>
  <c r="J32" i="19"/>
  <c r="K32" i="19"/>
  <c r="M32" i="19"/>
  <c r="N32" i="19"/>
  <c r="R32" i="19"/>
  <c r="S32" i="19"/>
  <c r="A33" i="19"/>
  <c r="B33" i="19"/>
  <c r="C33" i="19"/>
  <c r="D33" i="19"/>
  <c r="E33" i="19"/>
  <c r="G33" i="19"/>
  <c r="H33" i="19"/>
  <c r="K33" i="19"/>
  <c r="L33" i="19"/>
  <c r="M33" i="19"/>
  <c r="N33" i="19"/>
  <c r="R33" i="19"/>
  <c r="S33" i="19"/>
  <c r="A34" i="19"/>
  <c r="B34" i="19"/>
  <c r="C34" i="19"/>
  <c r="F34" i="19"/>
  <c r="G34" i="19"/>
  <c r="H34" i="19"/>
  <c r="I34" i="19"/>
  <c r="J34" i="19"/>
  <c r="K34" i="19"/>
  <c r="L34" i="19"/>
  <c r="M34" i="19"/>
  <c r="N34" i="19"/>
  <c r="O34" i="19"/>
  <c r="P34" i="19"/>
  <c r="Q34" i="19"/>
  <c r="R34" i="19"/>
  <c r="S34" i="19"/>
  <c r="A35" i="19"/>
  <c r="B35" i="19"/>
  <c r="C35" i="19"/>
  <c r="D35" i="19"/>
  <c r="E35" i="19"/>
  <c r="F35" i="19"/>
  <c r="G35" i="19"/>
  <c r="H35" i="19"/>
  <c r="I35" i="19"/>
  <c r="J35" i="19"/>
  <c r="K35" i="19"/>
  <c r="M35" i="19"/>
  <c r="N35" i="19"/>
  <c r="O35" i="19"/>
  <c r="P35" i="19"/>
  <c r="Q35" i="19"/>
  <c r="R35" i="19"/>
  <c r="S35" i="19"/>
  <c r="A36" i="19"/>
  <c r="B36" i="19"/>
  <c r="C36" i="19"/>
  <c r="D36" i="19"/>
  <c r="E36" i="19"/>
  <c r="F36" i="19"/>
  <c r="G36" i="19"/>
  <c r="H36" i="19"/>
  <c r="I36" i="19"/>
  <c r="J36" i="19"/>
  <c r="K36" i="19"/>
  <c r="L36" i="19"/>
  <c r="M36" i="19"/>
  <c r="N36" i="19"/>
  <c r="O36" i="19"/>
  <c r="R36" i="19"/>
  <c r="S36" i="19"/>
  <c r="A37" i="19"/>
  <c r="B37" i="19"/>
  <c r="C37" i="19"/>
  <c r="D37" i="19"/>
  <c r="E37" i="19"/>
  <c r="F37" i="19"/>
  <c r="G37" i="19"/>
  <c r="H37" i="19"/>
  <c r="I37" i="19"/>
  <c r="J37" i="19"/>
  <c r="K37" i="19"/>
  <c r="L37" i="19"/>
  <c r="M37" i="19"/>
  <c r="N37" i="19"/>
  <c r="O37" i="19"/>
  <c r="R37" i="19"/>
  <c r="S37" i="19"/>
  <c r="A38" i="19"/>
  <c r="B38" i="19"/>
  <c r="C38" i="19"/>
  <c r="D38" i="19"/>
  <c r="E38" i="19"/>
  <c r="F38" i="19"/>
  <c r="G38" i="19"/>
  <c r="H38" i="19"/>
  <c r="I38" i="19"/>
  <c r="J38" i="19"/>
  <c r="K38" i="19"/>
  <c r="L38" i="19"/>
  <c r="M38" i="19"/>
  <c r="N38" i="19"/>
  <c r="O38" i="19"/>
  <c r="R38" i="19"/>
  <c r="S38" i="19"/>
  <c r="A39" i="19"/>
  <c r="B39" i="19"/>
  <c r="C39" i="19"/>
  <c r="D39" i="19"/>
  <c r="E39" i="19"/>
  <c r="F39" i="19"/>
  <c r="G39" i="19"/>
  <c r="H39" i="19"/>
  <c r="I39" i="19"/>
  <c r="J39" i="19"/>
  <c r="K39" i="19"/>
  <c r="L39" i="19"/>
  <c r="M39" i="19"/>
  <c r="N39" i="19"/>
  <c r="O39" i="19"/>
  <c r="R39" i="19"/>
  <c r="S39" i="19"/>
  <c r="A40" i="19"/>
  <c r="B40" i="19"/>
  <c r="C40" i="19"/>
  <c r="D40" i="19"/>
  <c r="E40" i="19"/>
  <c r="F40" i="19"/>
  <c r="G40" i="19"/>
  <c r="H40" i="19"/>
  <c r="I40" i="19"/>
  <c r="J40" i="19"/>
  <c r="K40" i="19"/>
  <c r="L40" i="19"/>
  <c r="M40" i="19"/>
  <c r="N40" i="19"/>
  <c r="O40" i="19"/>
  <c r="R40" i="19"/>
  <c r="S40" i="19"/>
  <c r="A41" i="19"/>
  <c r="B41" i="19"/>
  <c r="C41" i="19"/>
  <c r="D41" i="19"/>
  <c r="E41" i="19"/>
  <c r="F41" i="19"/>
  <c r="G41" i="19"/>
  <c r="H41" i="19"/>
  <c r="I41" i="19"/>
  <c r="J41" i="19"/>
  <c r="K41" i="19"/>
  <c r="L41" i="19"/>
  <c r="M41" i="19"/>
  <c r="N41" i="19"/>
  <c r="O41" i="19"/>
  <c r="R41" i="19"/>
  <c r="S41" i="19"/>
  <c r="A42" i="19"/>
  <c r="B42" i="19"/>
  <c r="C42" i="19"/>
  <c r="D42" i="19"/>
  <c r="E42" i="19"/>
  <c r="F42" i="19"/>
  <c r="G42" i="19"/>
  <c r="H42" i="19"/>
  <c r="I42" i="19"/>
  <c r="J42" i="19"/>
  <c r="K42" i="19"/>
  <c r="L42" i="19"/>
  <c r="M42" i="19"/>
  <c r="N42" i="19"/>
  <c r="O42" i="19"/>
  <c r="R42" i="19"/>
  <c r="S42" i="19"/>
  <c r="A43" i="19"/>
  <c r="B43" i="19"/>
  <c r="C43" i="19"/>
  <c r="D43" i="19"/>
  <c r="E43" i="19"/>
  <c r="F43" i="19"/>
  <c r="G43" i="19"/>
  <c r="H43" i="19"/>
  <c r="I43" i="19"/>
  <c r="J43" i="19"/>
  <c r="K43" i="19"/>
  <c r="L43" i="19"/>
  <c r="M43" i="19"/>
  <c r="N43" i="19"/>
  <c r="O43" i="19"/>
  <c r="R43" i="19"/>
  <c r="S43" i="19"/>
  <c r="A44" i="19"/>
  <c r="B44" i="19"/>
  <c r="C44" i="19"/>
  <c r="D44" i="19"/>
  <c r="E44" i="19"/>
  <c r="F44" i="19"/>
  <c r="G44" i="19"/>
  <c r="H44" i="19"/>
  <c r="I44" i="19"/>
  <c r="J44" i="19"/>
  <c r="K44" i="19"/>
  <c r="L44" i="19"/>
  <c r="M44" i="19"/>
  <c r="N44" i="19"/>
  <c r="O44" i="19"/>
  <c r="P44" i="19"/>
  <c r="Q44" i="19"/>
  <c r="R44" i="19"/>
  <c r="S44" i="19"/>
  <c r="A45" i="19"/>
  <c r="B45" i="19"/>
  <c r="C45" i="19"/>
  <c r="D45" i="19"/>
  <c r="E45" i="19"/>
  <c r="F45" i="19"/>
  <c r="G45" i="19"/>
  <c r="H45" i="19"/>
  <c r="I45" i="19"/>
  <c r="J45" i="19"/>
  <c r="K45" i="19"/>
  <c r="L45" i="19"/>
  <c r="M45" i="19"/>
  <c r="N45" i="19"/>
  <c r="O45" i="19"/>
  <c r="R45" i="19"/>
  <c r="S45" i="19"/>
  <c r="A46" i="19"/>
  <c r="B46" i="19"/>
  <c r="C46" i="19"/>
  <c r="D46" i="19"/>
  <c r="E46" i="19"/>
  <c r="F46" i="19"/>
  <c r="G46" i="19"/>
  <c r="H46" i="19"/>
  <c r="I46" i="19"/>
  <c r="J46" i="19"/>
  <c r="K46" i="19"/>
  <c r="L46" i="19"/>
  <c r="M46" i="19"/>
  <c r="N46" i="19"/>
  <c r="O46" i="19"/>
  <c r="R46" i="19"/>
  <c r="S46" i="19"/>
  <c r="A47" i="19"/>
  <c r="B47" i="19"/>
  <c r="C47" i="19"/>
  <c r="D47" i="19"/>
  <c r="E47" i="19"/>
  <c r="F47" i="19"/>
  <c r="G47" i="19"/>
  <c r="H47" i="19"/>
  <c r="I47" i="19"/>
  <c r="J47" i="19"/>
  <c r="K47" i="19"/>
  <c r="L47" i="19"/>
  <c r="M47" i="19"/>
  <c r="N47" i="19"/>
  <c r="O47" i="19"/>
  <c r="R47" i="19"/>
  <c r="S47" i="19"/>
  <c r="A48" i="19"/>
  <c r="B48" i="19"/>
  <c r="C48" i="19"/>
  <c r="D48" i="19"/>
  <c r="E48" i="19"/>
  <c r="F48" i="19"/>
  <c r="G48" i="19"/>
  <c r="H48" i="19"/>
  <c r="I48" i="19"/>
  <c r="J48" i="19"/>
  <c r="K48" i="19"/>
  <c r="L48" i="19"/>
  <c r="M48" i="19"/>
  <c r="N48" i="19"/>
  <c r="O48" i="19"/>
  <c r="R48" i="19"/>
  <c r="S48" i="19"/>
  <c r="A49" i="19"/>
  <c r="B49" i="19"/>
  <c r="C49" i="19"/>
  <c r="D49" i="19"/>
  <c r="E49" i="19"/>
  <c r="F49" i="19"/>
  <c r="G49" i="19"/>
  <c r="H49" i="19"/>
  <c r="I49" i="19"/>
  <c r="J49" i="19"/>
  <c r="K49" i="19"/>
  <c r="L49" i="19"/>
  <c r="M49" i="19"/>
  <c r="N49" i="19"/>
  <c r="O49" i="19"/>
  <c r="R49" i="19"/>
  <c r="S49" i="19"/>
  <c r="A50" i="19"/>
  <c r="B50" i="19"/>
  <c r="C50" i="19"/>
  <c r="D50" i="19"/>
  <c r="E50" i="19"/>
  <c r="F50" i="19"/>
  <c r="G50" i="19"/>
  <c r="H50" i="19"/>
  <c r="I50" i="19"/>
  <c r="J50" i="19"/>
  <c r="K50" i="19"/>
  <c r="L50" i="19"/>
  <c r="M50" i="19"/>
  <c r="N50" i="19"/>
  <c r="O50" i="19"/>
  <c r="R50" i="19"/>
  <c r="S50" i="19"/>
  <c r="A51" i="19"/>
  <c r="B51" i="19"/>
  <c r="C51" i="19"/>
  <c r="D51" i="19"/>
  <c r="E51" i="19"/>
  <c r="F51" i="19"/>
  <c r="G51" i="19"/>
  <c r="H51" i="19"/>
  <c r="I51" i="19"/>
  <c r="J51" i="19"/>
  <c r="K51" i="19"/>
  <c r="L51" i="19"/>
  <c r="M51" i="19"/>
  <c r="N51" i="19"/>
  <c r="O51" i="19"/>
  <c r="R51" i="19"/>
  <c r="S51" i="19"/>
  <c r="A52" i="19"/>
  <c r="B52" i="19"/>
  <c r="C52" i="19"/>
  <c r="D52" i="19"/>
  <c r="E52" i="19"/>
  <c r="F52" i="19"/>
  <c r="G52" i="19"/>
  <c r="H52" i="19"/>
  <c r="I52" i="19"/>
  <c r="J52" i="19"/>
  <c r="K52" i="19"/>
  <c r="L52" i="19"/>
  <c r="M52" i="19"/>
  <c r="N52" i="19"/>
  <c r="O52" i="19"/>
  <c r="R52" i="19"/>
  <c r="S52" i="19"/>
  <c r="A53" i="19"/>
  <c r="B53" i="19"/>
  <c r="C53" i="19"/>
  <c r="D53" i="19"/>
  <c r="E53" i="19"/>
  <c r="F53" i="19"/>
  <c r="G53" i="19"/>
  <c r="H53" i="19"/>
  <c r="I53" i="19"/>
  <c r="J53" i="19"/>
  <c r="K53" i="19"/>
  <c r="L53" i="19"/>
  <c r="M53" i="19"/>
  <c r="N53" i="19"/>
  <c r="O53" i="19"/>
  <c r="Q53" i="19"/>
  <c r="R53" i="19"/>
  <c r="S53" i="19"/>
  <c r="A54" i="19"/>
  <c r="B54" i="19"/>
  <c r="C54" i="19"/>
  <c r="D54" i="19"/>
  <c r="E54" i="19"/>
  <c r="F54" i="19"/>
  <c r="G54" i="19"/>
  <c r="H54" i="19"/>
  <c r="I54" i="19"/>
  <c r="J54" i="19"/>
  <c r="K54" i="19"/>
  <c r="L54" i="19"/>
  <c r="M54" i="19"/>
  <c r="N54" i="19"/>
  <c r="O54" i="19"/>
  <c r="P54" i="19"/>
  <c r="Q54" i="19"/>
  <c r="R54" i="19"/>
  <c r="S54" i="19"/>
  <c r="A55" i="19"/>
  <c r="B55" i="19"/>
  <c r="C55" i="19"/>
  <c r="D55" i="19"/>
  <c r="E55" i="19"/>
  <c r="F55" i="19"/>
  <c r="G55" i="19"/>
  <c r="H55" i="19"/>
  <c r="I55" i="19"/>
  <c r="J55" i="19"/>
  <c r="K55" i="19"/>
  <c r="L55" i="19"/>
  <c r="M55" i="19"/>
  <c r="N55" i="19"/>
  <c r="O55" i="19"/>
  <c r="P55" i="19"/>
  <c r="Q55" i="19"/>
  <c r="R55" i="19"/>
  <c r="S55" i="19"/>
  <c r="A56" i="19"/>
  <c r="B56" i="19"/>
  <c r="C56" i="19"/>
  <c r="D56" i="19"/>
  <c r="E56" i="19"/>
  <c r="F56" i="19"/>
  <c r="G56" i="19"/>
  <c r="H56" i="19"/>
  <c r="I56" i="19"/>
  <c r="J56" i="19"/>
  <c r="K56" i="19"/>
  <c r="L56" i="19"/>
  <c r="M56" i="19"/>
  <c r="N56" i="19"/>
  <c r="O56" i="19"/>
  <c r="P56" i="19"/>
  <c r="Q56" i="19"/>
  <c r="R56" i="19"/>
  <c r="S56" i="19"/>
  <c r="A57" i="19"/>
  <c r="B57" i="19"/>
  <c r="C57" i="19"/>
  <c r="D57" i="19"/>
  <c r="E57" i="19"/>
  <c r="F57" i="19"/>
  <c r="G57" i="19"/>
  <c r="H57" i="19"/>
  <c r="I57" i="19"/>
  <c r="J57" i="19"/>
  <c r="K57" i="19"/>
  <c r="L57" i="19"/>
  <c r="M57" i="19"/>
  <c r="N57" i="19"/>
  <c r="O57" i="19"/>
  <c r="P57" i="19"/>
  <c r="Q57" i="19"/>
  <c r="R57" i="19"/>
  <c r="S57" i="19"/>
  <c r="A58" i="19"/>
  <c r="B58" i="19"/>
  <c r="C58" i="19"/>
  <c r="D58" i="19"/>
  <c r="E58" i="19"/>
  <c r="F58" i="19"/>
  <c r="G58" i="19"/>
  <c r="H58" i="19"/>
  <c r="I58" i="19"/>
  <c r="J58" i="19"/>
  <c r="K58" i="19"/>
  <c r="L58" i="19"/>
  <c r="M58" i="19"/>
  <c r="N58" i="19"/>
  <c r="O58" i="19"/>
  <c r="P58" i="19"/>
  <c r="Q58" i="19"/>
  <c r="R58" i="19"/>
  <c r="S58" i="19"/>
  <c r="A59" i="19"/>
  <c r="B59" i="19"/>
  <c r="C59" i="19"/>
  <c r="D59" i="19"/>
  <c r="E59" i="19"/>
  <c r="F59" i="19"/>
  <c r="G59" i="19"/>
  <c r="H59" i="19"/>
  <c r="I59" i="19"/>
  <c r="J59" i="19"/>
  <c r="K59" i="19"/>
  <c r="L59" i="19"/>
  <c r="M59" i="19"/>
  <c r="N59" i="19"/>
  <c r="O59" i="19"/>
  <c r="P59" i="19"/>
  <c r="Q59" i="19"/>
  <c r="R59" i="19"/>
  <c r="S59" i="19"/>
  <c r="A60" i="19"/>
  <c r="B60" i="19"/>
  <c r="C60" i="19"/>
  <c r="D60" i="19"/>
  <c r="E60" i="19"/>
  <c r="F60" i="19"/>
  <c r="G60" i="19"/>
  <c r="H60" i="19"/>
  <c r="I60" i="19"/>
  <c r="J60" i="19"/>
  <c r="K60" i="19"/>
  <c r="L60" i="19"/>
  <c r="M60" i="19"/>
  <c r="N60" i="19"/>
  <c r="O60" i="19"/>
  <c r="P60" i="19"/>
  <c r="Q60" i="19"/>
  <c r="R60" i="19"/>
  <c r="S60" i="19"/>
  <c r="A61" i="19"/>
  <c r="B61" i="19"/>
  <c r="C61" i="19"/>
  <c r="D61" i="19"/>
  <c r="E61" i="19"/>
  <c r="F61" i="19"/>
  <c r="G61" i="19"/>
  <c r="H61" i="19"/>
  <c r="I61" i="19"/>
  <c r="J61" i="19"/>
  <c r="K61" i="19"/>
  <c r="L61" i="19"/>
  <c r="M61" i="19"/>
  <c r="N61" i="19"/>
  <c r="O61" i="19"/>
  <c r="P61" i="19"/>
  <c r="Q61" i="19"/>
  <c r="R61" i="19"/>
  <c r="S61" i="19"/>
  <c r="A62" i="19"/>
  <c r="B62" i="19"/>
  <c r="C62" i="19"/>
  <c r="D62" i="19"/>
  <c r="E62" i="19"/>
  <c r="F62" i="19"/>
  <c r="G62" i="19"/>
  <c r="H62" i="19"/>
  <c r="I62" i="19"/>
  <c r="J62" i="19"/>
  <c r="K62" i="19"/>
  <c r="L62" i="19"/>
  <c r="M62" i="19"/>
  <c r="N62" i="19"/>
  <c r="O62" i="19"/>
  <c r="P62" i="19"/>
  <c r="Q62" i="19"/>
  <c r="R62" i="19"/>
  <c r="S62" i="19"/>
  <c r="A63" i="19"/>
  <c r="B63" i="19"/>
  <c r="C63" i="19"/>
  <c r="D63" i="19"/>
  <c r="E63" i="19"/>
  <c r="F63" i="19"/>
  <c r="G63" i="19"/>
  <c r="H63" i="19"/>
  <c r="I63" i="19"/>
  <c r="J63" i="19"/>
  <c r="K63" i="19"/>
  <c r="L63" i="19"/>
  <c r="M63" i="19"/>
  <c r="N63" i="19"/>
  <c r="O63" i="19"/>
  <c r="P63" i="19"/>
  <c r="Q63" i="19"/>
  <c r="R63" i="19"/>
  <c r="S63" i="19"/>
  <c r="A64" i="19"/>
  <c r="B64" i="19"/>
  <c r="C64" i="19"/>
  <c r="D64" i="19"/>
  <c r="E64" i="19"/>
  <c r="F64" i="19"/>
  <c r="G64" i="19"/>
  <c r="H64" i="19"/>
  <c r="I64" i="19"/>
  <c r="J64" i="19"/>
  <c r="K64" i="19"/>
  <c r="L64" i="19"/>
  <c r="M64" i="19"/>
  <c r="N64" i="19"/>
  <c r="O64" i="19"/>
  <c r="P64" i="19"/>
  <c r="Q64" i="19"/>
  <c r="R64" i="19"/>
  <c r="S64" i="19"/>
  <c r="A65" i="19"/>
  <c r="B65" i="19"/>
  <c r="C65" i="19"/>
  <c r="D65" i="19"/>
  <c r="E65" i="19"/>
  <c r="F65" i="19"/>
  <c r="G65" i="19"/>
  <c r="H65" i="19"/>
  <c r="I65" i="19"/>
  <c r="J65" i="19"/>
  <c r="K65" i="19"/>
  <c r="L65" i="19"/>
  <c r="M65" i="19"/>
  <c r="N65" i="19"/>
  <c r="O65" i="19"/>
  <c r="P65" i="19"/>
  <c r="Q65" i="19"/>
  <c r="R65" i="19"/>
  <c r="S65" i="19"/>
  <c r="A66" i="19"/>
  <c r="B66" i="19"/>
  <c r="C66" i="19"/>
  <c r="D66" i="19"/>
  <c r="E66" i="19"/>
  <c r="F66" i="19"/>
  <c r="G66" i="19"/>
  <c r="H66" i="19"/>
  <c r="I66" i="19"/>
  <c r="J66" i="19"/>
  <c r="K66" i="19"/>
  <c r="L66" i="19"/>
  <c r="M66" i="19"/>
  <c r="N66" i="19"/>
  <c r="O66" i="19"/>
  <c r="P66" i="19"/>
  <c r="Q66" i="19"/>
  <c r="R66" i="19"/>
  <c r="S66" i="19"/>
  <c r="A67" i="19"/>
  <c r="B67" i="19"/>
  <c r="C67" i="19"/>
  <c r="D67" i="19"/>
  <c r="E67" i="19"/>
  <c r="F67" i="19"/>
  <c r="G67" i="19"/>
  <c r="H67" i="19"/>
  <c r="I67" i="19"/>
  <c r="J67" i="19"/>
  <c r="K67" i="19"/>
  <c r="L67" i="19"/>
  <c r="M67" i="19"/>
  <c r="N67" i="19"/>
  <c r="O67" i="19"/>
  <c r="P67" i="19"/>
  <c r="Q67" i="19"/>
  <c r="R67" i="19"/>
  <c r="S67" i="19"/>
  <c r="A68" i="19"/>
  <c r="B68" i="19"/>
  <c r="C68" i="19"/>
  <c r="D68" i="19"/>
  <c r="E68" i="19"/>
  <c r="F68" i="19"/>
  <c r="G68" i="19"/>
  <c r="H68" i="19"/>
  <c r="I68" i="19"/>
  <c r="J68" i="19"/>
  <c r="K68" i="19"/>
  <c r="L68" i="19"/>
  <c r="M68" i="19"/>
  <c r="N68" i="19"/>
  <c r="O68" i="19"/>
  <c r="P68" i="19"/>
  <c r="Q68" i="19"/>
  <c r="R68" i="19"/>
  <c r="S68" i="19"/>
  <c r="A69" i="19"/>
  <c r="B69" i="19"/>
  <c r="C69" i="19"/>
  <c r="D69" i="19"/>
  <c r="E69" i="19"/>
  <c r="F69" i="19"/>
  <c r="G69" i="19"/>
  <c r="H69" i="19"/>
  <c r="I69" i="19"/>
  <c r="J69" i="19"/>
  <c r="K69" i="19"/>
  <c r="L69" i="19"/>
  <c r="M69" i="19"/>
  <c r="N69" i="19"/>
  <c r="O69" i="19"/>
  <c r="P69" i="19"/>
  <c r="Q69" i="19"/>
  <c r="R69" i="19"/>
  <c r="S69" i="19"/>
  <c r="A70" i="19"/>
  <c r="B70" i="19"/>
  <c r="C70" i="19"/>
  <c r="D70" i="19"/>
  <c r="E70" i="19"/>
  <c r="F70" i="19"/>
  <c r="G70" i="19"/>
  <c r="H70" i="19"/>
  <c r="I70" i="19"/>
  <c r="J70" i="19"/>
  <c r="K70" i="19"/>
  <c r="L70" i="19"/>
  <c r="M70" i="19"/>
  <c r="N70" i="19"/>
  <c r="O70" i="19"/>
  <c r="P70" i="19"/>
  <c r="Q70" i="19"/>
  <c r="R70" i="19"/>
  <c r="S70" i="19"/>
  <c r="A71" i="19"/>
  <c r="B71" i="19"/>
  <c r="C71" i="19"/>
  <c r="D71" i="19"/>
  <c r="E71" i="19"/>
  <c r="F71" i="19"/>
  <c r="G71" i="19"/>
  <c r="H71" i="19"/>
  <c r="I71" i="19"/>
  <c r="J71" i="19"/>
  <c r="K71" i="19"/>
  <c r="L71" i="19"/>
  <c r="M71" i="19"/>
  <c r="N71" i="19"/>
  <c r="O71" i="19"/>
  <c r="P71" i="19"/>
  <c r="Q71" i="19"/>
  <c r="R71" i="19"/>
  <c r="S71" i="19"/>
  <c r="A72" i="19"/>
  <c r="B72" i="19"/>
  <c r="C72" i="19"/>
  <c r="D72" i="19"/>
  <c r="E72" i="19"/>
  <c r="F72" i="19"/>
  <c r="G72" i="19"/>
  <c r="H72" i="19"/>
  <c r="I72" i="19"/>
  <c r="J72" i="19"/>
  <c r="K72" i="19"/>
  <c r="L72" i="19"/>
  <c r="M72" i="19"/>
  <c r="N72" i="19"/>
  <c r="O72" i="19"/>
  <c r="P72" i="19"/>
  <c r="Q72" i="19"/>
  <c r="R72" i="19"/>
  <c r="S72" i="19"/>
  <c r="A73" i="19"/>
  <c r="B73" i="19"/>
  <c r="C73" i="19"/>
  <c r="D73" i="19"/>
  <c r="E73" i="19"/>
  <c r="F73" i="19"/>
  <c r="G73" i="19"/>
  <c r="H73" i="19"/>
  <c r="I73" i="19"/>
  <c r="J73" i="19"/>
  <c r="K73" i="19"/>
  <c r="L73" i="19"/>
  <c r="M73" i="19"/>
  <c r="N73" i="19"/>
  <c r="O73" i="19"/>
  <c r="P73" i="19"/>
  <c r="Q73" i="19"/>
  <c r="R73" i="19"/>
  <c r="S73" i="19"/>
  <c r="A74" i="19"/>
  <c r="B74" i="19"/>
  <c r="C74" i="19"/>
  <c r="D74" i="19"/>
  <c r="E74" i="19"/>
  <c r="F74" i="19"/>
  <c r="G74" i="19"/>
  <c r="H74" i="19"/>
  <c r="I74" i="19"/>
  <c r="J74" i="19"/>
  <c r="K74" i="19"/>
  <c r="L74" i="19"/>
  <c r="M74" i="19"/>
  <c r="N74" i="19"/>
  <c r="O74" i="19"/>
  <c r="P74" i="19"/>
  <c r="Q74" i="19"/>
  <c r="R74" i="19"/>
  <c r="S74" i="19"/>
  <c r="A75" i="19"/>
  <c r="B75" i="19"/>
  <c r="C75" i="19"/>
  <c r="D75" i="19"/>
  <c r="E75" i="19"/>
  <c r="F75" i="19"/>
  <c r="G75" i="19"/>
  <c r="H75" i="19"/>
  <c r="I75" i="19"/>
  <c r="J75" i="19"/>
  <c r="K75" i="19"/>
  <c r="L75" i="19"/>
  <c r="M75" i="19"/>
  <c r="N75" i="19"/>
  <c r="O75" i="19"/>
  <c r="P75" i="19"/>
  <c r="Q75" i="19"/>
  <c r="R75" i="19"/>
  <c r="S75" i="19"/>
  <c r="A76" i="19"/>
  <c r="B76" i="19"/>
  <c r="C76" i="19"/>
  <c r="D76" i="19"/>
  <c r="E76" i="19"/>
  <c r="F76" i="19"/>
  <c r="G76" i="19"/>
  <c r="H76" i="19"/>
  <c r="I76" i="19"/>
  <c r="J76" i="19"/>
  <c r="K76" i="19"/>
  <c r="L76" i="19"/>
  <c r="M76" i="19"/>
  <c r="N76" i="19"/>
  <c r="O76" i="19"/>
  <c r="P76" i="19"/>
  <c r="Q76" i="19"/>
  <c r="R76" i="19"/>
  <c r="S76" i="19"/>
  <c r="A77" i="19"/>
  <c r="B77" i="19"/>
  <c r="C77" i="19"/>
  <c r="D77" i="19"/>
  <c r="E77" i="19"/>
  <c r="F77" i="19"/>
  <c r="G77" i="19"/>
  <c r="H77" i="19"/>
  <c r="I77" i="19"/>
  <c r="J77" i="19"/>
  <c r="K77" i="19"/>
  <c r="L77" i="19"/>
  <c r="M77" i="19"/>
  <c r="N77" i="19"/>
  <c r="O77" i="19"/>
  <c r="P77" i="19"/>
  <c r="Q77" i="19"/>
  <c r="R77" i="19"/>
  <c r="S77" i="19"/>
  <c r="A78" i="19"/>
  <c r="B78" i="19"/>
  <c r="C78" i="19"/>
  <c r="D78" i="19"/>
  <c r="E78" i="19"/>
  <c r="F78" i="19"/>
  <c r="G78" i="19"/>
  <c r="H78" i="19"/>
  <c r="I78" i="19"/>
  <c r="J78" i="19"/>
  <c r="K78" i="19"/>
  <c r="L78" i="19"/>
  <c r="M78" i="19"/>
  <c r="N78" i="19"/>
  <c r="O78" i="19"/>
  <c r="P78" i="19"/>
  <c r="Q78" i="19"/>
  <c r="R78" i="19"/>
  <c r="S78" i="19"/>
  <c r="A79" i="19"/>
  <c r="B79" i="19"/>
  <c r="C79" i="19"/>
  <c r="D79" i="19"/>
  <c r="E79" i="19"/>
  <c r="F79" i="19"/>
  <c r="G79" i="19"/>
  <c r="H79" i="19"/>
  <c r="I79" i="19"/>
  <c r="J79" i="19"/>
  <c r="K79" i="19"/>
  <c r="L79" i="19"/>
  <c r="M79" i="19"/>
  <c r="N79" i="19"/>
  <c r="O79" i="19"/>
  <c r="P79" i="19"/>
  <c r="Q79" i="19"/>
  <c r="R79" i="19"/>
  <c r="S79" i="19"/>
  <c r="Q51" i="19" l="1"/>
  <c r="Q42" i="19"/>
  <c r="Q50" i="19"/>
  <c r="Q52" i="19"/>
  <c r="Q41" i="19"/>
  <c r="Q33" i="19"/>
  <c r="Q39" i="19"/>
  <c r="Q49" i="19"/>
  <c r="J65" i="18"/>
  <c r="Q48" i="19"/>
  <c r="Q40" i="19"/>
  <c r="Q36" i="19"/>
  <c r="Q37" i="19"/>
  <c r="Q38" i="19"/>
  <c r="Q43" i="19"/>
  <c r="F26" i="19"/>
  <c r="P47" i="19" l="1"/>
  <c r="E34" i="19"/>
  <c r="D34" i="19"/>
  <c r="I34" i="13"/>
  <c r="I33" i="18"/>
  <c r="H34" i="13" l="1"/>
  <c r="Q46" i="19"/>
  <c r="Q45" i="19"/>
  <c r="F34" i="13"/>
  <c r="Q30" i="19"/>
  <c r="Q32" i="19"/>
  <c r="I27" i="19"/>
  <c r="O27" i="19"/>
  <c r="L18" i="19"/>
  <c r="O18" i="19"/>
  <c r="I18" i="19"/>
  <c r="L22" i="19"/>
  <c r="O22" i="19"/>
  <c r="I22" i="19"/>
  <c r="L19" i="19"/>
  <c r="L23" i="19"/>
  <c r="I23" i="19"/>
  <c r="O23" i="19"/>
  <c r="L16" i="19"/>
  <c r="I16" i="19"/>
  <c r="O16" i="19"/>
  <c r="L34" i="18"/>
  <c r="L20" i="19" s="1"/>
  <c r="I20" i="19"/>
  <c r="O20" i="19"/>
  <c r="L24" i="19"/>
  <c r="I24" i="19"/>
  <c r="O24" i="19"/>
  <c r="L17" i="19"/>
  <c r="I17" i="19"/>
  <c r="O17" i="19"/>
  <c r="L21" i="19"/>
  <c r="I21" i="19"/>
  <c r="O21" i="19"/>
  <c r="P46" i="19" l="1"/>
  <c r="P45" i="19"/>
  <c r="L27" i="19"/>
  <c r="P30" i="19"/>
  <c r="P32" i="19"/>
  <c r="G32" i="19"/>
  <c r="G30" i="19"/>
  <c r="G27" i="19"/>
  <c r="Q28" i="19"/>
  <c r="P28" i="19"/>
  <c r="G28" i="19"/>
  <c r="Q29" i="19"/>
  <c r="P29" i="19"/>
  <c r="G29" i="19"/>
  <c r="Q27" i="19"/>
  <c r="P27" i="19"/>
  <c r="Q26" i="19"/>
  <c r="Q31" i="19"/>
  <c r="G31" i="19"/>
  <c r="Q23" i="19"/>
  <c r="P23" i="19"/>
  <c r="G18" i="19"/>
  <c r="G20" i="19"/>
  <c r="G15" i="19"/>
  <c r="G23" i="19"/>
  <c r="G24" i="19"/>
  <c r="Q21" i="19"/>
  <c r="P21" i="19"/>
  <c r="Q22" i="19"/>
  <c r="P22" i="19"/>
  <c r="Q16" i="19"/>
  <c r="P16" i="19"/>
  <c r="Q15" i="19"/>
  <c r="P15" i="19"/>
  <c r="Q24" i="19"/>
  <c r="P24" i="19"/>
  <c r="G21" i="19"/>
  <c r="G22" i="19"/>
  <c r="G16" i="19"/>
  <c r="G17" i="19"/>
  <c r="G19" i="19"/>
  <c r="Q17" i="19"/>
  <c r="P17" i="19"/>
  <c r="Q25" i="19"/>
  <c r="P25" i="19"/>
  <c r="Q18" i="19"/>
  <c r="P18" i="19"/>
  <c r="Q20" i="19"/>
  <c r="P20" i="19"/>
  <c r="G25" i="19"/>
  <c r="O32" i="19" l="1"/>
  <c r="I32" i="19"/>
  <c r="P26" i="19"/>
  <c r="P31" i="19"/>
  <c r="L32" i="19"/>
  <c r="A4" i="21" l="1"/>
  <c r="B4" i="21"/>
  <c r="C4" i="21"/>
  <c r="D4" i="21"/>
  <c r="E4" i="21"/>
  <c r="F4" i="21"/>
  <c r="G4" i="21"/>
  <c r="H4" i="21"/>
  <c r="K4" i="21"/>
  <c r="L4" i="21"/>
  <c r="N4" i="21"/>
  <c r="A5" i="21"/>
  <c r="B5" i="21"/>
  <c r="C5" i="21"/>
  <c r="D5" i="21"/>
  <c r="E5" i="21"/>
  <c r="F5" i="21"/>
  <c r="G5" i="21"/>
  <c r="H5" i="21"/>
  <c r="K5" i="21"/>
  <c r="L5" i="21"/>
  <c r="N5" i="21"/>
  <c r="A6" i="21"/>
  <c r="B6" i="21"/>
  <c r="C6" i="21"/>
  <c r="D6" i="21"/>
  <c r="E6" i="21"/>
  <c r="F6" i="21"/>
  <c r="G6" i="21"/>
  <c r="H6" i="21"/>
  <c r="K6" i="21"/>
  <c r="L6" i="21"/>
  <c r="N6" i="21"/>
  <c r="A7" i="21"/>
  <c r="B7" i="21"/>
  <c r="C7" i="21"/>
  <c r="D7" i="21"/>
  <c r="E7" i="21"/>
  <c r="F7" i="21"/>
  <c r="G7" i="21"/>
  <c r="H7" i="21"/>
  <c r="K7" i="21"/>
  <c r="L7" i="21"/>
  <c r="N7" i="21"/>
  <c r="A8" i="21"/>
  <c r="B8" i="21"/>
  <c r="C8" i="21"/>
  <c r="D8" i="21"/>
  <c r="E8" i="21"/>
  <c r="F8" i="21"/>
  <c r="G8" i="21"/>
  <c r="H8" i="21"/>
  <c r="K8" i="21"/>
  <c r="L8" i="21"/>
  <c r="N8" i="21"/>
  <c r="A9" i="21"/>
  <c r="B9" i="21"/>
  <c r="C9" i="21"/>
  <c r="D9" i="21"/>
  <c r="E9" i="21"/>
  <c r="F9" i="21"/>
  <c r="G9" i="21"/>
  <c r="H9" i="21"/>
  <c r="K9" i="21"/>
  <c r="L9" i="21"/>
  <c r="N9" i="21"/>
  <c r="A10" i="21"/>
  <c r="B10" i="21"/>
  <c r="C10" i="21"/>
  <c r="D10" i="21"/>
  <c r="E10" i="21"/>
  <c r="F10" i="21"/>
  <c r="G10" i="21"/>
  <c r="H10" i="21"/>
  <c r="K10" i="21"/>
  <c r="L10" i="21"/>
  <c r="N10" i="21"/>
  <c r="A11" i="21"/>
  <c r="B11" i="21"/>
  <c r="C11" i="21"/>
  <c r="D11" i="21"/>
  <c r="E11" i="21"/>
  <c r="F11" i="21"/>
  <c r="G11" i="21"/>
  <c r="H11" i="21"/>
  <c r="K11" i="21"/>
  <c r="L11" i="21"/>
  <c r="N11" i="21"/>
  <c r="A12" i="21"/>
  <c r="B12" i="21"/>
  <c r="C12" i="21"/>
  <c r="D12" i="21"/>
  <c r="E12" i="21"/>
  <c r="F12" i="21"/>
  <c r="G12" i="21"/>
  <c r="H12" i="21"/>
  <c r="K12" i="21"/>
  <c r="L12" i="21"/>
  <c r="N12" i="21"/>
  <c r="A13" i="21"/>
  <c r="B13" i="21"/>
  <c r="C13" i="21"/>
  <c r="D13" i="21"/>
  <c r="E13" i="21"/>
  <c r="F13" i="21"/>
  <c r="G13" i="21"/>
  <c r="H13" i="21"/>
  <c r="K13" i="21"/>
  <c r="L13" i="21"/>
  <c r="N13" i="21"/>
  <c r="A14" i="21"/>
  <c r="B14" i="21"/>
  <c r="C14" i="21"/>
  <c r="D14" i="21"/>
  <c r="E14" i="21"/>
  <c r="F14" i="21"/>
  <c r="G14" i="21"/>
  <c r="H14" i="21"/>
  <c r="K14" i="21"/>
  <c r="L14" i="21"/>
  <c r="N14" i="21"/>
  <c r="A15" i="21"/>
  <c r="B15" i="21"/>
  <c r="C15" i="21"/>
  <c r="D15" i="21"/>
  <c r="E15" i="21"/>
  <c r="F15" i="21"/>
  <c r="G15" i="21"/>
  <c r="H15" i="21"/>
  <c r="K15" i="21"/>
  <c r="L15" i="21"/>
  <c r="N15" i="21"/>
  <c r="A16" i="21"/>
  <c r="B16" i="21"/>
  <c r="C16" i="21"/>
  <c r="D16" i="21"/>
  <c r="E16" i="21"/>
  <c r="F16" i="21"/>
  <c r="G16" i="21"/>
  <c r="H16" i="21"/>
  <c r="K16" i="21"/>
  <c r="L16" i="21"/>
  <c r="N16" i="21"/>
  <c r="A17" i="21"/>
  <c r="B17" i="21"/>
  <c r="C17" i="21"/>
  <c r="D17" i="21"/>
  <c r="E17" i="21"/>
  <c r="F17" i="21"/>
  <c r="G17" i="21"/>
  <c r="H17" i="21"/>
  <c r="K17" i="21"/>
  <c r="L17" i="21"/>
  <c r="N17" i="21"/>
  <c r="A18" i="21"/>
  <c r="B18" i="21"/>
  <c r="C18" i="21"/>
  <c r="D18" i="21"/>
  <c r="E18" i="21"/>
  <c r="F18" i="21"/>
  <c r="G18" i="21"/>
  <c r="H18" i="21"/>
  <c r="K18" i="21"/>
  <c r="L18" i="21"/>
  <c r="N18" i="21"/>
  <c r="A19" i="21"/>
  <c r="B19" i="21"/>
  <c r="C19" i="21"/>
  <c r="D19" i="21"/>
  <c r="E19" i="21"/>
  <c r="F19" i="21"/>
  <c r="G19" i="21"/>
  <c r="H19" i="21"/>
  <c r="K19" i="21"/>
  <c r="L19" i="21"/>
  <c r="N19" i="21"/>
  <c r="A20" i="21"/>
  <c r="B20" i="21"/>
  <c r="C20" i="21"/>
  <c r="D20" i="21"/>
  <c r="E20" i="21"/>
  <c r="F20" i="21"/>
  <c r="G20" i="21"/>
  <c r="H20" i="21"/>
  <c r="K20" i="21"/>
  <c r="L20" i="21"/>
  <c r="N20" i="21"/>
  <c r="A21" i="21"/>
  <c r="B21" i="21"/>
  <c r="C21" i="21"/>
  <c r="D21" i="21"/>
  <c r="E21" i="21"/>
  <c r="F21" i="21"/>
  <c r="G21" i="21"/>
  <c r="H21" i="21"/>
  <c r="K21" i="21"/>
  <c r="L21" i="21"/>
  <c r="N21" i="21"/>
  <c r="A22" i="21"/>
  <c r="B22" i="21"/>
  <c r="C22" i="21"/>
  <c r="D22" i="21"/>
  <c r="E22" i="21"/>
  <c r="F22" i="21"/>
  <c r="G22" i="21"/>
  <c r="H22" i="21"/>
  <c r="K22" i="21"/>
  <c r="L22" i="21"/>
  <c r="N22" i="21"/>
  <c r="A23" i="21"/>
  <c r="B23" i="21"/>
  <c r="C23" i="21"/>
  <c r="D23" i="21"/>
  <c r="E23" i="21"/>
  <c r="F23" i="21"/>
  <c r="G23" i="21"/>
  <c r="H23" i="21"/>
  <c r="K23" i="21"/>
  <c r="L23" i="21"/>
  <c r="N23" i="21"/>
  <c r="A24" i="21"/>
  <c r="B24" i="21"/>
  <c r="C24" i="21"/>
  <c r="D24" i="21"/>
  <c r="E24" i="21"/>
  <c r="F24" i="21"/>
  <c r="G24" i="21"/>
  <c r="H24" i="21"/>
  <c r="K24" i="21"/>
  <c r="L24" i="21"/>
  <c r="N24" i="21"/>
  <c r="A25" i="21"/>
  <c r="B25" i="21"/>
  <c r="C25" i="21"/>
  <c r="D25" i="21"/>
  <c r="E25" i="21"/>
  <c r="F25" i="21"/>
  <c r="G25" i="21"/>
  <c r="H25" i="21"/>
  <c r="K25" i="21"/>
  <c r="L25" i="21"/>
  <c r="N25" i="21"/>
  <c r="A26" i="21"/>
  <c r="B26" i="21"/>
  <c r="C26" i="21"/>
  <c r="D26" i="21"/>
  <c r="E26" i="21"/>
  <c r="F26" i="21"/>
  <c r="G26" i="21"/>
  <c r="H26" i="21"/>
  <c r="K26" i="21"/>
  <c r="L26" i="21"/>
  <c r="N26" i="21"/>
  <c r="A27" i="21"/>
  <c r="B27" i="21"/>
  <c r="C27" i="21"/>
  <c r="D27" i="21"/>
  <c r="E27" i="21"/>
  <c r="F27" i="21"/>
  <c r="G27" i="21"/>
  <c r="H27" i="21"/>
  <c r="K27" i="21"/>
  <c r="L27" i="21"/>
  <c r="N27" i="21"/>
  <c r="A28" i="21"/>
  <c r="B28" i="21"/>
  <c r="C28" i="21"/>
  <c r="D28" i="21"/>
  <c r="E28" i="21"/>
  <c r="F28" i="21"/>
  <c r="G28" i="21"/>
  <c r="H28" i="21"/>
  <c r="K28" i="21"/>
  <c r="L28" i="21"/>
  <c r="M28" i="21"/>
  <c r="N28" i="21"/>
  <c r="A29" i="21"/>
  <c r="B29" i="21"/>
  <c r="C29" i="21"/>
  <c r="D29" i="21"/>
  <c r="E29" i="21"/>
  <c r="F29" i="21"/>
  <c r="G29" i="21"/>
  <c r="H29" i="21"/>
  <c r="K29" i="21"/>
  <c r="L29" i="21"/>
  <c r="N29" i="21"/>
  <c r="A30" i="21"/>
  <c r="B30" i="21"/>
  <c r="C30" i="21"/>
  <c r="D30" i="21"/>
  <c r="E30" i="21"/>
  <c r="F30" i="21"/>
  <c r="G30" i="21"/>
  <c r="H30" i="21"/>
  <c r="K30" i="21"/>
  <c r="L30" i="21"/>
  <c r="N30" i="21"/>
  <c r="A31" i="21"/>
  <c r="B31" i="21"/>
  <c r="C31" i="21"/>
  <c r="D31" i="21"/>
  <c r="E31" i="21"/>
  <c r="F31" i="21"/>
  <c r="G31" i="21"/>
  <c r="H31" i="21"/>
  <c r="K31" i="21"/>
  <c r="L31" i="21"/>
  <c r="N31" i="21"/>
  <c r="A32" i="21"/>
  <c r="B32" i="21"/>
  <c r="C32" i="21"/>
  <c r="D32" i="21"/>
  <c r="E32" i="21"/>
  <c r="F32" i="21"/>
  <c r="G32" i="21"/>
  <c r="H32" i="21"/>
  <c r="K32" i="21"/>
  <c r="L32" i="21"/>
  <c r="N32" i="21"/>
  <c r="A33" i="21"/>
  <c r="B33" i="21"/>
  <c r="C33" i="21"/>
  <c r="D33" i="21"/>
  <c r="E33" i="21"/>
  <c r="F33" i="21"/>
  <c r="G33" i="21"/>
  <c r="H33" i="21"/>
  <c r="K33" i="21"/>
  <c r="L33" i="21"/>
  <c r="N33" i="21"/>
  <c r="A34" i="21"/>
  <c r="B34" i="21"/>
  <c r="C34" i="21"/>
  <c r="D34" i="21"/>
  <c r="E34" i="21"/>
  <c r="F34" i="21"/>
  <c r="G34" i="21"/>
  <c r="H34" i="21"/>
  <c r="K34" i="21"/>
  <c r="L34" i="21"/>
  <c r="N34" i="21"/>
  <c r="O28" i="21" l="1"/>
  <c r="O30" i="21"/>
  <c r="M30" i="21"/>
  <c r="T28" i="21"/>
  <c r="T30" i="21"/>
  <c r="I30" i="19" l="1"/>
  <c r="O30" i="19"/>
  <c r="I31" i="19"/>
  <c r="O31" i="19"/>
  <c r="I15" i="19"/>
  <c r="O15" i="19"/>
  <c r="O4" i="21"/>
  <c r="M4" i="21"/>
  <c r="L30" i="19"/>
  <c r="M29" i="21"/>
  <c r="O29" i="21"/>
  <c r="O32" i="21"/>
  <c r="M32" i="21"/>
  <c r="O8" i="21"/>
  <c r="M8" i="21"/>
  <c r="O16" i="21"/>
  <c r="M16" i="21"/>
  <c r="O22" i="21"/>
  <c r="M22" i="21"/>
  <c r="O26" i="21"/>
  <c r="M26" i="21"/>
  <c r="O34" i="21"/>
  <c r="M34" i="21"/>
  <c r="M33" i="21"/>
  <c r="O33" i="21"/>
  <c r="M9" i="21"/>
  <c r="O9" i="21"/>
  <c r="O12" i="21"/>
  <c r="M12" i="21"/>
  <c r="O20" i="21"/>
  <c r="M20" i="21"/>
  <c r="O24" i="21"/>
  <c r="M24" i="21"/>
  <c r="L15" i="19" l="1"/>
  <c r="L31" i="19"/>
  <c r="T24" i="21"/>
  <c r="T20" i="21"/>
  <c r="T12" i="21"/>
  <c r="T9" i="21"/>
  <c r="T33" i="21"/>
  <c r="T34" i="21"/>
  <c r="T26" i="21"/>
  <c r="T22" i="21"/>
  <c r="T16" i="21"/>
  <c r="T8" i="21"/>
  <c r="T32" i="21"/>
  <c r="T29" i="21"/>
  <c r="T4" i="21"/>
  <c r="M23" i="21" l="1"/>
  <c r="O23" i="21"/>
  <c r="M15" i="21"/>
  <c r="O15" i="21"/>
  <c r="M27" i="21"/>
  <c r="O27" i="21"/>
  <c r="M19" i="21"/>
  <c r="O19" i="21"/>
  <c r="O14" i="21"/>
  <c r="M14" i="21"/>
  <c r="M7" i="21"/>
  <c r="O7" i="21"/>
  <c r="M31" i="21"/>
  <c r="O31" i="21"/>
  <c r="M17" i="21"/>
  <c r="O17" i="21"/>
  <c r="M5" i="21"/>
  <c r="O5" i="21"/>
  <c r="M21" i="21"/>
  <c r="O21" i="21"/>
  <c r="O10" i="21"/>
  <c r="M10" i="21"/>
  <c r="M25" i="21"/>
  <c r="O25" i="21"/>
  <c r="O18" i="21"/>
  <c r="M18" i="21"/>
  <c r="M13" i="21"/>
  <c r="O13" i="21"/>
  <c r="O6" i="21"/>
  <c r="M6" i="21"/>
  <c r="M11" i="21"/>
  <c r="O11" i="21"/>
  <c r="T19" i="21" l="1"/>
  <c r="T7" i="21"/>
  <c r="T15" i="21"/>
  <c r="T23" i="21"/>
  <c r="T25" i="21"/>
  <c r="T5" i="21"/>
  <c r="T14" i="21"/>
  <c r="T6" i="21"/>
  <c r="T17" i="21"/>
  <c r="T13" i="21"/>
  <c r="T10" i="21"/>
  <c r="T21" i="21"/>
  <c r="T31" i="21"/>
  <c r="T11" i="21"/>
  <c r="T18" i="21"/>
  <c r="T27" i="21"/>
  <c r="N14" i="18"/>
  <c r="G14" i="18" s="1"/>
  <c r="G14" i="19" l="1"/>
  <c r="M8" i="18"/>
  <c r="T15" i="19" l="1"/>
  <c r="T17" i="19"/>
  <c r="T19" i="19"/>
  <c r="T21" i="19"/>
  <c r="T23" i="19"/>
  <c r="T25" i="19"/>
  <c r="T32" i="19"/>
  <c r="T27" i="19"/>
  <c r="T29" i="19"/>
  <c r="T31" i="19"/>
  <c r="T33" i="19"/>
  <c r="T14" i="19"/>
  <c r="T16" i="19"/>
  <c r="T18" i="19"/>
  <c r="T20" i="19"/>
  <c r="T22" i="19"/>
  <c r="T2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26" i="19"/>
  <c r="T28" i="19"/>
  <c r="T30" i="19"/>
  <c r="T34" i="19"/>
  <c r="I29" i="19"/>
  <c r="O29" i="19"/>
  <c r="O28" i="19"/>
  <c r="I28" i="19"/>
  <c r="I25" i="19"/>
  <c r="O25" i="19"/>
  <c r="L29" i="19"/>
  <c r="L25" i="19"/>
  <c r="L28" i="19" l="1"/>
  <c r="O26" i="19"/>
  <c r="I26" i="19"/>
  <c r="I14" i="18"/>
  <c r="I13" i="18" s="1"/>
  <c r="I65" i="18" s="1"/>
  <c r="O14" i="19" l="1"/>
  <c r="I14" i="19"/>
  <c r="L14" i="18"/>
  <c r="L66" i="18" s="1"/>
  <c r="E3" i="21"/>
  <c r="C3" i="21"/>
  <c r="O3" i="21"/>
  <c r="M3" i="21"/>
  <c r="N3" i="21"/>
  <c r="L3" i="21"/>
  <c r="K3" i="21"/>
  <c r="H3" i="21"/>
  <c r="G3" i="21"/>
  <c r="F3" i="21"/>
  <c r="D3" i="21"/>
  <c r="B3" i="21"/>
  <c r="A3" i="21"/>
  <c r="L68" i="18" l="1"/>
  <c r="L14" i="19"/>
  <c r="T3" i="21"/>
  <c r="L35" i="19" l="1"/>
  <c r="A13" i="19"/>
  <c r="R13" i="19" l="1"/>
  <c r="S13" i="19" l="1"/>
  <c r="T13" i="19"/>
  <c r="B13" i="19" l="1"/>
  <c r="C13" i="19"/>
  <c r="D13" i="19"/>
  <c r="E13" i="19"/>
  <c r="G13" i="19"/>
  <c r="H13" i="19"/>
  <c r="K13" i="19"/>
  <c r="L13" i="19"/>
  <c r="M13" i="19"/>
  <c r="N13" i="19" l="1"/>
  <c r="A14" i="13" l="1"/>
  <c r="B14" i="13"/>
  <c r="C14" i="13"/>
  <c r="D14" i="13"/>
  <c r="E14" i="13"/>
  <c r="E13" i="13" s="1"/>
  <c r="I14" i="13" l="1"/>
  <c r="I13" i="13" s="1"/>
  <c r="G7" i="13"/>
  <c r="Q14" i="19" l="1"/>
  <c r="J14" i="13"/>
  <c r="J13" i="13" s="1"/>
  <c r="K14" i="13" l="1"/>
  <c r="F14" i="13" l="1"/>
  <c r="F7" i="13"/>
  <c r="H14" i="13" l="1"/>
  <c r="H13" i="13" s="1"/>
  <c r="P14" i="19" l="1"/>
  <c r="B9" i="13"/>
  <c r="B8" i="13"/>
  <c r="C12" i="13" l="1"/>
  <c r="G14" i="13" l="1"/>
  <c r="F6" i="13" l="1"/>
  <c r="AW76" i="18" l="1"/>
  <c r="AX76" i="18" l="1"/>
  <c r="BD77" i="18" l="1"/>
  <c r="BD81" i="18" s="1"/>
  <c r="BJ77" i="18"/>
  <c r="BB77" i="18"/>
  <c r="BB81" i="18" s="1"/>
  <c r="BH77" i="18"/>
  <c r="BH81" i="18" s="1"/>
  <c r="AZ77" i="18"/>
  <c r="AZ81" i="18" s="1"/>
  <c r="AY77" i="18"/>
  <c r="AY81" i="18" s="1"/>
  <c r="BF77" i="18"/>
  <c r="BF81" i="18" s="1"/>
  <c r="BE77" i="18"/>
  <c r="BE81" i="18" s="1"/>
  <c r="BC77" i="18"/>
  <c r="BC81" i="18" s="1"/>
  <c r="BI77" i="18"/>
  <c r="BI81" i="18" s="1"/>
  <c r="BA77" i="18"/>
  <c r="BA81" i="18" s="1"/>
  <c r="BG77" i="18"/>
  <c r="BG81" i="18" s="1"/>
  <c r="F13" i="19" l="1"/>
  <c r="F33" i="19"/>
  <c r="F19" i="19" l="1"/>
  <c r="P13" i="19" l="1"/>
  <c r="P19" i="19"/>
  <c r="Q13" i="19"/>
  <c r="Q19" i="19"/>
  <c r="I13" i="19"/>
  <c r="O13" i="19" l="1"/>
  <c r="J13" i="19"/>
  <c r="J19" i="19" l="1"/>
  <c r="J33" i="19"/>
  <c r="I19" i="19"/>
  <c r="O19" i="19"/>
  <c r="I33" i="19"/>
  <c r="O33" i="19" l="1"/>
</calcChain>
</file>

<file path=xl/sharedStrings.xml><?xml version="1.0" encoding="utf-8"?>
<sst xmlns="http://schemas.openxmlformats.org/spreadsheetml/2006/main" count="750" uniqueCount="268">
  <si>
    <t>STT</t>
  </si>
  <si>
    <t>GHI CHÚ</t>
  </si>
  <si>
    <t>TÊN HÀNG HÓA</t>
  </si>
  <si>
    <t>XÁC NHẬN BÊN MUA HÀNG</t>
  </si>
  <si>
    <t>(Ký, ghi rõ họ tên)</t>
  </si>
  <si>
    <t>®ång</t>
  </si>
  <si>
    <t>Quý khách có thể thanh toán bằng tiền mặt hoặc chuyển khoản vào một trong các tài khoản sau:</t>
  </si>
  <si>
    <t>BÁO GIÁ KIÊM ĐƠN ĐẶT HÀNG</t>
  </si>
  <si>
    <t>Công ty TNHH Gỗ GERVIN xin cảm ơn quý khách hàng đã tin dùng sản phẩm của chúng tôi và xin được báo giá như sau:</t>
  </si>
  <si>
    <t>I</t>
  </si>
  <si>
    <t>LỆNH GIA CÔNG TẤM</t>
  </si>
  <si>
    <t>Số mét vuông (m2)</t>
  </si>
  <si>
    <t>Số mét dán thẳng (m)</t>
  </si>
  <si>
    <t xml:space="preserve">          </t>
  </si>
  <si>
    <t>Đề nghị BP Kỹ thuật gia công các sản phẩm dưới đây:</t>
  </si>
  <si>
    <t>Số lượng</t>
  </si>
  <si>
    <t xml:space="preserve">Ứng trước 50% tiền đơn hàng gia công, thanh toán 50% còn lại trước khi lấy hàng tại kho, giao hàng tại nhà máy bên bán sau 2 đến 3 ngày. </t>
  </si>
  <si>
    <t>Số mét dán vát (m)</t>
  </si>
  <si>
    <t>NGƯỜI CHÀO GIÁ</t>
  </si>
  <si>
    <t>Stt</t>
  </si>
  <si>
    <t>Tên hàng hóa, dịch vụ</t>
  </si>
  <si>
    <t xml:space="preserve"> Kích thước (mm) </t>
  </si>
  <si>
    <t>Rộng</t>
  </si>
  <si>
    <t>Acrylic màu 1</t>
  </si>
  <si>
    <t>Khi mua tấm Quý khách vui lòng thanh toán 100% tiền hàng trước khi chuyển hàng ra khỏi kho bên bán.</t>
  </si>
  <si>
    <t>Bảo hành cong vênh, bong tróc 12 tháng, bảo trì vĩnh viễn. Không bảo hành mối và ngập nước.</t>
  </si>
  <si>
    <t>Thanh phào (m)</t>
  </si>
  <si>
    <t>Cánh (m2)</t>
  </si>
  <si>
    <t>Lưu ý:</t>
  </si>
  <si>
    <t>+ Khách hàng phải kiểm tra và xác nhận đã nhận đầy đủ số lượng, tình trạng bên ngoài của hàng như hàng không bị xước hoặc hư hỏng.</t>
  </si>
  <si>
    <t>+ Nếu khách hàng nhận hàng mà không kiểm tra hoặc bỏ qua bước kiểm tra và ký nhận thì bên cung cấp hàng không chịu trách nhiệm về việc hư hỏng hay thiếu sót hàng tính từ thời điểm giao xong hàng.</t>
  </si>
  <si>
    <t>Ngày………….đã nhận đủ số lượng và đã kiểm tra hàng không bị xước hoặc hư hỏng.</t>
  </si>
  <si>
    <t>Cạnh vát</t>
  </si>
  <si>
    <t>CẠNH VÁT</t>
  </si>
  <si>
    <t>Chiều vân</t>
  </si>
  <si>
    <t xml:space="preserve">Vân dọc </t>
  </si>
  <si>
    <t>Đơn giá</t>
  </si>
  <si>
    <t>Thành tiền</t>
  </si>
  <si>
    <t xml:space="preserve">Vát </t>
  </si>
  <si>
    <t xml:space="preserve">Cao (chiều vân gỗ) </t>
  </si>
  <si>
    <t xml:space="preserve">Số phiếu: </t>
  </si>
  <si>
    <t xml:space="preserve">Rộng
</t>
  </si>
  <si>
    <t xml:space="preserve"> Bên giao lệnh          </t>
  </si>
  <si>
    <t>Kế toán</t>
  </si>
  <si>
    <t>Kỹ thuật</t>
  </si>
  <si>
    <t>Quản đốc/P.QĐ</t>
  </si>
  <si>
    <t xml:space="preserve">(Ký, ghi rõ họ tên)   </t>
  </si>
  <si>
    <t>Kính đố 70 hèm s5r10</t>
  </si>
  <si>
    <t>CNC như hình vẽ</t>
  </si>
  <si>
    <t>SODONHANG</t>
  </si>
  <si>
    <t>MAHANGHOA</t>
  </si>
  <si>
    <t>TENHANGHOA</t>
  </si>
  <si>
    <t>CHIEUDAI</t>
  </si>
  <si>
    <t>CHIEURONG</t>
  </si>
  <si>
    <t>SOLUONG</t>
  </si>
  <si>
    <t>CANHVAT</t>
  </si>
  <si>
    <t>CHIEUVAN</t>
  </si>
  <si>
    <t>CANH</t>
  </si>
  <si>
    <t>THANHPHAO</t>
  </si>
  <si>
    <t>KHOILUONG</t>
  </si>
  <si>
    <t>DONGIA</t>
  </si>
  <si>
    <t>SOTIENVND</t>
  </si>
  <si>
    <t>GHICHUND</t>
  </si>
  <si>
    <t>DONGIAGIANTHANG</t>
  </si>
  <si>
    <t>DONGIAGIANVAT</t>
  </si>
  <si>
    <t>SOMETDANTHANG</t>
  </si>
  <si>
    <t>SOMETDANVAT</t>
  </si>
  <si>
    <t>SỐ ĐƠN HÀNG</t>
  </si>
  <si>
    <t>KHỐI LƯỢNG</t>
  </si>
  <si>
    <t>Ngày  17  tháng  4  năm 2022</t>
  </si>
  <si>
    <r>
      <t>Địa chỉ:</t>
    </r>
    <r>
      <rPr>
        <b/>
        <sz val="11"/>
        <color theme="1"/>
        <rFont val="Times New Roman"/>
        <family val="1"/>
      </rPr>
      <t xml:space="preserve"> </t>
    </r>
  </si>
  <si>
    <t xml:space="preserve">Khách hàng: </t>
  </si>
  <si>
    <t>SOMETDANMOI</t>
  </si>
  <si>
    <t>SOMETDANBR1759</t>
  </si>
  <si>
    <t>SOMETDANBR2535</t>
  </si>
  <si>
    <t>CONGDAN</t>
  </si>
  <si>
    <t>SOVATTAYNAMAM</t>
  </si>
  <si>
    <t>SOTAMCNC</t>
  </si>
  <si>
    <t>Đơn giá trên chưa bao gồm VAT. Đúng sai ±1 mm.</t>
  </si>
  <si>
    <t xml:space="preserve">
BỔ SUNG MÃ HÀNG</t>
  </si>
  <si>
    <t>DONGIACHI</t>
  </si>
  <si>
    <t xml:space="preserve">
Mã hàng</t>
  </si>
  <si>
    <t>KẾ TOÁN XÁC NHẬN</t>
  </si>
  <si>
    <t>Ngày giờ chốt đơn:</t>
  </si>
  <si>
    <t>Số ngày phải giao từ lúc chốt đơn:</t>
  </si>
  <si>
    <t>Ngày giờ phải giao hàng:</t>
  </si>
  <si>
    <t>SONGAY</t>
  </si>
  <si>
    <t>NGAYGIOCHOT</t>
  </si>
  <si>
    <t>NGAYGIAO</t>
  </si>
  <si>
    <t>Hồi</t>
  </si>
  <si>
    <t>Tủ trên</t>
  </si>
  <si>
    <t>Tủ lạnh</t>
  </si>
  <si>
    <t>Tủ dưới</t>
  </si>
  <si>
    <t>V</t>
  </si>
  <si>
    <t>Thế Khánh (Đơn 2) 3398</t>
  </si>
  <si>
    <t>3398.GV65.001</t>
  </si>
  <si>
    <t>MDF GV65-1MẶT (19MM)</t>
  </si>
  <si>
    <t>Vát 320</t>
  </si>
  <si>
    <t>3398.GV65.002</t>
  </si>
  <si>
    <t>3398.GV65.003</t>
  </si>
  <si>
    <t>Vát 341</t>
  </si>
  <si>
    <t>3398.GV65.004</t>
  </si>
  <si>
    <t>3398.GV65.005</t>
  </si>
  <si>
    <t>3398.GV65.006</t>
  </si>
  <si>
    <t>Vát 335</t>
  </si>
  <si>
    <t>3398.GV65.007</t>
  </si>
  <si>
    <t>Vát 251</t>
  </si>
  <si>
    <t>3398.GV65.008</t>
  </si>
  <si>
    <t>3398.GV65.009</t>
  </si>
  <si>
    <t>Vát 354</t>
  </si>
  <si>
    <t>3398.GV65.010</t>
  </si>
  <si>
    <t>3398.GV65.011</t>
  </si>
  <si>
    <t>3398.GV65.012</t>
  </si>
  <si>
    <t>3398.GV65.013</t>
  </si>
  <si>
    <t>Vát 980</t>
  </si>
  <si>
    <t>3398.GV65.014</t>
  </si>
  <si>
    <t>Vát 337</t>
  </si>
  <si>
    <t>3398.GV65.015</t>
  </si>
  <si>
    <t>Vát 390</t>
  </si>
  <si>
    <t>3398.GV65.016</t>
  </si>
  <si>
    <t>3398.GV65.017</t>
  </si>
  <si>
    <t>Vát 274</t>
  </si>
  <si>
    <t>3398.GV65.018</t>
  </si>
  <si>
    <t>3398.GV65.019</t>
  </si>
  <si>
    <t>3398.GV65.020</t>
  </si>
  <si>
    <t>Vát 328</t>
  </si>
  <si>
    <t>3398.GV65.021</t>
  </si>
  <si>
    <t>3398.GV65.022</t>
  </si>
  <si>
    <t>Vát 366</t>
  </si>
  <si>
    <t>3398.GV65.023</t>
  </si>
  <si>
    <t>.</t>
  </si>
  <si>
    <t>Vát 780</t>
  </si>
  <si>
    <t>3398.GV65.024</t>
  </si>
  <si>
    <t>3398.GV65.025</t>
  </si>
  <si>
    <t>KK70 S5R10</t>
  </si>
  <si>
    <t>3398.GV65.026</t>
  </si>
  <si>
    <t>3398.GV65.027</t>
  </si>
  <si>
    <t>Vát 555</t>
  </si>
  <si>
    <t>3398.GV65.028</t>
  </si>
  <si>
    <t>3398.GV65.029</t>
  </si>
  <si>
    <t>3398.GV65.030</t>
  </si>
  <si>
    <t>3398.GV65.031</t>
  </si>
  <si>
    <t>Vát 655</t>
  </si>
  <si>
    <t>3398.GV65.032</t>
  </si>
  <si>
    <t>Cắt</t>
  </si>
  <si>
    <t>Đơn hàng</t>
  </si>
  <si>
    <t>Sản phẩm</t>
  </si>
  <si>
    <t>Tên</t>
  </si>
  <si>
    <t>Vật liệu</t>
  </si>
  <si>
    <t>Dài</t>
  </si>
  <si>
    <t>Dày</t>
  </si>
  <si>
    <t>Kí hiệu nẹp L1</t>
  </si>
  <si>
    <t>Kí hiệu nẹp L2</t>
  </si>
  <si>
    <t>Kí hiệu nẹp W1</t>
  </si>
  <si>
    <t>Kí hiệu nẹp W2</t>
  </si>
  <si>
    <t>Dày nẹp L1</t>
  </si>
  <si>
    <t>Dày nẹp L2</t>
  </si>
  <si>
    <t>Dày nẹp W1</t>
  </si>
  <si>
    <t>Dày nẹp W2</t>
  </si>
  <si>
    <t>Ghi chú</t>
  </si>
  <si>
    <t>Bao trong-Dịch trái</t>
  </si>
  <si>
    <t>Bao trong-Dịch phải</t>
  </si>
  <si>
    <t>Bao trong-Dịch trên</t>
  </si>
  <si>
    <t>Bao trong-Dịch dưới</t>
  </si>
  <si>
    <t>Xoi-Dịch trái-1</t>
  </si>
  <si>
    <t>Xoi-Dịch phải-1</t>
  </si>
  <si>
    <t>Xoi-Dịch trên-1</t>
  </si>
  <si>
    <t>Xoi-Dịch dưới-1</t>
  </si>
  <si>
    <t>Xoi-Rộng-1</t>
  </si>
  <si>
    <t>Xoi-Sâu-1</t>
  </si>
  <si>
    <t>Xoi-Dịch trái-2</t>
  </si>
  <si>
    <t>Xoi-Dịch phải-2</t>
  </si>
  <si>
    <t>Xoi-Dịch trên-2</t>
  </si>
  <si>
    <t>Xoi-Dịch dưới-2</t>
  </si>
  <si>
    <t>Xoi-Rộng-2</t>
  </si>
  <si>
    <t>Xoi-Sâu-2</t>
  </si>
  <si>
    <t>Cutting</t>
  </si>
  <si>
    <t>Order</t>
  </si>
  <si>
    <t>Product Name</t>
  </si>
  <si>
    <t>Order Number</t>
  </si>
  <si>
    <t>Detail Name</t>
  </si>
  <si>
    <t>Material</t>
  </si>
  <si>
    <t>Height</t>
  </si>
  <si>
    <t>Width</t>
  </si>
  <si>
    <t>Thickness</t>
  </si>
  <si>
    <t>Texture Orientation</t>
  </si>
  <si>
    <t>Quantity</t>
  </si>
  <si>
    <t>Edge Banding L1</t>
  </si>
  <si>
    <t>Edge Banding L2</t>
  </si>
  <si>
    <t>Edge Banding W1</t>
  </si>
  <si>
    <t>Edge Banding W2</t>
  </si>
  <si>
    <t>L1 Thickness</t>
  </si>
  <si>
    <t>L2 Thickness</t>
  </si>
  <si>
    <t>W1 Thickness</t>
  </si>
  <si>
    <t>W2 Thickness</t>
  </si>
  <si>
    <t>Note</t>
  </si>
  <si>
    <t>Internal Cutting Left Offset</t>
  </si>
  <si>
    <t>Internal Cutting Right Offset</t>
  </si>
  <si>
    <t>Internal Cutting Top Offset</t>
  </si>
  <si>
    <t>Internal Cutting Bottom Offset</t>
  </si>
  <si>
    <t>Milling Left Offset 1</t>
  </si>
  <si>
    <t>Milling Right Offset 1</t>
  </si>
  <si>
    <t>Milling Top Offset 1</t>
  </si>
  <si>
    <t>Milling Bottom Offset 1</t>
  </si>
  <si>
    <t>Milling Width 1</t>
  </si>
  <si>
    <t>Milling Depth 1</t>
  </si>
  <si>
    <t>Milling Left Offset 2</t>
  </si>
  <si>
    <t>Milling Right Offset 2</t>
  </si>
  <si>
    <t>Milling Top Offset 2</t>
  </si>
  <si>
    <t>Milling Bottom Offset 2</t>
  </si>
  <si>
    <t>Milling Width 2</t>
  </si>
  <si>
    <t>Milling Depth 2</t>
  </si>
  <si>
    <t>ACRILYC</t>
  </si>
  <si>
    <t>T</t>
  </si>
  <si>
    <t>Mã đơn + mã hàng + 3 số TT</t>
  </si>
  <si>
    <t>ghi chú</t>
  </si>
  <si>
    <t>TỔNG TIỀN HÀNG:</t>
  </si>
  <si>
    <t>II</t>
  </si>
  <si>
    <t>Acrylic màu 2</t>
  </si>
  <si>
    <t>CÒN LẠI</t>
  </si>
  <si>
    <t>ĐÃ CK</t>
  </si>
  <si>
    <r>
      <t xml:space="preserve">Địa chỉ: </t>
    </r>
    <r>
      <rPr>
        <b/>
        <sz val="11"/>
        <color theme="1"/>
        <rFont val="Times New Roman"/>
        <family val="1"/>
      </rPr>
      <t>TT Đô Lương 0929903777 - 0989998060</t>
    </r>
  </si>
  <si>
    <t>tủ dưới  phải Cánh Phải-</t>
  </si>
  <si>
    <t>tủ dưới  phải Cánh Trái-</t>
  </si>
  <si>
    <t>tủ dưới phải xà trên</t>
  </si>
  <si>
    <t>tủ dưới trái  Xà</t>
  </si>
  <si>
    <t>tủ dưới trái xà trên</t>
  </si>
  <si>
    <t>tủ đồ khô Mặt Hộc</t>
  </si>
  <si>
    <t>tủ đồ khô Xà</t>
  </si>
  <si>
    <t>tủ dưới  phải  dưới Xà</t>
  </si>
  <si>
    <t>tủ dưới  phải Mặt Hộc</t>
  </si>
  <si>
    <t>tủ dưới phải xà chân trước</t>
  </si>
  <si>
    <t>tủ dưới trái</t>
  </si>
  <si>
    <t>tủ dưới trái  Cánh Phải-</t>
  </si>
  <si>
    <t>tủ dưới trái  Cánh Trái-</t>
  </si>
  <si>
    <t>tủ dưới trái  Cánh phải-</t>
  </si>
  <si>
    <t>tủ dưới trái  Mặt Hộc</t>
  </si>
  <si>
    <t>tủ dưới trái  tủ bếp dưới Xà</t>
  </si>
  <si>
    <t>tủ dưới trái xà chân trước</t>
  </si>
  <si>
    <t>vát cạnh ngắn</t>
  </si>
  <si>
    <t>vát cạnh dài</t>
  </si>
  <si>
    <r>
      <rPr>
        <b/>
        <sz val="11"/>
        <rFont val="Times New Roman"/>
        <family val="1"/>
      </rPr>
      <t>Cốt MDF</t>
    </r>
    <r>
      <rPr>
        <sz val="11"/>
        <rFont val="Times New Roman"/>
        <family val="1"/>
      </rPr>
      <t xml:space="preserve">, 1 mặt </t>
    </r>
    <r>
      <rPr>
        <b/>
        <sz val="11"/>
        <rFont val="Times New Roman"/>
        <family val="1"/>
      </rPr>
      <t>Acrylic GV26 nhũ chống xước cao</t>
    </r>
    <r>
      <rPr>
        <sz val="11"/>
        <rFont val="Times New Roman"/>
        <family val="1"/>
      </rPr>
      <t>, 1 mặt acrylic chống cong vênh trắng bóng</t>
    </r>
  </si>
  <si>
    <t>GV21.TP</t>
  </si>
  <si>
    <r>
      <rPr>
        <b/>
        <sz val="11"/>
        <rFont val="Times New Roman"/>
        <family val="1"/>
      </rPr>
      <t>Cốt MDF</t>
    </r>
    <r>
      <rPr>
        <sz val="11"/>
        <rFont val="Times New Roman"/>
        <family val="1"/>
      </rPr>
      <t xml:space="preserve">, 1 mặt </t>
    </r>
    <r>
      <rPr>
        <b/>
        <sz val="11"/>
        <rFont val="Times New Roman"/>
        <family val="1"/>
      </rPr>
      <t>Acrylic GV21</t>
    </r>
    <r>
      <rPr>
        <sz val="11"/>
        <rFont val="Times New Roman"/>
        <family val="1"/>
      </rPr>
      <t>, 1 mặt acrylic chống cong vênh trắng bóng</t>
    </r>
  </si>
  <si>
    <t>tủ dưới trái Hồi-</t>
  </si>
  <si>
    <t>tủ kịch trần phải Cánh phải-</t>
  </si>
  <si>
    <t>tủ kịch trần phải Hồi-</t>
  </si>
  <si>
    <t>tủ kịch trần trái Hồi-</t>
  </si>
  <si>
    <t>tủ trên phải Hồi-</t>
  </si>
  <si>
    <t>tủ đồ khô Cánh phải-</t>
  </si>
  <si>
    <t>tủ lạnh Cánh Phải-</t>
  </si>
  <si>
    <t>tủ lạnh Cánh Trái-</t>
  </si>
  <si>
    <t>tủ trên phải Cánh Phải-</t>
  </si>
  <si>
    <t>tủ trên phải Cánh Trái-</t>
  </si>
  <si>
    <t>tủ kịch trần phải Cánh Trái-</t>
  </si>
  <si>
    <t>tủ kịch trần trái</t>
  </si>
  <si>
    <t>tủ trên trái Cánh Phải-</t>
  </si>
  <si>
    <t>tủ trên trái Cánh Trái-</t>
  </si>
  <si>
    <t>tủ kịch trần phải Cánh Phải-</t>
  </si>
  <si>
    <t>tủ kịch trần phải Xà</t>
  </si>
  <si>
    <t>tủ kịch trần trái Xà</t>
  </si>
  <si>
    <t>tủ lạnh Xà</t>
  </si>
  <si>
    <t>vát  cạnh ngắn</t>
  </si>
  <si>
    <r>
      <t xml:space="preserve">Khách hàng: </t>
    </r>
    <r>
      <rPr>
        <b/>
        <sz val="11"/>
        <color theme="1"/>
        <rFont val="Times New Roman"/>
        <family val="1"/>
      </rPr>
      <t>KH0457D - Anh Giang Kle (Chinh)</t>
    </r>
  </si>
  <si>
    <t>TRẢ LÕI CNC</t>
  </si>
  <si>
    <t>Ngày 23 tháng 6 năm 2026</t>
  </si>
  <si>
    <t>L3287</t>
  </si>
  <si>
    <t>GV26**.TP</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</si>
</sst>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_(* \(#,##0\);_(* &quot;-&quot;??_);_(@_)"/>
    <numFmt numFmtId="165" formatCode="_-* #,##0\ _₫_-;\-* #,##0\ _₫_-;_-* \-???\ _₫_-;_-@_-"/>
    <numFmt numFmtId="166" formatCode="0.00;[Red]0.00"/>
    <numFmt numFmtId="167" formatCode="0.0000"/>
    <numFmt numFmtId="168" formatCode="dd/mm/yyyy\ h:mm:ss"/>
  </numFmts>
  <fonts count="40" x14ac:knownFonts="1">
    <font>
      <sz val="12"/>
      <color theme="1"/>
      <name val="Times New Roman"/>
      <family val="2"/>
    </font>
    <font>
      <sz val="11"/>
      <color theme="1"/>
      <name val="Calibri"/>
      <family val="2"/>
      <scheme val="minor"/>
    </font>
    <font>
      <sz val="12"/>
      <color theme="1"/>
      <name val="Times New Roman"/>
      <family val="1"/>
    </font>
    <font>
      <sz val="11"/>
      <name val="Times New Roman"/>
      <family val="1"/>
    </font>
    <font>
      <sz val="11"/>
      <color theme="1"/>
      <name val="Times New Roman"/>
      <family val="1"/>
    </font>
    <font>
      <b/>
      <sz val="11"/>
      <color theme="1"/>
      <name val="Times New Roman"/>
      <family val="1"/>
    </font>
    <font>
      <sz val="12"/>
      <color theme="1"/>
      <name val="Times New Roman"/>
      <family val="2"/>
    </font>
    <font>
      <sz val="9"/>
      <color theme="1"/>
      <name val="Times New Roman"/>
      <family val="1"/>
    </font>
    <font>
      <sz val="9"/>
      <name val="Times New Roman"/>
      <family val="1"/>
    </font>
    <font>
      <b/>
      <i/>
      <sz val="11"/>
      <name val="Times New Roman"/>
      <family val="1"/>
    </font>
    <font>
      <b/>
      <sz val="11"/>
      <name val="Times New Roman"/>
      <family val="1"/>
    </font>
    <font>
      <sz val="11"/>
      <name val="VNI-Times"/>
    </font>
    <font>
      <b/>
      <sz val="9"/>
      <color theme="1"/>
      <name val=".VnTime"/>
      <family val="2"/>
    </font>
    <font>
      <sz val="10"/>
      <name val="VNI-Times"/>
    </font>
    <font>
      <b/>
      <sz val="9"/>
      <name val=".VnTime"/>
      <family val="2"/>
    </font>
    <font>
      <sz val="9"/>
      <color theme="1"/>
      <name val=".VnTime"/>
      <family val="2"/>
    </font>
    <font>
      <sz val="9"/>
      <name val=".VnTime"/>
      <family val="2"/>
    </font>
    <font>
      <sz val="10"/>
      <name val=".VnArial"/>
      <family val="2"/>
    </font>
    <font>
      <sz val="11"/>
      <color theme="1"/>
      <name val="Times New Roman"/>
      <family val="2"/>
    </font>
    <font>
      <b/>
      <i/>
      <sz val="11"/>
      <name val=".VnTime"/>
      <family val="2"/>
    </font>
    <font>
      <b/>
      <sz val="18"/>
      <color theme="1"/>
      <name val="Times New Roman"/>
      <family val="1"/>
    </font>
    <font>
      <b/>
      <i/>
      <sz val="11"/>
      <color rgb="FFFF0000"/>
      <name val="Times New Roman"/>
      <family val="1"/>
    </font>
    <font>
      <sz val="12"/>
      <name val="Times New Roman"/>
      <family val="1"/>
    </font>
    <font>
      <b/>
      <sz val="18"/>
      <name val="Times New Roman"/>
      <family val="1"/>
    </font>
    <font>
      <b/>
      <sz val="14"/>
      <name val="Times New Roman"/>
      <family val="1"/>
    </font>
    <font>
      <b/>
      <sz val="12"/>
      <color theme="1"/>
      <name val="Times New Roman"/>
      <family val="1"/>
    </font>
    <font>
      <sz val="11"/>
      <color indexed="8"/>
      <name val="Calibri"/>
      <family val="2"/>
      <charset val="1"/>
    </font>
    <font>
      <sz val="12"/>
      <name val="Times New Roman"/>
      <family val="1"/>
      <charset val="163"/>
    </font>
    <font>
      <sz val="14"/>
      <color indexed="8"/>
      <name val="Times New Roman"/>
      <family val="1"/>
    </font>
    <font>
      <sz val="11"/>
      <color indexed="8"/>
      <name val="Times New Roman"/>
      <family val="1"/>
    </font>
    <font>
      <b/>
      <sz val="11"/>
      <color rgb="FFFF0000"/>
      <name val="Times New Roman"/>
      <family val="1"/>
    </font>
    <font>
      <sz val="11"/>
      <color theme="1"/>
      <name val="Times New Roman"/>
      <family val="1"/>
      <charset val="163"/>
    </font>
    <font>
      <sz val="10"/>
      <color rgb="FF000000"/>
      <name val="Calibri"/>
      <family val="2"/>
      <scheme val="minor"/>
    </font>
    <font>
      <sz val="12"/>
      <color rgb="FF000000"/>
      <name val="Times New Roman"/>
      <family val="1"/>
    </font>
    <font>
      <b/>
      <sz val="28"/>
      <color theme="1"/>
      <name val="Times New Roman"/>
      <family val="1"/>
    </font>
    <font>
      <sz val="11"/>
      <color rgb="FFFF0000"/>
      <name val="Times New Roman"/>
      <family val="2"/>
    </font>
    <font>
      <sz val="12"/>
      <color rgb="FFFF0000"/>
      <name val="Times New Roman"/>
      <family val="2"/>
    </font>
    <font>
      <sz val="12"/>
      <name val="Times New Roman"/>
      <family val="2"/>
    </font>
    <font>
      <b/>
      <sz val="25"/>
      <name val="Times New Roman"/>
      <family val="1"/>
    </font>
    <font>
      <b/>
      <sz val="11"/>
      <color indexed="8"/>
      <name val="Times New Roman"/>
      <family val="1"/>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0"/>
        <bgColor indexed="26"/>
      </patternFill>
    </fill>
    <fill>
      <patternFill patternType="solid">
        <fgColor theme="8" tint="0.59999389629810485"/>
        <bgColor indexed="64"/>
      </patternFill>
    </fill>
    <fill>
      <patternFill patternType="solid">
        <fgColor theme="8" tint="0.59999389629810485"/>
        <bgColor indexed="26"/>
      </patternFill>
    </fill>
    <fill>
      <patternFill patternType="solid">
        <fgColor theme="9" tint="0.39997558519241921"/>
        <bgColor indexed="64"/>
      </patternFill>
    </fill>
    <fill>
      <patternFill patternType="solid">
        <fgColor rgb="FF00B050"/>
        <bgColor indexed="64"/>
      </patternFill>
    </fill>
    <fill>
      <patternFill patternType="solid">
        <fgColor theme="9" tint="-0.249977111117893"/>
        <bgColor indexed="64"/>
      </patternFill>
    </fill>
    <fill>
      <patternFill patternType="solid">
        <fgColor theme="5" tint="0.59999389629810485"/>
        <bgColor indexed="26"/>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9">
    <xf numFmtId="0" fontId="0"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0" fontId="11" fillId="0" borderId="0"/>
    <xf numFmtId="0" fontId="13" fillId="0" borderId="0"/>
    <xf numFmtId="0" fontId="17" fillId="0" borderId="0"/>
    <xf numFmtId="0" fontId="26" fillId="0" borderId="0"/>
    <xf numFmtId="0" fontId="32" fillId="0" borderId="0"/>
  </cellStyleXfs>
  <cellXfs count="194">
    <xf numFmtId="0" fontId="0" fillId="0" borderId="0" xfId="0"/>
    <xf numFmtId="0" fontId="4" fillId="0" borderId="0" xfId="0" applyFont="1" applyAlignment="1" applyProtection="1">
      <alignment vertical="center"/>
      <protection locked="0"/>
    </xf>
    <xf numFmtId="0" fontId="3"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protection locked="0"/>
    </xf>
    <xf numFmtId="43" fontId="18" fillId="0" borderId="0" xfId="3" applyFont="1" applyAlignment="1" applyProtection="1">
      <alignment horizontal="center" vertical="center"/>
      <protection locked="0"/>
    </xf>
    <xf numFmtId="0" fontId="18" fillId="0" borderId="0" xfId="0" applyFont="1" applyAlignment="1" applyProtection="1">
      <alignment horizontal="left" vertical="center"/>
      <protection locked="0"/>
    </xf>
    <xf numFmtId="0" fontId="5"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left" vertical="center"/>
      <protection locked="0"/>
    </xf>
    <xf numFmtId="0" fontId="10" fillId="4" borderId="1" xfId="1" applyFont="1" applyFill="1" applyBorder="1" applyAlignment="1" applyProtection="1">
      <alignment horizontal="center" vertical="center" wrapText="1"/>
      <protection locked="0"/>
    </xf>
    <xf numFmtId="2" fontId="10" fillId="4" borderId="1" xfId="1"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5" fillId="2" borderId="1" xfId="0" applyFont="1" applyFill="1" applyBorder="1" applyAlignment="1" applyProtection="1">
      <alignment vertical="center"/>
      <protection locked="0"/>
    </xf>
    <xf numFmtId="0" fontId="5" fillId="2" borderId="1" xfId="0"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43" fontId="3" fillId="0" borderId="0" xfId="3" applyFont="1" applyAlignment="1" applyProtection="1">
      <alignment vertical="center"/>
      <protection locked="0"/>
    </xf>
    <xf numFmtId="0" fontId="4" fillId="0" borderId="1" xfId="0" applyFont="1" applyBorder="1" applyAlignment="1" applyProtection="1">
      <alignment vertical="center" wrapText="1"/>
      <protection locked="0"/>
    </xf>
    <xf numFmtId="0" fontId="4" fillId="6" borderId="1" xfId="0" applyFont="1" applyFill="1" applyBorder="1" applyAlignment="1" applyProtection="1">
      <alignment horizontal="center" vertical="center"/>
      <protection locked="0"/>
    </xf>
    <xf numFmtId="0" fontId="4" fillId="6" borderId="1" xfId="0" applyFont="1" applyFill="1" applyBorder="1" applyAlignment="1" applyProtection="1">
      <alignment vertical="center" wrapText="1"/>
      <protection locked="0"/>
    </xf>
    <xf numFmtId="164" fontId="18" fillId="0" borderId="0" xfId="3" applyNumberFormat="1" applyFont="1" applyAlignment="1" applyProtection="1">
      <alignment horizontal="center" vertical="center"/>
      <protection locked="0"/>
    </xf>
    <xf numFmtId="164" fontId="3" fillId="6" borderId="1" xfId="3" applyNumberFormat="1" applyFont="1" applyFill="1" applyBorder="1" applyAlignment="1" applyProtection="1">
      <alignment horizontal="center" vertical="center" wrapText="1"/>
      <protection locked="0"/>
    </xf>
    <xf numFmtId="164" fontId="5" fillId="2" borderId="1" xfId="3" applyNumberFormat="1" applyFont="1" applyFill="1" applyBorder="1" applyAlignment="1" applyProtection="1">
      <alignment horizontal="center" vertical="center"/>
      <protection locked="0"/>
    </xf>
    <xf numFmtId="1" fontId="3" fillId="5" borderId="1" xfId="7" applyNumberFormat="1" applyFont="1" applyFill="1" applyBorder="1" applyAlignment="1" applyProtection="1">
      <alignment horizontal="center" vertical="center"/>
      <protection locked="0"/>
    </xf>
    <xf numFmtId="165" fontId="29" fillId="3" borderId="1" xfId="7" applyNumberFormat="1"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5" fillId="0" borderId="0" xfId="0" applyFont="1" applyAlignment="1">
      <alignment horizontal="left" vertical="center"/>
    </xf>
    <xf numFmtId="0" fontId="18" fillId="0" borderId="0" xfId="0" applyFont="1" applyAlignment="1">
      <alignment vertical="center"/>
    </xf>
    <xf numFmtId="43" fontId="18" fillId="0" borderId="0" xfId="3" applyFont="1" applyAlignment="1" applyProtection="1">
      <alignment horizontal="center" vertical="center"/>
    </xf>
    <xf numFmtId="164" fontId="18" fillId="0" borderId="0" xfId="3" applyNumberFormat="1" applyFont="1" applyAlignment="1" applyProtection="1">
      <alignment horizontal="center" vertical="center"/>
    </xf>
    <xf numFmtId="0" fontId="18" fillId="0" borderId="0" xfId="0" applyFont="1" applyAlignment="1">
      <alignment horizontal="left" vertical="center"/>
    </xf>
    <xf numFmtId="0" fontId="5" fillId="0" borderId="0" xfId="0" applyFont="1" applyAlignment="1">
      <alignment horizontal="center" vertical="center"/>
    </xf>
    <xf numFmtId="0" fontId="20" fillId="0" borderId="0" xfId="0" applyFont="1" applyAlignment="1">
      <alignment horizontal="center" vertical="center"/>
    </xf>
    <xf numFmtId="43" fontId="5" fillId="0" borderId="0" xfId="3" applyFont="1" applyAlignment="1" applyProtection="1">
      <alignment horizontal="center" vertical="center"/>
    </xf>
    <xf numFmtId="164" fontId="5" fillId="0" borderId="0" xfId="3" applyNumberFormat="1" applyFont="1" applyAlignment="1" applyProtection="1">
      <alignment horizontal="center" vertical="center"/>
    </xf>
    <xf numFmtId="0" fontId="30"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25" fillId="0" borderId="0" xfId="0" applyFont="1" applyAlignment="1">
      <alignment horizontal="left" vertical="center" indent="1"/>
    </xf>
    <xf numFmtId="0" fontId="9" fillId="0" borderId="0" xfId="0" applyFont="1" applyAlignment="1">
      <alignment vertical="center" wrapText="1"/>
    </xf>
    <xf numFmtId="0" fontId="19" fillId="0" borderId="0" xfId="0" applyFont="1" applyAlignment="1">
      <alignment horizontal="center" vertical="center" wrapText="1"/>
    </xf>
    <xf numFmtId="164" fontId="19" fillId="0" borderId="0" xfId="0" applyNumberFormat="1" applyFont="1" applyAlignment="1">
      <alignment horizontal="center" vertical="center" wrapText="1"/>
    </xf>
    <xf numFmtId="164" fontId="19" fillId="0" borderId="0" xfId="3" applyNumberFormat="1" applyFont="1" applyBorder="1" applyAlignment="1" applyProtection="1">
      <alignment horizontal="center" vertical="center" wrapText="1"/>
    </xf>
    <xf numFmtId="0" fontId="21" fillId="0" borderId="0" xfId="0" applyFont="1" applyAlignment="1">
      <alignment horizontal="left" vertical="center"/>
    </xf>
    <xf numFmtId="0" fontId="4" fillId="0" borderId="0" xfId="0" quotePrefix="1" applyFont="1" applyAlignment="1">
      <alignment vertical="center"/>
    </xf>
    <xf numFmtId="164" fontId="4" fillId="0" borderId="0" xfId="0" quotePrefix="1" applyNumberFormat="1" applyFont="1" applyAlignment="1">
      <alignment horizontal="left" vertical="center" wrapText="1"/>
    </xf>
    <xf numFmtId="164" fontId="4" fillId="0" borderId="0" xfId="3" quotePrefix="1" applyNumberFormat="1" applyFont="1" applyAlignment="1" applyProtection="1">
      <alignment horizontal="left" vertical="center" wrapText="1"/>
    </xf>
    <xf numFmtId="0" fontId="4" fillId="0" borderId="0" xfId="0" quotePrefix="1" applyFont="1" applyAlignment="1">
      <alignment vertical="center" wrapText="1"/>
    </xf>
    <xf numFmtId="0" fontId="9" fillId="0" borderId="0" xfId="0" applyFont="1" applyAlignment="1">
      <alignment horizontal="left" vertical="center"/>
    </xf>
    <xf numFmtId="43" fontId="4" fillId="0" borderId="0" xfId="3" applyFont="1" applyAlignment="1" applyProtection="1">
      <alignment horizontal="center" vertical="center"/>
    </xf>
    <xf numFmtId="0" fontId="10" fillId="0" borderId="0" xfId="0" applyFont="1" applyAlignment="1">
      <alignment horizontal="center" vertical="center"/>
    </xf>
    <xf numFmtId="164" fontId="4" fillId="0" borderId="0" xfId="3" applyNumberFormat="1" applyFont="1" applyAlignment="1" applyProtection="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43" fontId="3" fillId="0" borderId="0" xfId="3" applyFont="1" applyAlignment="1" applyProtection="1">
      <alignment horizontal="center" vertical="center"/>
    </xf>
    <xf numFmtId="43" fontId="3" fillId="0" borderId="0" xfId="3" applyFont="1" applyBorder="1" applyAlignment="1" applyProtection="1">
      <alignment horizontal="center" vertical="center" wrapText="1"/>
    </xf>
    <xf numFmtId="164" fontId="3" fillId="0" borderId="0" xfId="3" applyNumberFormat="1" applyFont="1" applyBorder="1" applyAlignment="1" applyProtection="1">
      <alignment horizontal="center" vertical="center" wrapText="1"/>
    </xf>
    <xf numFmtId="0" fontId="2" fillId="0" borderId="0" xfId="0" applyFont="1" applyAlignment="1">
      <alignment vertical="center"/>
    </xf>
    <xf numFmtId="0" fontId="4" fillId="0" borderId="0" xfId="0" applyFont="1" applyAlignment="1">
      <alignment horizontal="left" vertical="center"/>
    </xf>
    <xf numFmtId="164" fontId="3" fillId="0" borderId="0" xfId="3" applyNumberFormat="1" applyFont="1" applyAlignment="1" applyProtection="1">
      <alignment horizontal="center" vertical="center"/>
    </xf>
    <xf numFmtId="0" fontId="3" fillId="0" borderId="0" xfId="0" applyFont="1" applyAlignment="1">
      <alignment horizontal="left" vertical="center"/>
    </xf>
    <xf numFmtId="164" fontId="3" fillId="0" borderId="0" xfId="3" applyNumberFormat="1" applyFont="1" applyAlignment="1" applyProtection="1">
      <alignment vertical="center"/>
    </xf>
    <xf numFmtId="0" fontId="10" fillId="0" borderId="0" xfId="0" applyFont="1" applyAlignment="1">
      <alignment vertical="center"/>
    </xf>
    <xf numFmtId="0" fontId="3" fillId="0" borderId="0" xfId="0" applyFont="1" applyAlignment="1" applyProtection="1">
      <alignment horizontal="left" vertical="center"/>
      <protection locked="0"/>
    </xf>
    <xf numFmtId="0" fontId="9" fillId="0" borderId="0" xfId="0" applyFont="1" applyAlignment="1" applyProtection="1">
      <alignment horizontal="center" vertical="center"/>
      <protection locked="0"/>
    </xf>
    <xf numFmtId="0" fontId="10" fillId="0" borderId="0" xfId="0" applyFont="1" applyAlignment="1">
      <alignment horizontal="left" vertical="center"/>
    </xf>
    <xf numFmtId="0" fontId="23" fillId="0" borderId="0" xfId="0" applyFont="1" applyAlignment="1">
      <alignment horizontal="center" vertical="center"/>
    </xf>
    <xf numFmtId="0" fontId="10" fillId="4" borderId="1" xfId="1" applyFont="1" applyFill="1" applyBorder="1" applyAlignment="1">
      <alignment horizontal="center" vertical="center" wrapText="1"/>
    </xf>
    <xf numFmtId="164" fontId="24" fillId="0" borderId="0" xfId="3" applyNumberFormat="1" applyFont="1" applyAlignment="1" applyProtection="1">
      <alignment horizontal="left" vertical="center"/>
    </xf>
    <xf numFmtId="164" fontId="22" fillId="0" borderId="0" xfId="3" applyNumberFormat="1" applyFont="1" applyAlignment="1" applyProtection="1">
      <alignment horizontal="left" vertical="center"/>
    </xf>
    <xf numFmtId="164" fontId="24" fillId="0" borderId="0" xfId="3" applyNumberFormat="1" applyFont="1" applyAlignment="1" applyProtection="1">
      <alignment horizontal="center" vertical="center"/>
    </xf>
    <xf numFmtId="164" fontId="22" fillId="0" borderId="0" xfId="3" applyNumberFormat="1" applyFont="1" applyAlignment="1" applyProtection="1">
      <alignment horizontal="center" vertical="center"/>
    </xf>
    <xf numFmtId="0" fontId="18"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8" borderId="3" xfId="0" applyFont="1" applyFill="1" applyBorder="1" applyAlignment="1">
      <alignment horizontal="center" vertical="center" wrapText="1"/>
    </xf>
    <xf numFmtId="0" fontId="9" fillId="0" borderId="0" xfId="0" applyFont="1" applyAlignment="1" applyProtection="1">
      <alignment vertical="center"/>
      <protection locked="0"/>
    </xf>
    <xf numFmtId="0" fontId="5" fillId="0" borderId="1" xfId="0" applyFont="1" applyBorder="1" applyAlignment="1">
      <alignment vertical="center" wrapText="1"/>
    </xf>
    <xf numFmtId="1" fontId="10" fillId="4" borderId="1" xfId="1" applyNumberFormat="1" applyFont="1" applyFill="1" applyBorder="1" applyAlignment="1" applyProtection="1">
      <alignment horizontal="center" vertical="center" wrapText="1"/>
      <protection locked="0"/>
    </xf>
    <xf numFmtId="1" fontId="3" fillId="5" borderId="1" xfId="7" applyNumberFormat="1" applyFont="1" applyFill="1" applyBorder="1" applyAlignment="1">
      <alignment horizontal="center" vertical="center"/>
    </xf>
    <xf numFmtId="0" fontId="4" fillId="0" borderId="0" xfId="0" quotePrefix="1" applyFont="1" applyAlignment="1">
      <alignment horizontal="center" vertical="center" wrapText="1"/>
    </xf>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43" fontId="3" fillId="0" borderId="0" xfId="3" applyFont="1" applyAlignment="1" applyProtection="1">
      <alignment vertical="center"/>
    </xf>
    <xf numFmtId="164" fontId="12" fillId="0" borderId="0" xfId="4" applyNumberFormat="1" applyFont="1" applyAlignme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5" fillId="0" borderId="0" xfId="4" applyFont="1" applyAlignment="1">
      <alignment vertical="center"/>
    </xf>
    <xf numFmtId="0" fontId="15" fillId="0" borderId="0" xfId="5" applyFont="1" applyAlignment="1">
      <alignment vertical="center"/>
    </xf>
    <xf numFmtId="0" fontId="16" fillId="0" borderId="0" xfId="5" applyFont="1" applyAlignment="1">
      <alignment vertical="center"/>
    </xf>
    <xf numFmtId="0" fontId="15" fillId="0" borderId="0" xfId="6" applyFont="1" applyAlignment="1">
      <alignment horizontal="center" vertical="center"/>
    </xf>
    <xf numFmtId="0" fontId="16" fillId="0" borderId="0" xfId="6" applyFont="1" applyAlignment="1">
      <alignment horizontal="center" vertical="center"/>
    </xf>
    <xf numFmtId="0" fontId="15" fillId="0" borderId="0" xfId="5" applyFont="1" applyAlignment="1">
      <alignment horizontal="center" vertical="center"/>
    </xf>
    <xf numFmtId="0" fontId="16" fillId="0" borderId="0" xfId="5" applyFont="1" applyAlignment="1">
      <alignment horizontal="center" vertical="center"/>
    </xf>
    <xf numFmtId="164" fontId="5" fillId="2" borderId="1" xfId="0" applyNumberFormat="1" applyFont="1" applyFill="1" applyBorder="1" applyAlignment="1">
      <alignment horizontal="center" vertical="center"/>
    </xf>
    <xf numFmtId="0" fontId="5" fillId="2" borderId="1" xfId="0" applyFont="1" applyFill="1" applyBorder="1" applyAlignment="1">
      <alignment horizontal="right" vertical="center"/>
    </xf>
    <xf numFmtId="0" fontId="3" fillId="5" borderId="1" xfId="7" applyFont="1" applyFill="1" applyBorder="1" applyAlignment="1" applyProtection="1">
      <alignment horizontal="center" vertical="center"/>
      <protection locked="0"/>
    </xf>
    <xf numFmtId="0" fontId="27" fillId="7" borderId="1" xfId="7" applyFont="1" applyFill="1" applyBorder="1" applyAlignment="1" applyProtection="1">
      <alignment horizontal="center" vertical="center"/>
      <protection locked="0"/>
    </xf>
    <xf numFmtId="1" fontId="28" fillId="7" borderId="1" xfId="7" applyNumberFormat="1" applyFont="1" applyFill="1" applyBorder="1" applyAlignment="1" applyProtection="1">
      <alignment vertical="center" wrapText="1"/>
      <protection locked="0"/>
    </xf>
    <xf numFmtId="0" fontId="5" fillId="0" borderId="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31" fillId="0" borderId="0" xfId="0" applyFont="1" applyAlignment="1" applyProtection="1">
      <alignment horizontal="left" vertical="center"/>
      <protection locked="0"/>
    </xf>
    <xf numFmtId="0" fontId="4" fillId="3" borderId="1" xfId="0" applyFont="1" applyFill="1" applyBorder="1" applyAlignment="1">
      <alignment horizontal="center" vertical="center"/>
    </xf>
    <xf numFmtId="167" fontId="4" fillId="9" borderId="1" xfId="3" applyNumberFormat="1" applyFont="1" applyFill="1" applyBorder="1" applyAlignment="1" applyProtection="1">
      <alignment horizontal="center" vertical="center"/>
      <protection locked="0"/>
    </xf>
    <xf numFmtId="0" fontId="4" fillId="9" borderId="1" xfId="0" applyFont="1" applyFill="1" applyBorder="1" applyAlignment="1" applyProtection="1">
      <alignment horizontal="center" vertical="center"/>
      <protection locked="0"/>
    </xf>
    <xf numFmtId="43" fontId="4" fillId="10" borderId="1" xfId="3" applyFont="1" applyFill="1" applyBorder="1" applyAlignment="1" applyProtection="1">
      <alignment horizontal="center" vertical="center"/>
      <protection locked="0"/>
    </xf>
    <xf numFmtId="1" fontId="4" fillId="10" borderId="1" xfId="3" applyNumberFormat="1" applyFont="1" applyFill="1" applyBorder="1" applyAlignment="1" applyProtection="1">
      <alignment horizontal="center" vertical="center"/>
      <protection locked="0"/>
    </xf>
    <xf numFmtId="166" fontId="4" fillId="10" borderId="1" xfId="0" applyNumberFormat="1" applyFont="1" applyFill="1" applyBorder="1" applyAlignment="1" applyProtection="1">
      <alignment horizontal="center" vertical="center"/>
      <protection locked="0"/>
    </xf>
    <xf numFmtId="2" fontId="4" fillId="10" borderId="1" xfId="3" applyNumberFormat="1" applyFont="1" applyFill="1" applyBorder="1" applyAlignment="1" applyProtection="1">
      <alignment horizontal="center" vertical="center"/>
      <protection locked="0"/>
    </xf>
    <xf numFmtId="43" fontId="5" fillId="0" borderId="1" xfId="3" applyFont="1" applyBorder="1" applyAlignment="1" applyProtection="1">
      <alignment horizontal="center" vertical="center"/>
      <protection locked="0"/>
    </xf>
    <xf numFmtId="0" fontId="18" fillId="3" borderId="0" xfId="0" applyFont="1" applyFill="1" applyAlignment="1">
      <alignment vertical="center"/>
    </xf>
    <xf numFmtId="0" fontId="18" fillId="2" borderId="1" xfId="0" applyFont="1" applyFill="1" applyBorder="1" applyAlignment="1">
      <alignment horizontal="center" vertical="center" wrapText="1"/>
    </xf>
    <xf numFmtId="0" fontId="18" fillId="3" borderId="0" xfId="0" applyFont="1" applyFill="1" applyAlignment="1">
      <alignment horizontal="center" vertical="center"/>
    </xf>
    <xf numFmtId="1" fontId="10" fillId="7" borderId="1" xfId="7" applyNumberFormat="1" applyFont="1" applyFill="1" applyBorder="1" applyAlignment="1" applyProtection="1">
      <alignment horizontal="center" vertical="center"/>
      <protection locked="0"/>
    </xf>
    <xf numFmtId="43" fontId="3" fillId="3" borderId="1" xfId="3" applyFont="1" applyFill="1" applyBorder="1" applyAlignment="1" applyProtection="1">
      <alignment horizontal="center" vertical="center" wrapText="1"/>
      <protection locked="0"/>
    </xf>
    <xf numFmtId="164" fontId="3" fillId="3" borderId="1" xfId="3" applyNumberFormat="1" applyFont="1" applyFill="1" applyBorder="1" applyAlignment="1" applyProtection="1">
      <alignment horizontal="center" vertical="center" wrapText="1"/>
      <protection locked="0"/>
    </xf>
    <xf numFmtId="43" fontId="3" fillId="3" borderId="1" xfId="3" applyFont="1" applyFill="1" applyBorder="1" applyAlignment="1" applyProtection="1">
      <alignment horizontal="center" vertical="center" wrapText="1"/>
    </xf>
    <xf numFmtId="43" fontId="24" fillId="0" borderId="0" xfId="3" applyFont="1" applyAlignment="1" applyProtection="1">
      <alignment horizontal="center" vertical="center"/>
    </xf>
    <xf numFmtId="43" fontId="3" fillId="0" borderId="0" xfId="3" applyFont="1" applyAlignment="1">
      <alignment vertical="center"/>
    </xf>
    <xf numFmtId="43" fontId="22" fillId="0" borderId="0" xfId="3" applyFont="1" applyAlignment="1" applyProtection="1">
      <alignment horizontal="center" vertical="center"/>
    </xf>
    <xf numFmtId="164" fontId="3" fillId="3" borderId="1" xfId="3" applyNumberFormat="1" applyFont="1" applyFill="1" applyBorder="1" applyAlignment="1" applyProtection="1">
      <alignment horizontal="center" vertical="center" wrapText="1"/>
    </xf>
    <xf numFmtId="43" fontId="10" fillId="6" borderId="1" xfId="3"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protection locked="0"/>
    </xf>
    <xf numFmtId="0" fontId="18" fillId="3" borderId="1" xfId="0" applyFont="1" applyFill="1" applyBorder="1" applyAlignment="1">
      <alignment horizontal="center" vertical="center" wrapText="1"/>
    </xf>
    <xf numFmtId="43" fontId="18" fillId="2" borderId="1" xfId="3" applyFont="1" applyFill="1" applyBorder="1" applyAlignment="1" applyProtection="1">
      <alignment horizontal="center" vertical="center"/>
      <protection locked="0"/>
    </xf>
    <xf numFmtId="164" fontId="18" fillId="2" borderId="1" xfId="3" applyNumberFormat="1" applyFont="1" applyFill="1" applyBorder="1" applyAlignment="1" applyProtection="1">
      <alignment horizontal="center" vertical="center"/>
      <protection locked="0"/>
    </xf>
    <xf numFmtId="164" fontId="18" fillId="2" borderId="1" xfId="3" applyNumberFormat="1" applyFont="1" applyFill="1" applyBorder="1" applyAlignment="1" applyProtection="1">
      <alignment horizontal="right" vertical="center"/>
      <protection locked="0"/>
    </xf>
    <xf numFmtId="168" fontId="33" fillId="8" borderId="6" xfId="8" applyNumberFormat="1" applyFont="1" applyFill="1" applyBorder="1" applyAlignment="1">
      <alignment horizontal="center" vertical="center"/>
    </xf>
    <xf numFmtId="0" fontId="2" fillId="8" borderId="1" xfId="0" applyFont="1" applyFill="1" applyBorder="1" applyAlignment="1" applyProtection="1">
      <alignment vertical="center"/>
      <protection locked="0"/>
    </xf>
    <xf numFmtId="22" fontId="33" fillId="8" borderId="6" xfId="8" applyNumberFormat="1" applyFont="1" applyFill="1" applyBorder="1" applyAlignment="1">
      <alignment horizontal="center" vertical="center"/>
    </xf>
    <xf numFmtId="0" fontId="5" fillId="0" borderId="0" xfId="0" applyFont="1" applyAlignment="1" applyProtection="1">
      <alignment vertical="center"/>
      <protection locked="0"/>
    </xf>
    <xf numFmtId="0" fontId="5" fillId="2" borderId="5" xfId="0" applyFont="1" applyFill="1" applyBorder="1" applyAlignment="1" applyProtection="1">
      <alignment horizontal="center" vertical="center"/>
      <protection locked="0"/>
    </xf>
    <xf numFmtId="0" fontId="0" fillId="0" borderId="1" xfId="0" applyBorder="1"/>
    <xf numFmtId="0" fontId="0" fillId="2" borderId="1" xfId="0" applyFill="1" applyBorder="1"/>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35" fillId="0" borderId="0" xfId="0" applyFont="1" applyAlignment="1" applyProtection="1">
      <alignment horizontal="center" vertical="center"/>
      <protection locked="0"/>
    </xf>
    <xf numFmtId="0" fontId="36" fillId="2" borderId="1" xfId="0" applyFont="1" applyFill="1" applyBorder="1"/>
    <xf numFmtId="0" fontId="36" fillId="2" borderId="1" xfId="0" applyFont="1" applyFill="1" applyBorder="1" applyAlignment="1">
      <alignment horizontal="center"/>
    </xf>
    <xf numFmtId="0" fontId="37" fillId="0" borderId="1" xfId="0" applyFont="1" applyBorder="1"/>
    <xf numFmtId="0" fontId="37" fillId="0" borderId="1" xfId="0" applyFont="1" applyBorder="1" applyAlignment="1">
      <alignment wrapText="1"/>
    </xf>
    <xf numFmtId="0" fontId="37" fillId="0" borderId="1" xfId="0" applyFont="1" applyBorder="1" applyAlignment="1">
      <alignment horizontal="center"/>
    </xf>
    <xf numFmtId="1" fontId="37" fillId="0" borderId="1" xfId="0" applyNumberFormat="1" applyFont="1" applyBorder="1"/>
    <xf numFmtId="0" fontId="37" fillId="0" borderId="0" xfId="0" applyFont="1"/>
    <xf numFmtId="0" fontId="3" fillId="0" borderId="1" xfId="0" applyFont="1" applyBorder="1" applyAlignment="1" applyProtection="1">
      <alignment vertical="center" wrapText="1"/>
      <protection locked="0"/>
    </xf>
    <xf numFmtId="0" fontId="5" fillId="2" borderId="0" xfId="0" applyFont="1" applyFill="1" applyBorder="1" applyAlignment="1" applyProtection="1">
      <alignment vertical="center"/>
      <protection locked="0"/>
    </xf>
    <xf numFmtId="0" fontId="5" fillId="2" borderId="0" xfId="0" applyFont="1" applyFill="1" applyBorder="1" applyAlignment="1" applyProtection="1">
      <alignment horizontal="center" vertical="center"/>
      <protection locked="0"/>
    </xf>
    <xf numFmtId="0" fontId="5" fillId="4" borderId="1" xfId="0" applyFont="1" applyFill="1" applyBorder="1" applyAlignment="1" applyProtection="1">
      <alignment vertical="center" wrapText="1"/>
      <protection locked="0"/>
    </xf>
    <xf numFmtId="0" fontId="10" fillId="11" borderId="1" xfId="7" applyFont="1" applyFill="1" applyBorder="1" applyAlignment="1" applyProtection="1">
      <alignment horizontal="center" vertical="center"/>
      <protection locked="0"/>
    </xf>
    <xf numFmtId="1" fontId="10" fillId="11" borderId="1" xfId="7" applyNumberFormat="1" applyFont="1" applyFill="1" applyBorder="1" applyAlignment="1">
      <alignment horizontal="center" vertical="center"/>
    </xf>
    <xf numFmtId="165" fontId="39" fillId="4" borderId="1" xfId="7" applyNumberFormat="1" applyFont="1" applyFill="1" applyBorder="1" applyAlignment="1" applyProtection="1">
      <alignment horizontal="center" vertical="center" wrapText="1"/>
      <protection locked="0"/>
    </xf>
    <xf numFmtId="43" fontId="10" fillId="7" borderId="1" xfId="3" applyFont="1" applyFill="1" applyBorder="1" applyAlignment="1" applyProtection="1">
      <alignment horizontal="center" vertical="center"/>
      <protection locked="0"/>
    </xf>
    <xf numFmtId="0" fontId="3" fillId="3" borderId="1" xfId="0" applyFont="1" applyFill="1" applyBorder="1" applyAlignment="1" applyProtection="1">
      <alignment vertical="center" wrapText="1"/>
      <protection locked="0"/>
    </xf>
    <xf numFmtId="43" fontId="10" fillId="4" borderId="1" xfId="3" applyFont="1" applyFill="1" applyBorder="1" applyAlignment="1" applyProtection="1">
      <alignment horizontal="center" vertical="center" wrapText="1"/>
    </xf>
    <xf numFmtId="1" fontId="10" fillId="11" borderId="1" xfId="7" applyNumberFormat="1" applyFont="1" applyFill="1" applyBorder="1" applyAlignment="1" applyProtection="1">
      <alignment horizontal="center" vertical="center"/>
      <protection locked="0"/>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43" fontId="5" fillId="0" borderId="1" xfId="3" applyFont="1" applyBorder="1" applyAlignment="1" applyProtection="1">
      <alignment horizontal="center" vertical="center" wrapText="1"/>
    </xf>
    <xf numFmtId="0" fontId="5" fillId="0" borderId="1"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2" xfId="0" applyFont="1" applyBorder="1" applyAlignment="1">
      <alignment horizontal="center" vertical="center" wrapText="1"/>
    </xf>
    <xf numFmtId="164" fontId="5" fillId="2" borderId="1" xfId="3" applyNumberFormat="1" applyFont="1" applyFill="1" applyBorder="1" applyAlignment="1" applyProtection="1">
      <alignment horizontal="center" vertical="center" wrapText="1"/>
    </xf>
    <xf numFmtId="164" fontId="5" fillId="2" borderId="1" xfId="3" applyNumberFormat="1" applyFont="1" applyFill="1" applyBorder="1" applyAlignment="1" applyProtection="1">
      <alignment horizontal="center" vertical="center"/>
    </xf>
    <xf numFmtId="164" fontId="34" fillId="0" borderId="4" xfId="3" applyNumberFormat="1" applyFont="1" applyBorder="1" applyAlignment="1" applyProtection="1">
      <alignment horizontal="center" vertical="center"/>
    </xf>
    <xf numFmtId="164" fontId="34" fillId="0" borderId="5" xfId="3" applyNumberFormat="1" applyFont="1" applyBorder="1" applyAlignment="1" applyProtection="1">
      <alignment horizontal="center" vertical="center"/>
    </xf>
    <xf numFmtId="0" fontId="4" fillId="0" borderId="0" xfId="0" quotePrefix="1" applyFont="1" applyAlignment="1">
      <alignment horizontal="left" vertical="center" wrapText="1"/>
    </xf>
    <xf numFmtId="164" fontId="5" fillId="0" borderId="1" xfId="3" applyNumberFormat="1" applyFont="1" applyBorder="1" applyAlignment="1" applyProtection="1">
      <alignment horizontal="center" vertical="center"/>
    </xf>
    <xf numFmtId="164" fontId="5" fillId="0" borderId="1" xfId="3" applyNumberFormat="1" applyFont="1" applyBorder="1" applyAlignment="1" applyProtection="1">
      <alignment horizontal="center" vertical="center" wrapText="1"/>
    </xf>
    <xf numFmtId="164" fontId="5" fillId="2" borderId="4"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43" fontId="38" fillId="0" borderId="7" xfId="3" applyFont="1" applyBorder="1" applyAlignment="1" applyProtection="1">
      <alignment horizontal="center" vertical="center" wrapText="1"/>
    </xf>
    <xf numFmtId="43" fontId="38" fillId="0" borderId="8" xfId="3" applyFont="1" applyBorder="1" applyAlignment="1" applyProtection="1">
      <alignment horizontal="center" vertical="center" wrapText="1"/>
    </xf>
    <xf numFmtId="43" fontId="38" fillId="0" borderId="9" xfId="3" applyFont="1" applyBorder="1" applyAlignment="1" applyProtection="1">
      <alignment horizontal="center" vertical="center" wrapText="1"/>
    </xf>
    <xf numFmtId="43" fontId="38" fillId="0" borderId="10" xfId="3" applyFont="1" applyBorder="1" applyAlignment="1" applyProtection="1">
      <alignment horizontal="center" vertical="center" wrapText="1"/>
    </xf>
    <xf numFmtId="43" fontId="38" fillId="0" borderId="0" xfId="3" applyFont="1" applyBorder="1" applyAlignment="1" applyProtection="1">
      <alignment horizontal="center" vertical="center" wrapText="1"/>
    </xf>
    <xf numFmtId="43" fontId="38" fillId="0" borderId="11" xfId="3" applyFont="1" applyBorder="1" applyAlignment="1" applyProtection="1">
      <alignment horizontal="center" vertical="center" wrapText="1"/>
    </xf>
    <xf numFmtId="43" fontId="38" fillId="0" borderId="12" xfId="3" applyFont="1" applyBorder="1" applyAlignment="1" applyProtection="1">
      <alignment horizontal="center" vertical="center" wrapText="1"/>
    </xf>
    <xf numFmtId="43" fontId="38" fillId="0" borderId="13" xfId="3" applyFont="1" applyBorder="1" applyAlignment="1" applyProtection="1">
      <alignment horizontal="center" vertical="center" wrapText="1"/>
    </xf>
    <xf numFmtId="43" fontId="38" fillId="0" borderId="14" xfId="3" applyFont="1" applyBorder="1" applyAlignment="1" applyProtection="1">
      <alignment horizontal="center" vertical="center" wrapText="1"/>
    </xf>
    <xf numFmtId="43" fontId="10" fillId="2" borderId="3" xfId="3" applyFont="1" applyFill="1" applyBorder="1" applyAlignment="1" applyProtection="1">
      <alignment horizontal="center" vertical="center" wrapText="1"/>
    </xf>
    <xf numFmtId="43" fontId="10" fillId="2" borderId="2" xfId="3" applyFont="1" applyFill="1" applyBorder="1" applyAlignment="1" applyProtection="1">
      <alignment horizontal="center" vertical="center" wrapText="1"/>
    </xf>
    <xf numFmtId="164" fontId="10" fillId="2" borderId="3" xfId="3" applyNumberFormat="1" applyFont="1" applyFill="1" applyBorder="1" applyAlignment="1" applyProtection="1">
      <alignment horizontal="center" vertical="center"/>
    </xf>
    <xf numFmtId="164" fontId="10" fillId="2" borderId="2" xfId="3" applyNumberFormat="1" applyFont="1" applyFill="1" applyBorder="1" applyAlignment="1" applyProtection="1">
      <alignment horizontal="center" vertical="center"/>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22" fillId="0" borderId="0" xfId="0" applyFont="1" applyAlignment="1">
      <alignment horizontal="center" vertical="center"/>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cellXfs>
  <cellStyles count="9">
    <cellStyle name="Comma" xfId="3" builtinId="3"/>
    <cellStyle name="Comma 2" xfId="2"/>
    <cellStyle name="Excel Built-in Normal" xfId="7"/>
    <cellStyle name="Normal" xfId="0" builtinId="0"/>
    <cellStyle name="Normal 2" xfId="1"/>
    <cellStyle name="Normal 3" xfId="8"/>
    <cellStyle name="Normal_Dichso" xfId="6"/>
    <cellStyle name="Normal_DocSoUnicode" xfId="5"/>
    <cellStyle name="Normal_NhatKy0403" xfId="4"/>
  </cellStyles>
  <dxfs count="8">
    <dxf>
      <fill>
        <patternFill>
          <bgColor theme="7" tint="-0.24994659260841701"/>
        </patternFill>
      </fill>
    </dxf>
    <dxf>
      <fill>
        <patternFill>
          <bgColor theme="7"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41910</xdr:colOff>
      <xdr:row>0</xdr:row>
      <xdr:rowOff>0</xdr:rowOff>
    </xdr:from>
    <xdr:ext cx="5156200" cy="1419227"/>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3295650" y="0"/>
          <a:ext cx="5156200"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0967.181.786 -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twoCellAnchor editAs="oneCell">
    <xdr:from>
      <xdr:col>2</xdr:col>
      <xdr:colOff>60323</xdr:colOff>
      <xdr:row>0</xdr:row>
      <xdr:rowOff>158749</xdr:rowOff>
    </xdr:from>
    <xdr:to>
      <xdr:col>2</xdr:col>
      <xdr:colOff>1625946</xdr:colOff>
      <xdr:row>4</xdr:row>
      <xdr:rowOff>19050</xdr:rowOff>
    </xdr:to>
    <xdr:pic>
      <xdr:nvPicPr>
        <xdr:cNvPr id="6" name="Picture 5">
          <a:extLst>
            <a:ext uri="{FF2B5EF4-FFF2-40B4-BE49-F238E27FC236}">
              <a16:creationId xmlns=""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898" y="158749"/>
          <a:ext cx="1565623" cy="143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937050</xdr:colOff>
      <xdr:row>71</xdr:row>
      <xdr:rowOff>58843</xdr:rowOff>
    </xdr:from>
    <xdr:to>
      <xdr:col>12</xdr:col>
      <xdr:colOff>934144</xdr:colOff>
      <xdr:row>75</xdr:row>
      <xdr:rowOff>307976</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0313883" y="11245426"/>
          <a:ext cx="949594" cy="1074633"/>
        </a:xfrm>
        <a:prstGeom prst="rect">
          <a:avLst/>
        </a:prstGeom>
      </xdr:spPr>
    </xdr:pic>
    <xdr:clientData/>
  </xdr:twoCellAnchor>
  <xdr:twoCellAnchor editAs="oneCell">
    <xdr:from>
      <xdr:col>15</xdr:col>
      <xdr:colOff>0</xdr:colOff>
      <xdr:row>68</xdr:row>
      <xdr:rowOff>0</xdr:rowOff>
    </xdr:from>
    <xdr:to>
      <xdr:col>15</xdr:col>
      <xdr:colOff>304800</xdr:colOff>
      <xdr:row>69</xdr:row>
      <xdr:rowOff>105834</xdr:rowOff>
    </xdr:to>
    <xdr:sp macro="" textlink="">
      <xdr:nvSpPr>
        <xdr:cNvPr id="1025" name="AutoShape 1">
          <a:extLst>
            <a:ext uri="{FF2B5EF4-FFF2-40B4-BE49-F238E27FC236}">
              <a16:creationId xmlns="" xmlns:a16="http://schemas.microsoft.com/office/drawing/2014/main" id="{00000000-0008-0000-0000-000001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68</xdr:row>
      <xdr:rowOff>0</xdr:rowOff>
    </xdr:from>
    <xdr:to>
      <xdr:col>15</xdr:col>
      <xdr:colOff>304800</xdr:colOff>
      <xdr:row>69</xdr:row>
      <xdr:rowOff>105834</xdr:rowOff>
    </xdr:to>
    <xdr:sp macro="" textlink="">
      <xdr:nvSpPr>
        <xdr:cNvPr id="1026" name="AutoShape 2">
          <a:extLst>
            <a:ext uri="{FF2B5EF4-FFF2-40B4-BE49-F238E27FC236}">
              <a16:creationId xmlns="" xmlns:a16="http://schemas.microsoft.com/office/drawing/2014/main" id="{00000000-0008-0000-0000-000002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68</xdr:row>
      <xdr:rowOff>0</xdr:rowOff>
    </xdr:from>
    <xdr:to>
      <xdr:col>15</xdr:col>
      <xdr:colOff>304800</xdr:colOff>
      <xdr:row>69</xdr:row>
      <xdr:rowOff>105834</xdr:rowOff>
    </xdr:to>
    <xdr:sp macro="" textlink="">
      <xdr:nvSpPr>
        <xdr:cNvPr id="1027" name="AutoShape 3">
          <a:extLst>
            <a:ext uri="{FF2B5EF4-FFF2-40B4-BE49-F238E27FC236}">
              <a16:creationId xmlns="" xmlns:a16="http://schemas.microsoft.com/office/drawing/2014/main" id="{00000000-0008-0000-0000-000003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68</xdr:row>
      <xdr:rowOff>0</xdr:rowOff>
    </xdr:from>
    <xdr:to>
      <xdr:col>15</xdr:col>
      <xdr:colOff>304800</xdr:colOff>
      <xdr:row>69</xdr:row>
      <xdr:rowOff>105834</xdr:rowOff>
    </xdr:to>
    <xdr:sp macro="" textlink="">
      <xdr:nvSpPr>
        <xdr:cNvPr id="1028" name="AutoShape 4">
          <a:extLst>
            <a:ext uri="{FF2B5EF4-FFF2-40B4-BE49-F238E27FC236}">
              <a16:creationId xmlns="" xmlns:a16="http://schemas.microsoft.com/office/drawing/2014/main" id="{00000000-0008-0000-0000-000004040000}"/>
            </a:ext>
          </a:extLst>
        </xdr:cNvPr>
        <xdr:cNvSpPr>
          <a:spLocks noChangeAspect="1" noChangeArrowheads="1"/>
        </xdr:cNvSpPr>
      </xdr:nvSpPr>
      <xdr:spPr bwMode="auto">
        <a:xfrm>
          <a:off x="12719050" y="1383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107950</xdr:rowOff>
    </xdr:to>
    <xdr:sp macro="" textlink="">
      <xdr:nvSpPr>
        <xdr:cNvPr id="1029" name="AutoShape 5">
          <a:extLst>
            <a:ext uri="{FF2B5EF4-FFF2-40B4-BE49-F238E27FC236}">
              <a16:creationId xmlns="" xmlns:a16="http://schemas.microsoft.com/office/drawing/2014/main" id="{00000000-0008-0000-0000-000005040000}"/>
            </a:ext>
          </a:extLst>
        </xdr:cNvPr>
        <xdr:cNvSpPr>
          <a:spLocks noChangeAspect="1" noChangeArrowheads="1"/>
        </xdr:cNvSpPr>
      </xdr:nvSpPr>
      <xdr:spPr bwMode="auto">
        <a:xfrm>
          <a:off x="15481300" y="238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xdr:row>
      <xdr:rowOff>0</xdr:rowOff>
    </xdr:from>
    <xdr:to>
      <xdr:col>15</xdr:col>
      <xdr:colOff>304800</xdr:colOff>
      <xdr:row>13</xdr:row>
      <xdr:rowOff>40216</xdr:rowOff>
    </xdr:to>
    <xdr:sp macro="" textlink="">
      <xdr:nvSpPr>
        <xdr:cNvPr id="1030" name="AutoShape 6">
          <a:extLst>
            <a:ext uri="{FF2B5EF4-FFF2-40B4-BE49-F238E27FC236}">
              <a16:creationId xmlns="" xmlns:a16="http://schemas.microsoft.com/office/drawing/2014/main" id="{00000000-0008-0000-0000-000006040000}"/>
            </a:ext>
          </a:extLst>
        </xdr:cNvPr>
        <xdr:cNvSpPr>
          <a:spLocks noChangeAspect="1" noChangeArrowheads="1"/>
        </xdr:cNvSpPr>
      </xdr:nvSpPr>
      <xdr:spPr bwMode="auto">
        <a:xfrm>
          <a:off x="12719050" y="36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13</xdr:row>
      <xdr:rowOff>0</xdr:rowOff>
    </xdr:from>
    <xdr:ext cx="304800" cy="304800"/>
    <xdr:sp macro="" textlink="">
      <xdr:nvSpPr>
        <xdr:cNvPr id="13" name="AutoShape 6">
          <a:extLst>
            <a:ext uri="{FF2B5EF4-FFF2-40B4-BE49-F238E27FC236}">
              <a16:creationId xmlns="" xmlns:a16="http://schemas.microsoft.com/office/drawing/2014/main" id="{00000000-0008-0000-0000-00000D000000}"/>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13</xdr:row>
      <xdr:rowOff>0</xdr:rowOff>
    </xdr:from>
    <xdr:ext cx="304800" cy="304800"/>
    <xdr:sp macro="" textlink="">
      <xdr:nvSpPr>
        <xdr:cNvPr id="17" name="AutoShape 6">
          <a:extLst>
            <a:ext uri="{FF2B5EF4-FFF2-40B4-BE49-F238E27FC236}">
              <a16:creationId xmlns="" xmlns:a16="http://schemas.microsoft.com/office/drawing/2014/main" id="{00000000-0008-0000-0000-000011000000}"/>
            </a:ext>
          </a:extLst>
        </xdr:cNvPr>
        <xdr:cNvSpPr>
          <a:spLocks noChangeAspect="1" noChangeArrowheads="1"/>
        </xdr:cNvSpPr>
      </xdr:nvSpPr>
      <xdr:spPr bwMode="auto">
        <a:xfrm>
          <a:off x="13070417" y="4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18" name="AutoShape 6">
          <a:extLst>
            <a:ext uri="{FF2B5EF4-FFF2-40B4-BE49-F238E27FC236}">
              <a16:creationId xmlns="" xmlns:a16="http://schemas.microsoft.com/office/drawing/2014/main" id="{00000000-0008-0000-0000-000012000000}"/>
            </a:ext>
          </a:extLst>
        </xdr:cNvPr>
        <xdr:cNvSpPr>
          <a:spLocks noChangeAspect="1" noChangeArrowheads="1"/>
        </xdr:cNvSpPr>
      </xdr:nvSpPr>
      <xdr:spPr bwMode="auto">
        <a:xfrm>
          <a:off x="13070417" y="439208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16" name="AutoShape 6">
          <a:extLst>
            <a:ext uri="{FF2B5EF4-FFF2-40B4-BE49-F238E27FC236}">
              <a16:creationId xmlns="" xmlns:a16="http://schemas.microsoft.com/office/drawing/2014/main" id="{00000000-0008-0000-0000-000010000000}"/>
            </a:ext>
          </a:extLst>
        </xdr:cNvPr>
        <xdr:cNvSpPr>
          <a:spLocks noChangeAspect="1" noChangeArrowheads="1"/>
        </xdr:cNvSpPr>
      </xdr:nvSpPr>
      <xdr:spPr bwMode="auto">
        <a:xfrm>
          <a:off x="13070417" y="58949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8</xdr:row>
      <xdr:rowOff>0</xdr:rowOff>
    </xdr:from>
    <xdr:to>
      <xdr:col>18</xdr:col>
      <xdr:colOff>304800</xdr:colOff>
      <xdr:row>9</xdr:row>
      <xdr:rowOff>107950</xdr:rowOff>
    </xdr:to>
    <xdr:sp macro="" textlink="">
      <xdr:nvSpPr>
        <xdr:cNvPr id="2" name="AutoShape 5">
          <a:extLst>
            <a:ext uri="{FF2B5EF4-FFF2-40B4-BE49-F238E27FC236}">
              <a16:creationId xmlns="" xmlns:a16="http://schemas.microsoft.com/office/drawing/2014/main" id="{00000000-0008-0000-0000-000002000000}"/>
            </a:ext>
          </a:extLst>
        </xdr:cNvPr>
        <xdr:cNvSpPr>
          <a:spLocks noChangeAspect="1" noChangeArrowheads="1"/>
        </xdr:cNvSpPr>
      </xdr:nvSpPr>
      <xdr:spPr bwMode="auto">
        <a:xfrm>
          <a:off x="16068675" y="24574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64</xdr:row>
      <xdr:rowOff>0</xdr:rowOff>
    </xdr:from>
    <xdr:ext cx="304800" cy="304800"/>
    <xdr:sp macro="" textlink="">
      <xdr:nvSpPr>
        <xdr:cNvPr id="7" name="AutoShape 6">
          <a:extLst>
            <a:ext uri="{FF2B5EF4-FFF2-40B4-BE49-F238E27FC236}">
              <a16:creationId xmlns="" xmlns:a16="http://schemas.microsoft.com/office/drawing/2014/main" id="{00000000-0008-0000-0000-000007000000}"/>
            </a:ext>
          </a:extLst>
        </xdr:cNvPr>
        <xdr:cNvSpPr>
          <a:spLocks noChangeAspect="1" noChangeArrowheads="1"/>
        </xdr:cNvSpPr>
      </xdr:nvSpPr>
      <xdr:spPr bwMode="auto">
        <a:xfrm>
          <a:off x="13948833" y="3788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8</xdr:row>
      <xdr:rowOff>0</xdr:rowOff>
    </xdr:from>
    <xdr:to>
      <xdr:col>18</xdr:col>
      <xdr:colOff>304800</xdr:colOff>
      <xdr:row>9</xdr:row>
      <xdr:rowOff>107950</xdr:rowOff>
    </xdr:to>
    <xdr:sp macro="" textlink="">
      <xdr:nvSpPr>
        <xdr:cNvPr id="8" name="AutoShape 5">
          <a:extLst>
            <a:ext uri="{FF2B5EF4-FFF2-40B4-BE49-F238E27FC236}">
              <a16:creationId xmlns="" xmlns:a16="http://schemas.microsoft.com/office/drawing/2014/main" id="{00000000-0008-0000-0000-000008000000}"/>
            </a:ext>
          </a:extLst>
        </xdr:cNvPr>
        <xdr:cNvSpPr>
          <a:spLocks noChangeAspect="1" noChangeArrowheads="1"/>
        </xdr:cNvSpPr>
      </xdr:nvSpPr>
      <xdr:spPr bwMode="auto">
        <a:xfrm>
          <a:off x="15935325" y="24574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8</xdr:row>
      <xdr:rowOff>0</xdr:rowOff>
    </xdr:from>
    <xdr:to>
      <xdr:col>18</xdr:col>
      <xdr:colOff>304800</xdr:colOff>
      <xdr:row>9</xdr:row>
      <xdr:rowOff>107950</xdr:rowOff>
    </xdr:to>
    <xdr:sp macro="" textlink="">
      <xdr:nvSpPr>
        <xdr:cNvPr id="5" name="AutoShape 5">
          <a:extLst>
            <a:ext uri="{FF2B5EF4-FFF2-40B4-BE49-F238E27FC236}">
              <a16:creationId xmlns="" xmlns:a16="http://schemas.microsoft.com/office/drawing/2014/main" id="{00000000-0008-0000-0000-000005000000}"/>
            </a:ext>
          </a:extLst>
        </xdr:cNvPr>
        <xdr:cNvSpPr>
          <a:spLocks noChangeAspect="1" noChangeArrowheads="1"/>
        </xdr:cNvSpPr>
      </xdr:nvSpPr>
      <xdr:spPr bwMode="auto">
        <a:xfrm>
          <a:off x="15935325" y="24574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xdr:col>
      <xdr:colOff>0</xdr:colOff>
      <xdr:row>64</xdr:row>
      <xdr:rowOff>0</xdr:rowOff>
    </xdr:from>
    <xdr:ext cx="304800" cy="304800"/>
    <xdr:sp macro="" textlink="">
      <xdr:nvSpPr>
        <xdr:cNvPr id="10" name="AutoShape 6">
          <a:extLst>
            <a:ext uri="{FF2B5EF4-FFF2-40B4-BE49-F238E27FC236}">
              <a16:creationId xmlns="" xmlns:a16="http://schemas.microsoft.com/office/drawing/2014/main" id="{00000000-0008-0000-0000-00000A000000}"/>
            </a:ext>
          </a:extLst>
        </xdr:cNvPr>
        <xdr:cNvSpPr>
          <a:spLocks noChangeAspect="1" noChangeArrowheads="1"/>
        </xdr:cNvSpPr>
      </xdr:nvSpPr>
      <xdr:spPr bwMode="auto">
        <a:xfrm>
          <a:off x="13546667" y="3788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20" name="AutoShape 6">
          <a:extLst>
            <a:ext uri="{FF2B5EF4-FFF2-40B4-BE49-F238E27FC236}">
              <a16:creationId xmlns="" xmlns:a16="http://schemas.microsoft.com/office/drawing/2014/main" id="{00000000-0008-0000-0000-000014000000}"/>
            </a:ext>
          </a:extLst>
        </xdr:cNvPr>
        <xdr:cNvSpPr>
          <a:spLocks noChangeAspect="1" noChangeArrowheads="1"/>
        </xdr:cNvSpPr>
      </xdr:nvSpPr>
      <xdr:spPr bwMode="auto">
        <a:xfrm>
          <a:off x="13546667" y="3788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29</xdr:row>
      <xdr:rowOff>0</xdr:rowOff>
    </xdr:from>
    <xdr:ext cx="304800" cy="304800"/>
    <xdr:sp macro="" textlink="">
      <xdr:nvSpPr>
        <xdr:cNvPr id="12" name="AutoShape 6">
          <a:extLst>
            <a:ext uri="{FF2B5EF4-FFF2-40B4-BE49-F238E27FC236}">
              <a16:creationId xmlns="" xmlns:a16="http://schemas.microsoft.com/office/drawing/2014/main" id="{8BE75E5B-4F26-41BC-8721-B32E627F95B8}"/>
            </a:ext>
          </a:extLst>
        </xdr:cNvPr>
        <xdr:cNvSpPr>
          <a:spLocks noChangeAspect="1" noChangeArrowheads="1"/>
        </xdr:cNvSpPr>
      </xdr:nvSpPr>
      <xdr:spPr bwMode="auto">
        <a:xfrm>
          <a:off x="13546667" y="745066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14" name="AutoShape 6">
          <a:extLst>
            <a:ext uri="{FF2B5EF4-FFF2-40B4-BE49-F238E27FC236}">
              <a16:creationId xmlns="" xmlns:a16="http://schemas.microsoft.com/office/drawing/2014/main" id="{14F560EF-3525-44A7-A606-3D9A4FB916FD}"/>
            </a:ext>
          </a:extLst>
        </xdr:cNvPr>
        <xdr:cNvSpPr>
          <a:spLocks noChangeAspect="1" noChangeArrowheads="1"/>
        </xdr:cNvSpPr>
      </xdr:nvSpPr>
      <xdr:spPr bwMode="auto">
        <a:xfrm>
          <a:off x="13546667" y="3788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19" name="AutoShape 6">
          <a:extLst>
            <a:ext uri="{FF2B5EF4-FFF2-40B4-BE49-F238E27FC236}">
              <a16:creationId xmlns="" xmlns:a16="http://schemas.microsoft.com/office/drawing/2014/main" id="{2CD6515B-CF4C-439D-B329-BB90D2EFAFA6}"/>
            </a:ext>
          </a:extLst>
        </xdr:cNvPr>
        <xdr:cNvSpPr>
          <a:spLocks noChangeAspect="1" noChangeArrowheads="1"/>
        </xdr:cNvSpPr>
      </xdr:nvSpPr>
      <xdr:spPr bwMode="auto">
        <a:xfrm>
          <a:off x="13546667" y="40534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64</xdr:row>
      <xdr:rowOff>0</xdr:rowOff>
    </xdr:from>
    <xdr:ext cx="304800" cy="304800"/>
    <xdr:sp macro="" textlink="">
      <xdr:nvSpPr>
        <xdr:cNvPr id="21" name="AutoShape 6">
          <a:extLst>
            <a:ext uri="{FF2B5EF4-FFF2-40B4-BE49-F238E27FC236}">
              <a16:creationId xmlns="" xmlns:a16="http://schemas.microsoft.com/office/drawing/2014/main" id="{8E0330F0-1343-443A-BC1C-13C04DDD9C3D}"/>
            </a:ext>
          </a:extLst>
        </xdr:cNvPr>
        <xdr:cNvSpPr>
          <a:spLocks noChangeAspect="1" noChangeArrowheads="1"/>
        </xdr:cNvSpPr>
      </xdr:nvSpPr>
      <xdr:spPr bwMode="auto">
        <a:xfrm>
          <a:off x="13546667" y="40534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32</xdr:row>
      <xdr:rowOff>0</xdr:rowOff>
    </xdr:from>
    <xdr:ext cx="304800" cy="304800"/>
    <xdr:sp macro="" textlink="">
      <xdr:nvSpPr>
        <xdr:cNvPr id="29" name="AutoShape 6">
          <a:extLst>
            <a:ext uri="{FF2B5EF4-FFF2-40B4-BE49-F238E27FC236}">
              <a16:creationId xmlns="" xmlns:a16="http://schemas.microsoft.com/office/drawing/2014/main" id="{00000000-0008-0000-0000-000006040000}"/>
            </a:ext>
          </a:extLst>
        </xdr:cNvPr>
        <xdr:cNvSpPr>
          <a:spLocks noChangeAspect="1" noChangeArrowheads="1"/>
        </xdr:cNvSpPr>
      </xdr:nvSpPr>
      <xdr:spPr bwMode="auto">
        <a:xfrm>
          <a:off x="13546667" y="378883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15</xdr:col>
      <xdr:colOff>121524</xdr:colOff>
      <xdr:row>4</xdr:row>
      <xdr:rowOff>105832</xdr:rowOff>
    </xdr:from>
    <xdr:to>
      <xdr:col>21</xdr:col>
      <xdr:colOff>585441</xdr:colOff>
      <xdr:row>24</xdr:row>
      <xdr:rowOff>17929</xdr:rowOff>
    </xdr:to>
    <xdr:pic>
      <xdr:nvPicPr>
        <xdr:cNvPr id="9" name="Picture 8"/>
        <xdr:cNvPicPr>
          <a:picLocks noChangeAspect="1"/>
        </xdr:cNvPicPr>
      </xdr:nvPicPr>
      <xdr:blipFill>
        <a:blip xmlns:r="http://schemas.openxmlformats.org/officeDocument/2006/relationships" r:embed="rId3"/>
        <a:stretch>
          <a:fillRect/>
        </a:stretch>
      </xdr:blipFill>
      <xdr:spPr>
        <a:xfrm>
          <a:off x="13668191" y="1682749"/>
          <a:ext cx="5289917" cy="5785847"/>
        </a:xfrm>
        <a:prstGeom prst="rect">
          <a:avLst/>
        </a:prstGeom>
      </xdr:spPr>
    </xdr:pic>
    <xdr:clientData/>
  </xdr:twoCellAnchor>
  <xdr:twoCellAnchor editAs="oneCell">
    <xdr:from>
      <xdr:col>15</xdr:col>
      <xdr:colOff>105835</xdr:colOff>
      <xdr:row>10</xdr:row>
      <xdr:rowOff>52917</xdr:rowOff>
    </xdr:from>
    <xdr:to>
      <xdr:col>22</xdr:col>
      <xdr:colOff>496681</xdr:colOff>
      <xdr:row>29</xdr:row>
      <xdr:rowOff>193977</xdr:rowOff>
    </xdr:to>
    <xdr:pic>
      <xdr:nvPicPr>
        <xdr:cNvPr id="11" name="Picture 10"/>
        <xdr:cNvPicPr>
          <a:picLocks noChangeAspect="1"/>
        </xdr:cNvPicPr>
      </xdr:nvPicPr>
      <xdr:blipFill>
        <a:blip xmlns:r="http://schemas.openxmlformats.org/officeDocument/2006/relationships" r:embed="rId4"/>
        <a:stretch>
          <a:fillRect/>
        </a:stretch>
      </xdr:blipFill>
      <xdr:spPr>
        <a:xfrm>
          <a:off x="13652502" y="2910417"/>
          <a:ext cx="5904762" cy="6057143"/>
        </a:xfrm>
        <a:prstGeom prst="rect">
          <a:avLst/>
        </a:prstGeom>
      </xdr:spPr>
    </xdr:pic>
    <xdr:clientData/>
  </xdr:twoCellAnchor>
  <xdr:twoCellAnchor editAs="oneCell">
    <xdr:from>
      <xdr:col>15</xdr:col>
      <xdr:colOff>518584</xdr:colOff>
      <xdr:row>32</xdr:row>
      <xdr:rowOff>137583</xdr:rowOff>
    </xdr:from>
    <xdr:to>
      <xdr:col>23</xdr:col>
      <xdr:colOff>192941</xdr:colOff>
      <xdr:row>38</xdr:row>
      <xdr:rowOff>20916</xdr:rowOff>
    </xdr:to>
    <xdr:pic>
      <xdr:nvPicPr>
        <xdr:cNvPr id="15" name="Picture 14"/>
        <xdr:cNvPicPr>
          <a:picLocks noChangeAspect="1"/>
        </xdr:cNvPicPr>
      </xdr:nvPicPr>
      <xdr:blipFill>
        <a:blip xmlns:r="http://schemas.openxmlformats.org/officeDocument/2006/relationships" r:embed="rId5"/>
        <a:stretch>
          <a:fillRect/>
        </a:stretch>
      </xdr:blipFill>
      <xdr:spPr>
        <a:xfrm>
          <a:off x="14065251" y="9704916"/>
          <a:ext cx="5876190" cy="2000000"/>
        </a:xfrm>
        <a:prstGeom prst="rect">
          <a:avLst/>
        </a:prstGeom>
      </xdr:spPr>
    </xdr:pic>
    <xdr:clientData/>
  </xdr:twoCellAnchor>
  <xdr:twoCellAnchor editAs="oneCell">
    <xdr:from>
      <xdr:col>14</xdr:col>
      <xdr:colOff>878414</xdr:colOff>
      <xdr:row>41</xdr:row>
      <xdr:rowOff>95251</xdr:rowOff>
    </xdr:from>
    <xdr:to>
      <xdr:col>22</xdr:col>
      <xdr:colOff>342165</xdr:colOff>
      <xdr:row>57</xdr:row>
      <xdr:rowOff>230108</xdr:rowOff>
    </xdr:to>
    <xdr:pic>
      <xdr:nvPicPr>
        <xdr:cNvPr id="22" name="Picture 21"/>
        <xdr:cNvPicPr>
          <a:picLocks noChangeAspect="1"/>
        </xdr:cNvPicPr>
      </xdr:nvPicPr>
      <xdr:blipFill>
        <a:blip xmlns:r="http://schemas.openxmlformats.org/officeDocument/2006/relationships" r:embed="rId6"/>
        <a:stretch>
          <a:fillRect/>
        </a:stretch>
      </xdr:blipFill>
      <xdr:spPr>
        <a:xfrm>
          <a:off x="13536081" y="12668251"/>
          <a:ext cx="5866667" cy="48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296394</xdr:colOff>
      <xdr:row>0</xdr:row>
      <xdr:rowOff>167713</xdr:rowOff>
    </xdr:from>
    <xdr:to>
      <xdr:col>1</xdr:col>
      <xdr:colOff>1897529</xdr:colOff>
      <xdr:row>4</xdr:row>
      <xdr:rowOff>134470</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06" y="167713"/>
          <a:ext cx="1601135" cy="1543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2755900</xdr:colOff>
      <xdr:row>0</xdr:row>
      <xdr:rowOff>0</xdr:rowOff>
    </xdr:from>
    <xdr:ext cx="5222687" cy="1419227"/>
    <xdr:sp macro="" textlink="">
      <xdr:nvSpPr>
        <xdr:cNvPr id="3" name="TextBox 2">
          <a:extLst>
            <a:ext uri="{FF2B5EF4-FFF2-40B4-BE49-F238E27FC236}">
              <a16:creationId xmlns="" xmlns:a16="http://schemas.microsoft.com/office/drawing/2014/main" id="{00000000-0008-0000-0100-000003000000}"/>
            </a:ext>
          </a:extLst>
        </xdr:cNvPr>
        <xdr:cNvSpPr txBox="1"/>
      </xdr:nvSpPr>
      <xdr:spPr>
        <a:xfrm>
          <a:off x="3159312" y="0"/>
          <a:ext cx="5222687" cy="1419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lnSpc>
              <a:spcPct val="100000"/>
            </a:lnSpc>
            <a:spcBef>
              <a:spcPts val="0"/>
            </a:spcBef>
            <a:spcAft>
              <a:spcPts val="0"/>
            </a:spcAft>
          </a:pPr>
          <a:r>
            <a:rPr lang="en-US" sz="2000" b="1">
              <a:latin typeface="Times New Roman" panose="02020603050405020304" pitchFamily="18" charset="0"/>
              <a:cs typeface="Times New Roman" panose="02020603050405020304" pitchFamily="18" charset="0"/>
            </a:rPr>
            <a:t>CÔNG TY TNHH GỖ GERVIN</a:t>
          </a:r>
        </a:p>
        <a:p>
          <a:pPr algn="ctr">
            <a:lnSpc>
              <a:spcPct val="150000"/>
            </a:lnSpc>
            <a:spcBef>
              <a:spcPts val="0"/>
            </a:spcBef>
            <a:spcAft>
              <a:spcPts val="0"/>
            </a:spcAft>
          </a:pPr>
          <a:r>
            <a:rPr lang="vi-VN" sz="1400">
              <a:latin typeface="Times New Roman" panose="02020603050405020304" pitchFamily="18" charset="0"/>
              <a:cs typeface="Times New Roman" panose="02020603050405020304" pitchFamily="18" charset="0"/>
            </a:rPr>
            <a:t>Địa chỉ: Xóm 3, Hưng Thịnh, Hưng Nguyên, Nghệ An</a:t>
          </a:r>
          <a:endParaRPr lang="en-US" sz="1400">
            <a:latin typeface="Times New Roman" panose="02020603050405020304" pitchFamily="18" charset="0"/>
            <a:cs typeface="Times New Roman" panose="02020603050405020304" pitchFamily="18" charset="0"/>
          </a:endParaRPr>
        </a:p>
        <a:p>
          <a:pPr algn="ctr">
            <a:lnSpc>
              <a:spcPct val="150000"/>
            </a:lnSpc>
            <a:spcBef>
              <a:spcPts val="0"/>
            </a:spcBef>
            <a:spcAft>
              <a:spcPts val="0"/>
            </a:spcAft>
          </a:pPr>
          <a:r>
            <a:rPr lang="en-US" sz="1400">
              <a:latin typeface="Times New Roman" panose="02020603050405020304" pitchFamily="18" charset="0"/>
              <a:cs typeface="Times New Roman" panose="02020603050405020304" pitchFamily="18" charset="0"/>
            </a:rPr>
            <a:t>Điện thoại: 0967.181.786</a:t>
          </a:r>
          <a:r>
            <a:rPr lang="en-US" sz="1400" baseline="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 Email: contact@gervinwood.com</a:t>
          </a:r>
          <a:r>
            <a:rPr lang="en-US" sz="1400"/>
            <a:t> </a:t>
          </a:r>
        </a:p>
        <a:p>
          <a:pPr algn="ctr">
            <a:lnSpc>
              <a:spcPct val="150000"/>
            </a:lnSpc>
            <a:spcBef>
              <a:spcPts val="0"/>
            </a:spcBef>
            <a:spcAft>
              <a:spcPts val="0"/>
            </a:spcAft>
          </a:pPr>
          <a:r>
            <a:rPr lang="en-US" sz="1400">
              <a:solidFill>
                <a:schemeClr val="tx1"/>
              </a:solidFill>
              <a:latin typeface="Times New Roman" panose="02020603050405020304" pitchFamily="18" charset="0"/>
              <a:ea typeface="+mn-ea"/>
              <a:cs typeface="Times New Roman" panose="02020603050405020304" pitchFamily="18" charset="0"/>
            </a:rPr>
            <a:t>WWW.GERVINWOOD.COM</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L81"/>
  <sheetViews>
    <sheetView tabSelected="1" topLeftCell="A7" zoomScale="90" zoomScaleNormal="90" zoomScaleSheetLayoutView="100" workbookViewId="0">
      <selection activeCell="C14" sqref="C14"/>
    </sheetView>
  </sheetViews>
  <sheetFormatPr defaultColWidth="9" defaultRowHeight="15" x14ac:dyDescent="0.25"/>
  <cols>
    <col min="1" max="1" width="5.375" style="3" customWidth="1"/>
    <col min="2" max="2" width="12.875" style="3" customWidth="1"/>
    <col min="3" max="3" width="36.375" style="6" customWidth="1"/>
    <col min="4" max="4" width="7.25" style="4" customWidth="1"/>
    <col min="5" max="5" width="5.75" style="4" customWidth="1"/>
    <col min="6" max="6" width="5.875" style="3" customWidth="1"/>
    <col min="7" max="7" width="10.5" style="4" customWidth="1"/>
    <col min="8" max="8" width="12.375" style="4" customWidth="1"/>
    <col min="9" max="9" width="7.5" style="5" customWidth="1"/>
    <col min="10" max="10" width="8.5" style="5" customWidth="1"/>
    <col min="11" max="11" width="10.75" style="21" customWidth="1"/>
    <col min="12" max="12" width="12.5" style="21" customWidth="1"/>
    <col min="13" max="13" width="20.75" style="4" customWidth="1"/>
    <col min="14" max="14" width="9.875" style="3" customWidth="1"/>
    <col min="15" max="15" width="11.625" style="3" customWidth="1"/>
    <col min="16" max="16" width="18.25" style="4" bestFit="1" customWidth="1"/>
    <col min="17" max="16384" width="9" style="4"/>
  </cols>
  <sheetData>
    <row r="1" spans="1:19" s="28" customFormat="1" ht="37.5" customHeight="1" x14ac:dyDescent="0.25">
      <c r="A1" s="26"/>
      <c r="B1" s="26"/>
      <c r="C1" s="27"/>
      <c r="F1" s="26"/>
      <c r="I1" s="29"/>
      <c r="J1" s="29"/>
      <c r="K1" s="30"/>
      <c r="L1" s="30"/>
      <c r="N1" s="26"/>
      <c r="O1" s="26"/>
    </row>
    <row r="2" spans="1:19" s="28" customFormat="1" ht="37.5" customHeight="1" x14ac:dyDescent="0.25">
      <c r="A2" s="26"/>
      <c r="B2" s="26"/>
      <c r="C2" s="31"/>
      <c r="F2" s="26"/>
      <c r="I2" s="29"/>
      <c r="J2" s="29"/>
      <c r="K2" s="30"/>
      <c r="L2" s="30"/>
      <c r="N2" s="26"/>
      <c r="O2" s="26"/>
    </row>
    <row r="3" spans="1:19" s="28" customFormat="1" ht="37.5" customHeight="1" x14ac:dyDescent="0.25">
      <c r="A3" s="26"/>
      <c r="B3" s="26"/>
      <c r="C3" s="31"/>
      <c r="F3" s="26"/>
      <c r="I3" s="29"/>
      <c r="J3" s="29"/>
      <c r="K3" s="30"/>
      <c r="L3" s="167" t="s">
        <v>264</v>
      </c>
      <c r="M3" s="168"/>
      <c r="N3" s="26"/>
      <c r="O3" s="26"/>
    </row>
    <row r="4" spans="1:19" ht="11.25" customHeight="1" x14ac:dyDescent="0.25"/>
    <row r="5" spans="1:19" s="28" customFormat="1" ht="22.5" x14ac:dyDescent="0.25">
      <c r="A5" s="26"/>
      <c r="B5" s="26"/>
      <c r="C5" s="27"/>
      <c r="D5" s="32"/>
      <c r="E5" s="32"/>
      <c r="F5" s="26"/>
      <c r="G5" s="33" t="s">
        <v>7</v>
      </c>
      <c r="H5" s="33"/>
      <c r="I5" s="34"/>
      <c r="J5" s="34"/>
      <c r="K5" s="35"/>
      <c r="L5" s="35"/>
      <c r="N5" s="26"/>
      <c r="O5" s="26"/>
    </row>
    <row r="6" spans="1:19" ht="15.75" x14ac:dyDescent="0.25">
      <c r="G6" s="3" t="s">
        <v>265</v>
      </c>
      <c r="H6" s="3"/>
      <c r="J6" s="127"/>
      <c r="K6" s="128"/>
      <c r="L6" s="129" t="s">
        <v>83</v>
      </c>
      <c r="M6" s="130">
        <v>46196.643055555556</v>
      </c>
      <c r="N6" s="132"/>
      <c r="R6" s="133"/>
    </row>
    <row r="7" spans="1:19" ht="15.75" x14ac:dyDescent="0.25">
      <c r="G7" s="3" t="s">
        <v>40</v>
      </c>
      <c r="H7" s="140" t="s">
        <v>266</v>
      </c>
      <c r="J7" s="127"/>
      <c r="K7" s="128"/>
      <c r="L7" s="129" t="s">
        <v>84</v>
      </c>
      <c r="M7" s="131">
        <v>2</v>
      </c>
    </row>
    <row r="8" spans="1:19" ht="15.75" x14ac:dyDescent="0.25">
      <c r="C8" s="6" t="s">
        <v>263</v>
      </c>
      <c r="G8" s="3"/>
      <c r="H8" s="3"/>
      <c r="J8" s="127"/>
      <c r="K8" s="128"/>
      <c r="L8" s="129" t="s">
        <v>85</v>
      </c>
      <c r="M8" s="130">
        <f>M6+M7</f>
        <v>46198.643055555556</v>
      </c>
    </row>
    <row r="9" spans="1:19" ht="15.75" x14ac:dyDescent="0.25">
      <c r="C9" s="6" t="s">
        <v>221</v>
      </c>
      <c r="G9" s="3"/>
      <c r="H9" s="3"/>
      <c r="S9"/>
    </row>
    <row r="10" spans="1:19" s="28" customFormat="1" x14ac:dyDescent="0.25">
      <c r="A10" s="26"/>
      <c r="B10" s="26"/>
      <c r="C10" s="31" t="s">
        <v>8</v>
      </c>
      <c r="F10" s="26"/>
      <c r="I10" s="29"/>
      <c r="J10" s="29"/>
      <c r="K10" s="30"/>
      <c r="L10" s="30"/>
      <c r="N10" s="115"/>
      <c r="O10" s="115"/>
      <c r="P10" s="113"/>
    </row>
    <row r="11" spans="1:19" s="26" customFormat="1" ht="24" customHeight="1" x14ac:dyDescent="0.25">
      <c r="A11" s="160" t="s">
        <v>19</v>
      </c>
      <c r="B11" s="165" t="s">
        <v>81</v>
      </c>
      <c r="C11" s="160" t="s">
        <v>20</v>
      </c>
      <c r="D11" s="162" t="s">
        <v>21</v>
      </c>
      <c r="E11" s="162"/>
      <c r="F11" s="162" t="s">
        <v>15</v>
      </c>
      <c r="G11" s="163" t="s">
        <v>32</v>
      </c>
      <c r="H11" s="163" t="s">
        <v>34</v>
      </c>
      <c r="I11" s="161" t="s">
        <v>27</v>
      </c>
      <c r="J11" s="161" t="s">
        <v>26</v>
      </c>
      <c r="K11" s="171" t="s">
        <v>36</v>
      </c>
      <c r="L11" s="171" t="s">
        <v>37</v>
      </c>
      <c r="M11" s="170" t="s">
        <v>1</v>
      </c>
      <c r="N11" s="114" t="s">
        <v>47</v>
      </c>
      <c r="O11" s="114" t="s">
        <v>48</v>
      </c>
    </row>
    <row r="12" spans="1:19" s="26" customFormat="1" ht="49.5" customHeight="1" x14ac:dyDescent="0.25">
      <c r="A12" s="160"/>
      <c r="B12" s="166"/>
      <c r="C12" s="160"/>
      <c r="D12" s="36" t="s">
        <v>39</v>
      </c>
      <c r="E12" s="79" t="s">
        <v>41</v>
      </c>
      <c r="F12" s="162"/>
      <c r="G12" s="164"/>
      <c r="H12" s="164"/>
      <c r="I12" s="161"/>
      <c r="J12" s="161"/>
      <c r="K12" s="171"/>
      <c r="L12" s="171"/>
      <c r="M12" s="170"/>
      <c r="N12" s="75" t="s">
        <v>38</v>
      </c>
      <c r="O12" s="75" t="s">
        <v>35</v>
      </c>
      <c r="P12" s="32"/>
    </row>
    <row r="13" spans="1:19" s="2" customFormat="1" ht="21" customHeight="1" x14ac:dyDescent="0.25">
      <c r="A13" s="7" t="s">
        <v>9</v>
      </c>
      <c r="B13" s="7"/>
      <c r="C13" s="8" t="s">
        <v>23</v>
      </c>
      <c r="D13" s="8"/>
      <c r="E13" s="9"/>
      <c r="F13" s="80">
        <f>SUM(F14:F32)</f>
        <v>19</v>
      </c>
      <c r="G13" s="9"/>
      <c r="H13" s="9"/>
      <c r="I13" s="10">
        <f t="shared" ref="I13:J13" si="0">SUM(I14:I32)</f>
        <v>3.4373009999999997</v>
      </c>
      <c r="J13" s="10">
        <f t="shared" si="0"/>
        <v>2.6629999999999998</v>
      </c>
      <c r="K13" s="10"/>
      <c r="L13" s="70"/>
      <c r="M13" s="9"/>
      <c r="P13"/>
    </row>
    <row r="14" spans="1:19" ht="59.25" customHeight="1" x14ac:dyDescent="0.25">
      <c r="A14" s="11">
        <v>1</v>
      </c>
      <c r="B14" s="11" t="s">
        <v>267</v>
      </c>
      <c r="C14" s="156" t="s">
        <v>241</v>
      </c>
      <c r="D14" s="105">
        <v>732</v>
      </c>
      <c r="E14" s="105">
        <v>435</v>
      </c>
      <c r="F14" s="105">
        <v>1</v>
      </c>
      <c r="G14" s="81" t="str">
        <f t="shared" ref="G14:G64" si="1">$N$12&amp;N14</f>
        <v>Vát 435</v>
      </c>
      <c r="H14" s="99"/>
      <c r="I14" s="119">
        <f t="shared" ref="I14:I32" si="2">D14*E14*F14/1000000</f>
        <v>0.31841999999999998</v>
      </c>
      <c r="J14" s="117"/>
      <c r="K14" s="118">
        <v>1350000</v>
      </c>
      <c r="L14" s="123">
        <f t="shared" ref="L14:L32" si="3">ROUND((I14+J14)*K14,0)</f>
        <v>429867</v>
      </c>
      <c r="M14" s="126" t="s">
        <v>222</v>
      </c>
      <c r="N14" s="24">
        <f t="shared" ref="N14:N64" si="4">E14</f>
        <v>435</v>
      </c>
      <c r="O14" s="3" t="s">
        <v>239</v>
      </c>
    </row>
    <row r="15" spans="1:19" ht="21" customHeight="1" x14ac:dyDescent="0.25">
      <c r="A15" s="11">
        <v>2</v>
      </c>
      <c r="B15" s="11" t="s">
        <v>267</v>
      </c>
      <c r="C15" s="148"/>
      <c r="D15" s="105">
        <v>732</v>
      </c>
      <c r="E15" s="105">
        <v>435</v>
      </c>
      <c r="F15" s="105">
        <v>1</v>
      </c>
      <c r="G15" s="81" t="str">
        <f t="shared" si="1"/>
        <v>Vát 435</v>
      </c>
      <c r="H15" s="99"/>
      <c r="I15" s="119">
        <f t="shared" si="2"/>
        <v>0.31841999999999998</v>
      </c>
      <c r="J15" s="117"/>
      <c r="K15" s="118">
        <v>1350000</v>
      </c>
      <c r="L15" s="123">
        <f t="shared" si="3"/>
        <v>429867</v>
      </c>
      <c r="M15" s="126" t="s">
        <v>223</v>
      </c>
      <c r="N15" s="24">
        <f t="shared" si="4"/>
        <v>435</v>
      </c>
      <c r="O15" s="3" t="s">
        <v>239</v>
      </c>
    </row>
    <row r="16" spans="1:19" ht="21" customHeight="1" x14ac:dyDescent="0.25">
      <c r="A16" s="11">
        <v>3</v>
      </c>
      <c r="B16" s="11" t="s">
        <v>267</v>
      </c>
      <c r="C16" s="148"/>
      <c r="D16" s="105">
        <v>2182</v>
      </c>
      <c r="E16" s="105">
        <v>80</v>
      </c>
      <c r="F16" s="105">
        <v>1</v>
      </c>
      <c r="G16" s="81"/>
      <c r="H16" s="99"/>
      <c r="I16" s="119">
        <f t="shared" si="2"/>
        <v>0.17455999999999999</v>
      </c>
      <c r="J16" s="117"/>
      <c r="K16" s="118">
        <v>1350000</v>
      </c>
      <c r="L16" s="123">
        <f t="shared" si="3"/>
        <v>235656</v>
      </c>
      <c r="M16" s="126" t="s">
        <v>224</v>
      </c>
      <c r="N16" s="24"/>
    </row>
    <row r="17" spans="1:15" ht="21" customHeight="1" x14ac:dyDescent="0.25">
      <c r="A17" s="11">
        <v>4</v>
      </c>
      <c r="B17" s="11" t="s">
        <v>267</v>
      </c>
      <c r="C17" s="148"/>
      <c r="D17" s="105">
        <v>800</v>
      </c>
      <c r="E17" s="105">
        <v>50</v>
      </c>
      <c r="F17" s="105">
        <v>1</v>
      </c>
      <c r="G17" s="81"/>
      <c r="H17" s="99"/>
      <c r="I17" s="119"/>
      <c r="J17" s="117">
        <f>D17/1000*F17</f>
        <v>0.8</v>
      </c>
      <c r="K17" s="118">
        <v>100000</v>
      </c>
      <c r="L17" s="123">
        <f t="shared" si="3"/>
        <v>80000</v>
      </c>
      <c r="M17" s="126" t="s">
        <v>225</v>
      </c>
      <c r="N17" s="24"/>
    </row>
    <row r="18" spans="1:15" ht="21" customHeight="1" x14ac:dyDescent="0.25">
      <c r="A18" s="11">
        <v>5</v>
      </c>
      <c r="B18" s="11" t="s">
        <v>267</v>
      </c>
      <c r="C18" s="148"/>
      <c r="D18" s="105">
        <v>1597</v>
      </c>
      <c r="E18" s="105">
        <v>80</v>
      </c>
      <c r="F18" s="105">
        <v>1</v>
      </c>
      <c r="G18" s="81"/>
      <c r="H18" s="99"/>
      <c r="I18" s="119">
        <f t="shared" si="2"/>
        <v>0.12776000000000001</v>
      </c>
      <c r="J18" s="117"/>
      <c r="K18" s="118">
        <v>1350000</v>
      </c>
      <c r="L18" s="123">
        <f t="shared" si="3"/>
        <v>172476</v>
      </c>
      <c r="M18" s="126" t="s">
        <v>226</v>
      </c>
      <c r="N18" s="24"/>
    </row>
    <row r="19" spans="1:15" ht="21" customHeight="1" x14ac:dyDescent="0.25">
      <c r="A19" s="11">
        <v>6</v>
      </c>
      <c r="B19" s="11" t="s">
        <v>267</v>
      </c>
      <c r="C19" s="148"/>
      <c r="D19" s="105">
        <v>303</v>
      </c>
      <c r="E19" s="105">
        <v>546</v>
      </c>
      <c r="F19" s="105">
        <v>1</v>
      </c>
      <c r="G19" s="81" t="str">
        <f t="shared" si="1"/>
        <v>Vát 546</v>
      </c>
      <c r="H19" s="99"/>
      <c r="I19" s="119">
        <f t="shared" si="2"/>
        <v>0.165438</v>
      </c>
      <c r="J19" s="117"/>
      <c r="K19" s="118">
        <v>1350000</v>
      </c>
      <c r="L19" s="123">
        <f t="shared" si="3"/>
        <v>223341</v>
      </c>
      <c r="M19" s="126" t="s">
        <v>227</v>
      </c>
      <c r="N19" s="24">
        <f t="shared" si="4"/>
        <v>546</v>
      </c>
      <c r="O19" s="3" t="s">
        <v>240</v>
      </c>
    </row>
    <row r="20" spans="1:15" ht="21" customHeight="1" x14ac:dyDescent="0.25">
      <c r="A20" s="11">
        <v>7</v>
      </c>
      <c r="B20" s="11" t="s">
        <v>267</v>
      </c>
      <c r="C20" s="148"/>
      <c r="D20" s="105">
        <v>296</v>
      </c>
      <c r="E20" s="105">
        <v>546</v>
      </c>
      <c r="F20" s="105">
        <v>1</v>
      </c>
      <c r="G20" s="81" t="str">
        <f t="shared" si="1"/>
        <v>Vát 546</v>
      </c>
      <c r="H20" s="99"/>
      <c r="I20" s="119">
        <f t="shared" si="2"/>
        <v>0.16161600000000001</v>
      </c>
      <c r="J20" s="117"/>
      <c r="K20" s="118">
        <v>1350000</v>
      </c>
      <c r="L20" s="123">
        <f t="shared" si="3"/>
        <v>218182</v>
      </c>
      <c r="M20" s="126" t="s">
        <v>227</v>
      </c>
      <c r="N20" s="24">
        <f t="shared" si="4"/>
        <v>546</v>
      </c>
      <c r="O20" s="3" t="s">
        <v>240</v>
      </c>
    </row>
    <row r="21" spans="1:15" ht="21" customHeight="1" x14ac:dyDescent="0.25">
      <c r="A21" s="11">
        <v>8</v>
      </c>
      <c r="B21" s="11" t="s">
        <v>267</v>
      </c>
      <c r="C21" s="148"/>
      <c r="D21" s="105">
        <v>564</v>
      </c>
      <c r="E21" s="105">
        <v>50</v>
      </c>
      <c r="F21" s="105">
        <v>1</v>
      </c>
      <c r="G21" s="81"/>
      <c r="H21" s="99"/>
      <c r="I21" s="119"/>
      <c r="J21" s="117">
        <f t="shared" ref="J21:J22" si="5">D21/1000*F21</f>
        <v>0.56399999999999995</v>
      </c>
      <c r="K21" s="118">
        <v>100000</v>
      </c>
      <c r="L21" s="123">
        <f t="shared" si="3"/>
        <v>56400</v>
      </c>
      <c r="M21" s="126" t="s">
        <v>228</v>
      </c>
      <c r="N21" s="24"/>
    </row>
    <row r="22" spans="1:15" ht="21" customHeight="1" x14ac:dyDescent="0.25">
      <c r="A22" s="11">
        <v>9</v>
      </c>
      <c r="B22" s="11" t="s">
        <v>267</v>
      </c>
      <c r="C22" s="148"/>
      <c r="D22" s="105">
        <v>564</v>
      </c>
      <c r="E22" s="105">
        <v>50</v>
      </c>
      <c r="F22" s="105">
        <v>1</v>
      </c>
      <c r="G22" s="81"/>
      <c r="H22" s="99"/>
      <c r="I22" s="119"/>
      <c r="J22" s="117">
        <f t="shared" si="5"/>
        <v>0.56399999999999995</v>
      </c>
      <c r="K22" s="118">
        <v>100000</v>
      </c>
      <c r="L22" s="123">
        <f t="shared" si="3"/>
        <v>56400</v>
      </c>
      <c r="M22" s="126" t="s">
        <v>228</v>
      </c>
      <c r="N22" s="24"/>
    </row>
    <row r="23" spans="1:15" ht="21" customHeight="1" x14ac:dyDescent="0.25">
      <c r="A23" s="11">
        <v>10</v>
      </c>
      <c r="B23" s="11" t="s">
        <v>267</v>
      </c>
      <c r="C23" s="148"/>
      <c r="D23" s="105">
        <v>834</v>
      </c>
      <c r="E23" s="105">
        <v>70</v>
      </c>
      <c r="F23" s="105">
        <v>1</v>
      </c>
      <c r="G23" s="81"/>
      <c r="H23" s="99"/>
      <c r="I23" s="119">
        <f t="shared" si="2"/>
        <v>5.8380000000000001E-2</v>
      </c>
      <c r="J23" s="117"/>
      <c r="K23" s="118">
        <v>1350000</v>
      </c>
      <c r="L23" s="123">
        <f t="shared" si="3"/>
        <v>78813</v>
      </c>
      <c r="M23" s="126" t="s">
        <v>229</v>
      </c>
      <c r="N23" s="24"/>
    </row>
    <row r="24" spans="1:15" ht="21" customHeight="1" x14ac:dyDescent="0.25">
      <c r="A24" s="11">
        <v>11</v>
      </c>
      <c r="B24" s="11" t="s">
        <v>267</v>
      </c>
      <c r="C24" s="148"/>
      <c r="D24" s="105">
        <v>733</v>
      </c>
      <c r="E24" s="105">
        <v>315</v>
      </c>
      <c r="F24" s="105">
        <v>1</v>
      </c>
      <c r="G24" s="81" t="str">
        <f t="shared" si="1"/>
        <v>Vát 315</v>
      </c>
      <c r="H24" s="99"/>
      <c r="I24" s="119">
        <f t="shared" si="2"/>
        <v>0.23089499999999999</v>
      </c>
      <c r="J24" s="117"/>
      <c r="K24" s="118">
        <v>1350000</v>
      </c>
      <c r="L24" s="123">
        <f t="shared" si="3"/>
        <v>311708</v>
      </c>
      <c r="M24" s="126" t="s">
        <v>230</v>
      </c>
      <c r="N24" s="24">
        <f t="shared" si="4"/>
        <v>315</v>
      </c>
      <c r="O24" s="3" t="s">
        <v>239</v>
      </c>
    </row>
    <row r="25" spans="1:15" ht="21" customHeight="1" x14ac:dyDescent="0.25">
      <c r="A25" s="11">
        <v>12</v>
      </c>
      <c r="B25" s="11" t="s">
        <v>267</v>
      </c>
      <c r="C25" s="148"/>
      <c r="D25" s="105">
        <v>1492</v>
      </c>
      <c r="E25" s="105">
        <v>100</v>
      </c>
      <c r="F25" s="105">
        <v>1</v>
      </c>
      <c r="G25" s="81"/>
      <c r="H25" s="99"/>
      <c r="I25" s="119">
        <f t="shared" si="2"/>
        <v>0.1492</v>
      </c>
      <c r="J25" s="117"/>
      <c r="K25" s="118">
        <v>1350000</v>
      </c>
      <c r="L25" s="123">
        <f t="shared" si="3"/>
        <v>201420</v>
      </c>
      <c r="M25" s="126" t="s">
        <v>231</v>
      </c>
      <c r="N25" s="24"/>
    </row>
    <row r="26" spans="1:15" ht="21" customHeight="1" x14ac:dyDescent="0.25">
      <c r="A26" s="11">
        <v>13</v>
      </c>
      <c r="B26" s="11" t="s">
        <v>267</v>
      </c>
      <c r="C26" s="148"/>
      <c r="D26" s="105">
        <v>835</v>
      </c>
      <c r="E26" s="105">
        <v>600</v>
      </c>
      <c r="F26" s="105">
        <v>1</v>
      </c>
      <c r="G26" s="81"/>
      <c r="H26" s="99"/>
      <c r="I26" s="119">
        <f t="shared" si="2"/>
        <v>0.501</v>
      </c>
      <c r="J26" s="117"/>
      <c r="K26" s="118">
        <v>1350000</v>
      </c>
      <c r="L26" s="123">
        <f t="shared" si="3"/>
        <v>676350</v>
      </c>
      <c r="M26" s="126" t="s">
        <v>232</v>
      </c>
      <c r="N26" s="24"/>
    </row>
    <row r="27" spans="1:15" ht="21" customHeight="1" x14ac:dyDescent="0.25">
      <c r="A27" s="11">
        <v>14</v>
      </c>
      <c r="B27" s="11" t="s">
        <v>267</v>
      </c>
      <c r="C27" s="148"/>
      <c r="D27" s="105">
        <v>354</v>
      </c>
      <c r="E27" s="105">
        <v>781</v>
      </c>
      <c r="F27" s="105">
        <v>1</v>
      </c>
      <c r="G27" s="81" t="str">
        <f t="shared" si="1"/>
        <v>Vát 781</v>
      </c>
      <c r="H27" s="99"/>
      <c r="I27" s="119">
        <f t="shared" si="2"/>
        <v>0.276474</v>
      </c>
      <c r="J27" s="117"/>
      <c r="K27" s="118">
        <v>1350000</v>
      </c>
      <c r="L27" s="123">
        <f t="shared" si="3"/>
        <v>373240</v>
      </c>
      <c r="M27" s="126" t="s">
        <v>233</v>
      </c>
      <c r="N27" s="24">
        <f t="shared" si="4"/>
        <v>781</v>
      </c>
      <c r="O27" s="3" t="s">
        <v>240</v>
      </c>
    </row>
    <row r="28" spans="1:15" ht="21" customHeight="1" x14ac:dyDescent="0.25">
      <c r="A28" s="11">
        <v>15</v>
      </c>
      <c r="B28" s="11" t="s">
        <v>267</v>
      </c>
      <c r="C28" s="148"/>
      <c r="D28" s="105">
        <v>354</v>
      </c>
      <c r="E28" s="105">
        <v>781</v>
      </c>
      <c r="F28" s="105">
        <v>1</v>
      </c>
      <c r="G28" s="81" t="str">
        <f t="shared" si="1"/>
        <v>Vát 781</v>
      </c>
      <c r="H28" s="99"/>
      <c r="I28" s="119">
        <f t="shared" si="2"/>
        <v>0.276474</v>
      </c>
      <c r="J28" s="117"/>
      <c r="K28" s="118">
        <v>1350000</v>
      </c>
      <c r="L28" s="123">
        <f t="shared" si="3"/>
        <v>373240</v>
      </c>
      <c r="M28" s="126" t="s">
        <v>234</v>
      </c>
      <c r="N28" s="24">
        <f t="shared" si="4"/>
        <v>781</v>
      </c>
      <c r="O28" s="3" t="s">
        <v>240</v>
      </c>
    </row>
    <row r="29" spans="1:15" ht="21" customHeight="1" x14ac:dyDescent="0.25">
      <c r="A29" s="11">
        <v>16</v>
      </c>
      <c r="B29" s="11" t="s">
        <v>267</v>
      </c>
      <c r="C29" s="148"/>
      <c r="D29" s="105">
        <v>733</v>
      </c>
      <c r="E29" s="105">
        <v>377</v>
      </c>
      <c r="F29" s="105">
        <v>1</v>
      </c>
      <c r="G29" s="81" t="str">
        <f t="shared" si="1"/>
        <v>Vát 377</v>
      </c>
      <c r="H29" s="99"/>
      <c r="I29" s="119">
        <f t="shared" si="2"/>
        <v>0.276341</v>
      </c>
      <c r="J29" s="117"/>
      <c r="K29" s="118">
        <v>1350000</v>
      </c>
      <c r="L29" s="123">
        <f t="shared" si="3"/>
        <v>373060</v>
      </c>
      <c r="M29" s="126" t="s">
        <v>235</v>
      </c>
      <c r="N29" s="24">
        <f t="shared" si="4"/>
        <v>377</v>
      </c>
      <c r="O29" s="3" t="s">
        <v>239</v>
      </c>
    </row>
    <row r="30" spans="1:15" ht="21" customHeight="1" x14ac:dyDescent="0.25">
      <c r="A30" s="11">
        <v>17</v>
      </c>
      <c r="B30" s="11" t="s">
        <v>267</v>
      </c>
      <c r="C30" s="148"/>
      <c r="D30" s="105">
        <v>733</v>
      </c>
      <c r="E30" s="105">
        <v>331</v>
      </c>
      <c r="F30" s="105">
        <v>1</v>
      </c>
      <c r="G30" s="81" t="str">
        <f t="shared" si="1"/>
        <v>Vát 331</v>
      </c>
      <c r="H30" s="99"/>
      <c r="I30" s="119">
        <f t="shared" si="2"/>
        <v>0.24262300000000001</v>
      </c>
      <c r="J30" s="117"/>
      <c r="K30" s="118">
        <v>1350000</v>
      </c>
      <c r="L30" s="123">
        <f t="shared" si="3"/>
        <v>327541</v>
      </c>
      <c r="M30" s="126" t="s">
        <v>236</v>
      </c>
      <c r="N30" s="24">
        <f t="shared" si="4"/>
        <v>331</v>
      </c>
      <c r="O30" s="3" t="s">
        <v>239</v>
      </c>
    </row>
    <row r="31" spans="1:15" ht="21" customHeight="1" x14ac:dyDescent="0.25">
      <c r="A31" s="11">
        <v>18</v>
      </c>
      <c r="B31" s="11" t="s">
        <v>267</v>
      </c>
      <c r="C31" s="148"/>
      <c r="D31" s="105">
        <v>735</v>
      </c>
      <c r="E31" s="105">
        <v>50</v>
      </c>
      <c r="F31" s="105">
        <v>1</v>
      </c>
      <c r="G31" s="81"/>
      <c r="H31" s="99"/>
      <c r="I31" s="119"/>
      <c r="J31" s="117">
        <f t="shared" ref="J31" si="6">D31/1000*F31</f>
        <v>0.73499999999999999</v>
      </c>
      <c r="K31" s="118">
        <v>100000</v>
      </c>
      <c r="L31" s="123">
        <f t="shared" si="3"/>
        <v>73500</v>
      </c>
      <c r="M31" s="126" t="s">
        <v>237</v>
      </c>
      <c r="N31" s="24"/>
    </row>
    <row r="32" spans="1:15" ht="21" customHeight="1" x14ac:dyDescent="0.25">
      <c r="A32" s="11">
        <v>19</v>
      </c>
      <c r="B32" s="11" t="s">
        <v>267</v>
      </c>
      <c r="C32" s="148"/>
      <c r="D32" s="105">
        <v>1597</v>
      </c>
      <c r="E32" s="105">
        <v>100</v>
      </c>
      <c r="F32" s="105">
        <v>1</v>
      </c>
      <c r="G32" s="81"/>
      <c r="H32" s="99"/>
      <c r="I32" s="119">
        <f t="shared" si="2"/>
        <v>0.15970000000000001</v>
      </c>
      <c r="J32" s="117"/>
      <c r="K32" s="118">
        <v>1350000</v>
      </c>
      <c r="L32" s="123">
        <f t="shared" si="3"/>
        <v>215595</v>
      </c>
      <c r="M32" s="126" t="s">
        <v>238</v>
      </c>
      <c r="N32" s="24"/>
    </row>
    <row r="33" spans="1:16" s="2" customFormat="1" ht="21" customHeight="1" x14ac:dyDescent="0.25">
      <c r="A33" s="7" t="s">
        <v>217</v>
      </c>
      <c r="B33" s="7"/>
      <c r="C33" s="8" t="s">
        <v>218</v>
      </c>
      <c r="D33" s="8"/>
      <c r="E33" s="9"/>
      <c r="F33" s="80">
        <f>SUM(F34:F64)</f>
        <v>31</v>
      </c>
      <c r="G33" s="9"/>
      <c r="H33" s="9"/>
      <c r="I33" s="10">
        <f>SUM(I34:I64)</f>
        <v>9.1939129999999984</v>
      </c>
      <c r="J33" s="10">
        <f>SUM(J34:J64)</f>
        <v>1.5049999999999999</v>
      </c>
      <c r="K33" s="10"/>
      <c r="L33" s="70"/>
      <c r="M33" s="9"/>
      <c r="P33"/>
    </row>
    <row r="34" spans="1:16" ht="52.5" customHeight="1" x14ac:dyDescent="0.25">
      <c r="A34" s="11">
        <v>1</v>
      </c>
      <c r="B34" s="11" t="s">
        <v>242</v>
      </c>
      <c r="C34" s="156" t="s">
        <v>243</v>
      </c>
      <c r="D34" s="105">
        <v>800</v>
      </c>
      <c r="E34" s="105">
        <v>50</v>
      </c>
      <c r="F34" s="105">
        <v>1</v>
      </c>
      <c r="G34" s="81"/>
      <c r="H34" s="99"/>
      <c r="I34" s="119"/>
      <c r="J34" s="117">
        <f>D34/1000*F34</f>
        <v>0.8</v>
      </c>
      <c r="K34" s="118">
        <v>100000</v>
      </c>
      <c r="L34" s="123">
        <f t="shared" ref="L34:L64" si="7">ROUND((I34+J34)*K34,0)</f>
        <v>80000</v>
      </c>
      <c r="M34" s="126" t="s">
        <v>244</v>
      </c>
      <c r="N34" s="24"/>
    </row>
    <row r="35" spans="1:16" ht="23.25" customHeight="1" x14ac:dyDescent="0.25">
      <c r="A35" s="11">
        <v>2</v>
      </c>
      <c r="B35" s="11" t="s">
        <v>242</v>
      </c>
      <c r="C35" s="156"/>
      <c r="D35" s="105">
        <v>703</v>
      </c>
      <c r="E35" s="105">
        <v>455</v>
      </c>
      <c r="F35" s="105">
        <v>1</v>
      </c>
      <c r="G35" s="81"/>
      <c r="H35" s="99"/>
      <c r="I35" s="119">
        <f t="shared" ref="I35:I64" si="8">D35*E35*F35/1000000</f>
        <v>0.31986500000000001</v>
      </c>
      <c r="J35" s="117"/>
      <c r="K35" s="118">
        <v>1120000</v>
      </c>
      <c r="L35" s="123">
        <f t="shared" si="7"/>
        <v>358249</v>
      </c>
      <c r="M35" s="126" t="s">
        <v>245</v>
      </c>
      <c r="N35" s="24"/>
    </row>
    <row r="36" spans="1:16" ht="23.25" customHeight="1" x14ac:dyDescent="0.25">
      <c r="A36" s="11">
        <v>3</v>
      </c>
      <c r="B36" s="11" t="s">
        <v>242</v>
      </c>
      <c r="C36" s="156"/>
      <c r="D36" s="105">
        <v>705</v>
      </c>
      <c r="E36" s="105">
        <v>67</v>
      </c>
      <c r="F36" s="105">
        <v>1</v>
      </c>
      <c r="G36" s="81"/>
      <c r="H36" s="99"/>
      <c r="I36" s="119">
        <f t="shared" si="8"/>
        <v>4.7234999999999999E-2</v>
      </c>
      <c r="J36" s="117"/>
      <c r="K36" s="118">
        <v>1120000</v>
      </c>
      <c r="L36" s="123">
        <f t="shared" si="7"/>
        <v>52903</v>
      </c>
      <c r="M36" s="126" t="s">
        <v>246</v>
      </c>
      <c r="N36" s="24"/>
    </row>
    <row r="37" spans="1:16" ht="23.25" customHeight="1" x14ac:dyDescent="0.25">
      <c r="A37" s="11">
        <v>4</v>
      </c>
      <c r="B37" s="11" t="s">
        <v>242</v>
      </c>
      <c r="C37" s="156"/>
      <c r="D37" s="105">
        <v>705</v>
      </c>
      <c r="E37" s="105">
        <v>50</v>
      </c>
      <c r="F37" s="105">
        <v>1</v>
      </c>
      <c r="G37" s="81"/>
      <c r="H37" s="99"/>
      <c r="I37" s="119"/>
      <c r="J37" s="117">
        <f>D37/1000*F37</f>
        <v>0.70499999999999996</v>
      </c>
      <c r="K37" s="118">
        <v>100000</v>
      </c>
      <c r="L37" s="123">
        <f t="shared" si="7"/>
        <v>70500</v>
      </c>
      <c r="M37" s="126" t="s">
        <v>247</v>
      </c>
      <c r="N37" s="24"/>
    </row>
    <row r="38" spans="1:16" ht="23.25" customHeight="1" x14ac:dyDescent="0.25">
      <c r="A38" s="11">
        <v>5</v>
      </c>
      <c r="B38" s="11" t="s">
        <v>242</v>
      </c>
      <c r="C38" s="156"/>
      <c r="D38" s="105">
        <v>800</v>
      </c>
      <c r="E38" s="105">
        <v>67</v>
      </c>
      <c r="F38" s="105">
        <v>1</v>
      </c>
      <c r="G38" s="81"/>
      <c r="H38" s="99"/>
      <c r="I38" s="119">
        <f t="shared" si="8"/>
        <v>5.3600000000000002E-2</v>
      </c>
      <c r="J38" s="117"/>
      <c r="K38" s="118">
        <v>1120000</v>
      </c>
      <c r="L38" s="123">
        <f t="shared" si="7"/>
        <v>60032</v>
      </c>
      <c r="M38" s="126" t="s">
        <v>248</v>
      </c>
      <c r="N38" s="24"/>
    </row>
    <row r="39" spans="1:16" ht="23.25" customHeight="1" x14ac:dyDescent="0.25">
      <c r="A39" s="11">
        <v>6</v>
      </c>
      <c r="B39" s="11" t="s">
        <v>242</v>
      </c>
      <c r="C39" s="156"/>
      <c r="D39" s="159">
        <v>1565</v>
      </c>
      <c r="E39" s="159">
        <v>600</v>
      </c>
      <c r="F39" s="105">
        <v>1</v>
      </c>
      <c r="G39" s="81"/>
      <c r="H39" s="99"/>
      <c r="I39" s="119">
        <f t="shared" si="8"/>
        <v>0.93899999999999995</v>
      </c>
      <c r="J39" s="117"/>
      <c r="K39" s="118">
        <v>1120000</v>
      </c>
      <c r="L39" s="123">
        <f t="shared" si="7"/>
        <v>1051680</v>
      </c>
      <c r="M39" s="114" t="s">
        <v>48</v>
      </c>
      <c r="N39" s="24"/>
    </row>
    <row r="40" spans="1:16" ht="23.25" customHeight="1" x14ac:dyDescent="0.25">
      <c r="A40" s="11">
        <v>7</v>
      </c>
      <c r="B40" s="11" t="s">
        <v>242</v>
      </c>
      <c r="C40" s="156"/>
      <c r="D40" s="105">
        <v>1867</v>
      </c>
      <c r="E40" s="105">
        <v>548</v>
      </c>
      <c r="F40" s="105">
        <v>1</v>
      </c>
      <c r="G40" s="81"/>
      <c r="H40" s="99"/>
      <c r="I40" s="119">
        <f t="shared" si="8"/>
        <v>1.0231159999999999</v>
      </c>
      <c r="J40" s="117"/>
      <c r="K40" s="118">
        <v>1120000</v>
      </c>
      <c r="L40" s="123">
        <f t="shared" si="7"/>
        <v>1145890</v>
      </c>
      <c r="M40" s="126" t="s">
        <v>249</v>
      </c>
      <c r="N40" s="24"/>
    </row>
    <row r="41" spans="1:16" ht="23.25" customHeight="1" x14ac:dyDescent="0.25">
      <c r="A41" s="11">
        <v>8</v>
      </c>
      <c r="B41" s="11" t="s">
        <v>242</v>
      </c>
      <c r="C41" s="156"/>
      <c r="D41" s="105">
        <v>1136</v>
      </c>
      <c r="E41" s="105">
        <v>470</v>
      </c>
      <c r="F41" s="105">
        <v>1</v>
      </c>
      <c r="G41" s="81"/>
      <c r="H41" s="99"/>
      <c r="I41" s="119">
        <f t="shared" si="8"/>
        <v>0.53391999999999995</v>
      </c>
      <c r="J41" s="117"/>
      <c r="K41" s="118">
        <v>1120000</v>
      </c>
      <c r="L41" s="123">
        <f t="shared" si="7"/>
        <v>597990</v>
      </c>
      <c r="M41" s="126" t="s">
        <v>250</v>
      </c>
      <c r="N41" s="24"/>
    </row>
    <row r="42" spans="1:16" ht="23.25" customHeight="1" x14ac:dyDescent="0.25">
      <c r="A42" s="11">
        <v>9</v>
      </c>
      <c r="B42" s="11" t="s">
        <v>242</v>
      </c>
      <c r="C42" s="156"/>
      <c r="D42" s="105">
        <v>1136</v>
      </c>
      <c r="E42" s="105">
        <v>470</v>
      </c>
      <c r="F42" s="105">
        <v>1</v>
      </c>
      <c r="G42" s="81"/>
      <c r="H42" s="99"/>
      <c r="I42" s="119">
        <f t="shared" si="8"/>
        <v>0.53391999999999995</v>
      </c>
      <c r="J42" s="117"/>
      <c r="K42" s="118">
        <v>1120000</v>
      </c>
      <c r="L42" s="123">
        <f t="shared" si="7"/>
        <v>597990</v>
      </c>
      <c r="M42" s="126" t="s">
        <v>251</v>
      </c>
      <c r="N42" s="24"/>
    </row>
    <row r="43" spans="1:16" ht="23.25" customHeight="1" x14ac:dyDescent="0.25">
      <c r="A43" s="11">
        <v>10</v>
      </c>
      <c r="B43" s="11" t="s">
        <v>242</v>
      </c>
      <c r="C43" s="156"/>
      <c r="D43" s="105">
        <v>397</v>
      </c>
      <c r="E43" s="105">
        <v>789</v>
      </c>
      <c r="F43" s="105">
        <v>1</v>
      </c>
      <c r="G43" s="81" t="str">
        <f t="shared" si="1"/>
        <v>Vát 789</v>
      </c>
      <c r="H43" s="99"/>
      <c r="I43" s="119">
        <f>D45*E45*F43/1000000</f>
        <v>0.31323299999999998</v>
      </c>
      <c r="J43" s="117"/>
      <c r="K43" s="118">
        <v>1120000</v>
      </c>
      <c r="L43" s="123">
        <f t="shared" si="7"/>
        <v>350821</v>
      </c>
      <c r="M43" s="126" t="s">
        <v>252</v>
      </c>
      <c r="N43" s="24">
        <f>E45</f>
        <v>789</v>
      </c>
      <c r="O43" s="3" t="s">
        <v>240</v>
      </c>
    </row>
    <row r="44" spans="1:16" ht="23.25" customHeight="1" x14ac:dyDescent="0.25">
      <c r="A44" s="11">
        <v>11</v>
      </c>
      <c r="B44" s="11" t="s">
        <v>242</v>
      </c>
      <c r="C44" s="156"/>
      <c r="D44" s="105">
        <v>797</v>
      </c>
      <c r="E44" s="105">
        <v>389</v>
      </c>
      <c r="F44" s="105">
        <v>1</v>
      </c>
      <c r="G44" s="81" t="str">
        <f t="shared" si="1"/>
        <v>Vát 389</v>
      </c>
      <c r="H44" s="99"/>
      <c r="I44" s="119">
        <f t="shared" si="8"/>
        <v>0.310033</v>
      </c>
      <c r="J44" s="117"/>
      <c r="K44" s="118">
        <v>1120000</v>
      </c>
      <c r="L44" s="123">
        <f t="shared" si="7"/>
        <v>347237</v>
      </c>
      <c r="M44" s="126" t="s">
        <v>253</v>
      </c>
      <c r="N44" s="24">
        <f t="shared" si="4"/>
        <v>389</v>
      </c>
      <c r="O44" s="3" t="s">
        <v>262</v>
      </c>
    </row>
    <row r="45" spans="1:16" ht="23.25" customHeight="1" x14ac:dyDescent="0.25">
      <c r="A45" s="11">
        <v>12</v>
      </c>
      <c r="B45" s="11" t="s">
        <v>242</v>
      </c>
      <c r="C45" s="156"/>
      <c r="D45" s="105">
        <v>397</v>
      </c>
      <c r="E45" s="105">
        <v>789</v>
      </c>
      <c r="F45" s="105">
        <v>1</v>
      </c>
      <c r="G45" s="81"/>
      <c r="H45" s="99"/>
      <c r="I45" s="119">
        <f t="shared" si="8"/>
        <v>0.31323299999999998</v>
      </c>
      <c r="J45" s="117"/>
      <c r="K45" s="118">
        <v>1120000</v>
      </c>
      <c r="L45" s="123">
        <f t="shared" si="7"/>
        <v>350821</v>
      </c>
      <c r="M45" s="126" t="s">
        <v>253</v>
      </c>
      <c r="N45" s="24"/>
    </row>
    <row r="46" spans="1:16" ht="23.25" customHeight="1" x14ac:dyDescent="0.25">
      <c r="A46" s="11">
        <v>13</v>
      </c>
      <c r="B46" s="11" t="s">
        <v>242</v>
      </c>
      <c r="C46" s="156"/>
      <c r="D46" s="105">
        <v>702</v>
      </c>
      <c r="E46" s="105">
        <v>389</v>
      </c>
      <c r="F46" s="105">
        <v>1</v>
      </c>
      <c r="G46" s="81"/>
      <c r="H46" s="99"/>
      <c r="I46" s="119">
        <f t="shared" si="8"/>
        <v>0.27307799999999999</v>
      </c>
      <c r="J46" s="117"/>
      <c r="K46" s="118">
        <v>1120000</v>
      </c>
      <c r="L46" s="123">
        <f t="shared" si="7"/>
        <v>305847</v>
      </c>
      <c r="M46" s="126" t="s">
        <v>254</v>
      </c>
      <c r="N46" s="24"/>
    </row>
    <row r="47" spans="1:16" ht="23.25" customHeight="1" x14ac:dyDescent="0.25">
      <c r="A47" s="11">
        <v>14</v>
      </c>
      <c r="B47" s="11" t="s">
        <v>242</v>
      </c>
      <c r="C47" s="156"/>
      <c r="D47" s="105">
        <v>703</v>
      </c>
      <c r="E47" s="105">
        <v>437</v>
      </c>
      <c r="F47" s="105">
        <v>1</v>
      </c>
      <c r="G47" s="81"/>
      <c r="H47" s="99"/>
      <c r="I47" s="119">
        <f t="shared" si="8"/>
        <v>0.30721100000000001</v>
      </c>
      <c r="J47" s="117"/>
      <c r="K47" s="118">
        <v>1120000</v>
      </c>
      <c r="L47" s="123">
        <f t="shared" si="7"/>
        <v>344076</v>
      </c>
      <c r="M47" s="126" t="s">
        <v>245</v>
      </c>
      <c r="N47" s="24"/>
    </row>
    <row r="48" spans="1:16" ht="23.25" customHeight="1" x14ac:dyDescent="0.25">
      <c r="A48" s="11">
        <v>15</v>
      </c>
      <c r="B48" s="11" t="s">
        <v>242</v>
      </c>
      <c r="C48" s="156"/>
      <c r="D48" s="105">
        <v>703</v>
      </c>
      <c r="E48" s="105">
        <v>436</v>
      </c>
      <c r="F48" s="105">
        <v>1</v>
      </c>
      <c r="G48" s="81"/>
      <c r="H48" s="99"/>
      <c r="I48" s="119">
        <f t="shared" si="8"/>
        <v>0.306508</v>
      </c>
      <c r="J48" s="117"/>
      <c r="K48" s="118">
        <v>1120000</v>
      </c>
      <c r="L48" s="123">
        <f t="shared" si="7"/>
        <v>343289</v>
      </c>
      <c r="M48" s="126" t="s">
        <v>245</v>
      </c>
      <c r="N48" s="24"/>
    </row>
    <row r="49" spans="1:15" ht="23.25" customHeight="1" x14ac:dyDescent="0.25">
      <c r="A49" s="11">
        <v>16</v>
      </c>
      <c r="B49" s="11" t="s">
        <v>242</v>
      </c>
      <c r="C49" s="156"/>
      <c r="D49" s="105">
        <v>703</v>
      </c>
      <c r="E49" s="105">
        <v>402</v>
      </c>
      <c r="F49" s="105">
        <v>1</v>
      </c>
      <c r="G49" s="81"/>
      <c r="H49" s="99"/>
      <c r="I49" s="119">
        <f t="shared" ref="I49:I55" si="9">D49*E49*F49/1000000</f>
        <v>0.28260600000000002</v>
      </c>
      <c r="J49" s="117"/>
      <c r="K49" s="118">
        <v>1120000</v>
      </c>
      <c r="L49" s="123">
        <f t="shared" ref="L49:L55" si="10">ROUND((I49+J49)*K49,0)</f>
        <v>316519</v>
      </c>
      <c r="M49" s="126" t="s">
        <v>255</v>
      </c>
      <c r="N49" s="24"/>
    </row>
    <row r="50" spans="1:15" ht="23.25" customHeight="1" x14ac:dyDescent="0.25">
      <c r="A50" s="11">
        <v>17</v>
      </c>
      <c r="B50" s="11" t="s">
        <v>242</v>
      </c>
      <c r="C50" s="156"/>
      <c r="D50" s="105">
        <v>397</v>
      </c>
      <c r="E50" s="105">
        <v>771</v>
      </c>
      <c r="F50" s="105">
        <v>1</v>
      </c>
      <c r="G50" s="81" t="str">
        <f t="shared" ref="G50:G54" si="11">$N$12&amp;N50</f>
        <v>Vát 771</v>
      </c>
      <c r="H50" s="99"/>
      <c r="I50" s="119">
        <f t="shared" si="9"/>
        <v>0.306087</v>
      </c>
      <c r="J50" s="117"/>
      <c r="K50" s="118">
        <v>1120000</v>
      </c>
      <c r="L50" s="123">
        <f t="shared" si="10"/>
        <v>342817</v>
      </c>
      <c r="M50" s="126" t="s">
        <v>252</v>
      </c>
      <c r="N50" s="24">
        <f t="shared" ref="N50:N54" si="12">E50</f>
        <v>771</v>
      </c>
      <c r="O50" s="3" t="s">
        <v>240</v>
      </c>
    </row>
    <row r="51" spans="1:15" ht="23.25" customHeight="1" x14ac:dyDescent="0.25">
      <c r="A51" s="11">
        <v>18</v>
      </c>
      <c r="B51" s="11" t="s">
        <v>242</v>
      </c>
      <c r="C51" s="156"/>
      <c r="D51" s="105">
        <v>797</v>
      </c>
      <c r="E51" s="105">
        <v>389</v>
      </c>
      <c r="F51" s="105">
        <v>1</v>
      </c>
      <c r="G51" s="81" t="str">
        <f t="shared" si="11"/>
        <v>Vát 389</v>
      </c>
      <c r="H51" s="99"/>
      <c r="I51" s="119">
        <f t="shared" si="9"/>
        <v>0.310033</v>
      </c>
      <c r="J51" s="117"/>
      <c r="K51" s="118">
        <v>1120000</v>
      </c>
      <c r="L51" s="123">
        <f t="shared" si="10"/>
        <v>347237</v>
      </c>
      <c r="M51" s="126" t="s">
        <v>252</v>
      </c>
      <c r="N51" s="24">
        <f t="shared" si="12"/>
        <v>389</v>
      </c>
      <c r="O51" s="3" t="s">
        <v>262</v>
      </c>
    </row>
    <row r="52" spans="1:15" ht="23.25" customHeight="1" x14ac:dyDescent="0.25">
      <c r="A52" s="11">
        <v>19</v>
      </c>
      <c r="B52" s="11" t="s">
        <v>242</v>
      </c>
      <c r="C52" s="156"/>
      <c r="D52" s="105">
        <v>397</v>
      </c>
      <c r="E52" s="105">
        <v>771</v>
      </c>
      <c r="F52" s="105">
        <v>1</v>
      </c>
      <c r="G52" s="81"/>
      <c r="H52" s="99"/>
      <c r="I52" s="119">
        <f t="shared" si="9"/>
        <v>0.306087</v>
      </c>
      <c r="J52" s="117"/>
      <c r="K52" s="118">
        <v>1120000</v>
      </c>
      <c r="L52" s="123">
        <f t="shared" si="10"/>
        <v>342817</v>
      </c>
      <c r="M52" s="126" t="s">
        <v>253</v>
      </c>
      <c r="N52" s="24"/>
    </row>
    <row r="53" spans="1:15" ht="23.25" customHeight="1" x14ac:dyDescent="0.25">
      <c r="A53" s="11">
        <v>20</v>
      </c>
      <c r="B53" s="11" t="s">
        <v>242</v>
      </c>
      <c r="C53" s="156"/>
      <c r="D53" s="105">
        <v>749</v>
      </c>
      <c r="E53" s="105">
        <v>352</v>
      </c>
      <c r="F53" s="105">
        <v>1</v>
      </c>
      <c r="G53" s="81" t="str">
        <f t="shared" si="11"/>
        <v>Vát 352</v>
      </c>
      <c r="H53" s="99"/>
      <c r="I53" s="119">
        <f t="shared" si="9"/>
        <v>0.26364799999999999</v>
      </c>
      <c r="J53" s="117"/>
      <c r="K53" s="118">
        <v>1120000</v>
      </c>
      <c r="L53" s="123">
        <f t="shared" si="10"/>
        <v>295286</v>
      </c>
      <c r="M53" s="126" t="s">
        <v>256</v>
      </c>
      <c r="N53" s="24">
        <f t="shared" si="12"/>
        <v>352</v>
      </c>
      <c r="O53" s="3" t="s">
        <v>262</v>
      </c>
    </row>
    <row r="54" spans="1:15" ht="23.25" customHeight="1" x14ac:dyDescent="0.25">
      <c r="A54" s="11">
        <v>21</v>
      </c>
      <c r="B54" s="11" t="s">
        <v>242</v>
      </c>
      <c r="C54" s="156"/>
      <c r="D54" s="105">
        <v>749</v>
      </c>
      <c r="E54" s="105">
        <v>352</v>
      </c>
      <c r="F54" s="105">
        <v>1</v>
      </c>
      <c r="G54" s="81" t="str">
        <f t="shared" si="11"/>
        <v>Vát 352</v>
      </c>
      <c r="H54" s="99"/>
      <c r="I54" s="119">
        <f t="shared" si="9"/>
        <v>0.26364799999999999</v>
      </c>
      <c r="J54" s="117"/>
      <c r="K54" s="118">
        <v>1120000</v>
      </c>
      <c r="L54" s="123">
        <f t="shared" si="10"/>
        <v>295286</v>
      </c>
      <c r="M54" s="126" t="s">
        <v>257</v>
      </c>
      <c r="N54" s="24">
        <f t="shared" si="12"/>
        <v>352</v>
      </c>
      <c r="O54" s="3" t="s">
        <v>262</v>
      </c>
    </row>
    <row r="55" spans="1:15" ht="23.25" customHeight="1" x14ac:dyDescent="0.25">
      <c r="A55" s="11">
        <v>22</v>
      </c>
      <c r="B55" s="11" t="s">
        <v>242</v>
      </c>
      <c r="C55" s="156"/>
      <c r="D55" s="105">
        <v>702</v>
      </c>
      <c r="E55" s="105">
        <v>389</v>
      </c>
      <c r="F55" s="105">
        <v>1</v>
      </c>
      <c r="G55" s="81"/>
      <c r="H55" s="99"/>
      <c r="I55" s="119">
        <f t="shared" si="9"/>
        <v>0.27307799999999999</v>
      </c>
      <c r="J55" s="117"/>
      <c r="K55" s="118">
        <v>1120000</v>
      </c>
      <c r="L55" s="123">
        <f t="shared" si="10"/>
        <v>305847</v>
      </c>
      <c r="M55" s="126" t="s">
        <v>258</v>
      </c>
      <c r="N55" s="24"/>
    </row>
    <row r="56" spans="1:15" ht="23.25" customHeight="1" x14ac:dyDescent="0.25">
      <c r="A56" s="11">
        <v>23</v>
      </c>
      <c r="B56" s="11" t="s">
        <v>242</v>
      </c>
      <c r="C56" s="156"/>
      <c r="D56" s="105">
        <v>2183</v>
      </c>
      <c r="E56" s="105">
        <v>60</v>
      </c>
      <c r="F56" s="105">
        <v>1</v>
      </c>
      <c r="G56" s="81"/>
      <c r="H56" s="99"/>
      <c r="I56" s="119">
        <f t="shared" ref="I56:I62" si="13">D56*E56*F56/1000000</f>
        <v>0.13098000000000001</v>
      </c>
      <c r="J56" s="117"/>
      <c r="K56" s="118">
        <v>1120000</v>
      </c>
      <c r="L56" s="123">
        <f t="shared" ref="L56:L62" si="14">ROUND((I56+J56)*K56,0)</f>
        <v>146698</v>
      </c>
      <c r="M56" s="126" t="s">
        <v>259</v>
      </c>
      <c r="N56" s="24"/>
    </row>
    <row r="57" spans="1:15" ht="23.25" customHeight="1" x14ac:dyDescent="0.25">
      <c r="A57" s="11">
        <v>24</v>
      </c>
      <c r="B57" s="11" t="s">
        <v>242</v>
      </c>
      <c r="C57" s="156"/>
      <c r="D57" s="105">
        <v>703</v>
      </c>
      <c r="E57" s="105">
        <v>384</v>
      </c>
      <c r="F57" s="105">
        <v>1</v>
      </c>
      <c r="G57" s="81"/>
      <c r="H57" s="99"/>
      <c r="I57" s="119">
        <f t="shared" si="13"/>
        <v>0.26995200000000003</v>
      </c>
      <c r="J57" s="117"/>
      <c r="K57" s="118">
        <v>1120000</v>
      </c>
      <c r="L57" s="123">
        <f t="shared" si="14"/>
        <v>302346</v>
      </c>
      <c r="M57" s="126" t="s">
        <v>255</v>
      </c>
      <c r="N57" s="24"/>
    </row>
    <row r="58" spans="1:15" ht="23.25" customHeight="1" x14ac:dyDescent="0.25">
      <c r="A58" s="11">
        <v>25</v>
      </c>
      <c r="B58" s="11" t="s">
        <v>242</v>
      </c>
      <c r="C58" s="156"/>
      <c r="D58" s="105">
        <v>703</v>
      </c>
      <c r="E58" s="105">
        <v>384</v>
      </c>
      <c r="F58" s="105">
        <v>1</v>
      </c>
      <c r="G58" s="81"/>
      <c r="H58" s="99"/>
      <c r="I58" s="119">
        <f t="shared" si="13"/>
        <v>0.26995200000000003</v>
      </c>
      <c r="J58" s="117"/>
      <c r="K58" s="118">
        <v>1120000</v>
      </c>
      <c r="L58" s="123">
        <f t="shared" si="14"/>
        <v>302346</v>
      </c>
      <c r="M58" s="126" t="s">
        <v>255</v>
      </c>
      <c r="N58" s="24"/>
    </row>
    <row r="59" spans="1:15" ht="23.25" customHeight="1" x14ac:dyDescent="0.25">
      <c r="A59" s="11">
        <v>26</v>
      </c>
      <c r="B59" s="11" t="s">
        <v>242</v>
      </c>
      <c r="C59" s="156"/>
      <c r="D59" s="105">
        <v>703</v>
      </c>
      <c r="E59" s="105">
        <v>338</v>
      </c>
      <c r="F59" s="105">
        <v>1</v>
      </c>
      <c r="G59" s="81"/>
      <c r="H59" s="99"/>
      <c r="I59" s="119">
        <f t="shared" si="13"/>
        <v>0.23761399999999999</v>
      </c>
      <c r="J59" s="117"/>
      <c r="K59" s="118">
        <v>1120000</v>
      </c>
      <c r="L59" s="123">
        <f t="shared" si="14"/>
        <v>266128</v>
      </c>
      <c r="M59" s="126" t="s">
        <v>255</v>
      </c>
      <c r="N59" s="24"/>
    </row>
    <row r="60" spans="1:15" ht="23.25" customHeight="1" x14ac:dyDescent="0.25">
      <c r="A60" s="11">
        <v>27</v>
      </c>
      <c r="B60" s="11" t="s">
        <v>242</v>
      </c>
      <c r="C60" s="156"/>
      <c r="D60" s="105">
        <v>1584</v>
      </c>
      <c r="E60" s="105">
        <v>60</v>
      </c>
      <c r="F60" s="105">
        <v>1</v>
      </c>
      <c r="G60" s="81"/>
      <c r="H60" s="99"/>
      <c r="I60" s="119">
        <f t="shared" si="13"/>
        <v>9.5039999999999999E-2</v>
      </c>
      <c r="J60" s="117"/>
      <c r="K60" s="118">
        <v>1120000</v>
      </c>
      <c r="L60" s="123">
        <f t="shared" si="14"/>
        <v>106445</v>
      </c>
      <c r="M60" s="126" t="s">
        <v>260</v>
      </c>
      <c r="N60" s="24"/>
    </row>
    <row r="61" spans="1:15" ht="23.25" customHeight="1" x14ac:dyDescent="0.25">
      <c r="A61" s="11">
        <v>28</v>
      </c>
      <c r="B61" s="11" t="s">
        <v>242</v>
      </c>
      <c r="C61" s="156"/>
      <c r="D61" s="105">
        <v>1532</v>
      </c>
      <c r="E61" s="105">
        <v>60</v>
      </c>
      <c r="F61" s="105">
        <v>1</v>
      </c>
      <c r="G61" s="81"/>
      <c r="H61" s="99"/>
      <c r="I61" s="119">
        <f t="shared" si="13"/>
        <v>9.1920000000000002E-2</v>
      </c>
      <c r="J61" s="117"/>
      <c r="K61" s="118">
        <v>1120000</v>
      </c>
      <c r="L61" s="123">
        <f t="shared" si="14"/>
        <v>102950</v>
      </c>
      <c r="M61" s="126" t="s">
        <v>261</v>
      </c>
      <c r="N61" s="24"/>
    </row>
    <row r="62" spans="1:15" ht="23.25" customHeight="1" x14ac:dyDescent="0.25">
      <c r="A62" s="11">
        <v>29</v>
      </c>
      <c r="B62" s="11" t="s">
        <v>242</v>
      </c>
      <c r="C62" s="156"/>
      <c r="D62" s="105">
        <v>797</v>
      </c>
      <c r="E62" s="105">
        <v>321</v>
      </c>
      <c r="F62" s="105">
        <v>1</v>
      </c>
      <c r="G62" s="81" t="str">
        <f t="shared" ref="G62" si="15">$N$12&amp;N62</f>
        <v>Vát 321</v>
      </c>
      <c r="H62" s="99"/>
      <c r="I62" s="119">
        <f t="shared" si="13"/>
        <v>0.25583699999999998</v>
      </c>
      <c r="J62" s="117"/>
      <c r="K62" s="118">
        <v>1120000</v>
      </c>
      <c r="L62" s="123">
        <f t="shared" si="14"/>
        <v>286537</v>
      </c>
      <c r="M62" s="126" t="s">
        <v>256</v>
      </c>
      <c r="N62" s="24">
        <f t="shared" ref="N62" si="16">E62</f>
        <v>321</v>
      </c>
      <c r="O62" s="3" t="s">
        <v>262</v>
      </c>
    </row>
    <row r="63" spans="1:15" ht="23.25" customHeight="1" x14ac:dyDescent="0.25">
      <c r="A63" s="11">
        <v>30</v>
      </c>
      <c r="B63" s="11" t="s">
        <v>242</v>
      </c>
      <c r="C63" s="156"/>
      <c r="D63" s="105">
        <v>797</v>
      </c>
      <c r="E63" s="105">
        <v>321</v>
      </c>
      <c r="F63" s="105">
        <v>1</v>
      </c>
      <c r="G63" s="81" t="str">
        <f t="shared" si="1"/>
        <v>Vát 321</v>
      </c>
      <c r="H63" s="99"/>
      <c r="I63" s="119">
        <f t="shared" si="8"/>
        <v>0.25583699999999998</v>
      </c>
      <c r="J63" s="117"/>
      <c r="K63" s="118">
        <v>1120000</v>
      </c>
      <c r="L63" s="123">
        <f t="shared" si="7"/>
        <v>286537</v>
      </c>
      <c r="M63" s="126" t="s">
        <v>257</v>
      </c>
      <c r="N63" s="24">
        <f t="shared" si="4"/>
        <v>321</v>
      </c>
      <c r="O63" s="3" t="s">
        <v>262</v>
      </c>
    </row>
    <row r="64" spans="1:15" ht="23.25" customHeight="1" x14ac:dyDescent="0.25">
      <c r="A64" s="11">
        <v>31</v>
      </c>
      <c r="B64" s="11" t="s">
        <v>242</v>
      </c>
      <c r="C64" s="156"/>
      <c r="D64" s="105">
        <v>797</v>
      </c>
      <c r="E64" s="105">
        <v>386</v>
      </c>
      <c r="F64" s="105">
        <v>1</v>
      </c>
      <c r="G64" s="81" t="str">
        <f t="shared" si="1"/>
        <v>Vát 386</v>
      </c>
      <c r="H64" s="99"/>
      <c r="I64" s="119">
        <f t="shared" si="8"/>
        <v>0.30764200000000003</v>
      </c>
      <c r="J64" s="117"/>
      <c r="K64" s="118">
        <v>1120000</v>
      </c>
      <c r="L64" s="123">
        <f t="shared" si="7"/>
        <v>344559</v>
      </c>
      <c r="M64" s="126" t="s">
        <v>257</v>
      </c>
      <c r="N64" s="24">
        <f t="shared" si="4"/>
        <v>386</v>
      </c>
      <c r="O64" s="3" t="s">
        <v>262</v>
      </c>
    </row>
    <row r="65" spans="1:64" ht="21.75" customHeight="1" x14ac:dyDescent="0.25">
      <c r="A65" s="19"/>
      <c r="B65" s="19"/>
      <c r="C65" s="20"/>
      <c r="D65" s="100"/>
      <c r="E65" s="100"/>
      <c r="F65" s="116">
        <f>F13+F33</f>
        <v>50</v>
      </c>
      <c r="G65" s="116"/>
      <c r="H65" s="116"/>
      <c r="I65" s="155">
        <f>I13+I33</f>
        <v>12.631213999999998</v>
      </c>
      <c r="J65" s="124">
        <f>J13+J33</f>
        <v>4.1679999999999993</v>
      </c>
      <c r="K65" s="22"/>
      <c r="L65" s="22"/>
      <c r="M65" s="101"/>
      <c r="N65" s="12"/>
    </row>
    <row r="66" spans="1:64" s="1" customFormat="1" ht="21.75" customHeight="1" x14ac:dyDescent="0.25">
      <c r="A66" s="13"/>
      <c r="B66" s="13"/>
      <c r="C66" s="13"/>
      <c r="D66" s="13"/>
      <c r="E66" s="13"/>
      <c r="F66" s="14"/>
      <c r="G66" s="13"/>
      <c r="H66" s="13"/>
      <c r="I66" s="125"/>
      <c r="J66" s="97"/>
      <c r="K66" s="98" t="s">
        <v>216</v>
      </c>
      <c r="L66" s="23">
        <f>ROUND(SUM(L14:L65),-3)</f>
        <v>15354000</v>
      </c>
      <c r="M66" s="134"/>
      <c r="N66" s="16"/>
      <c r="O66" s="16"/>
      <c r="AA66" s="4"/>
      <c r="AB66" s="4"/>
      <c r="AC66" s="4"/>
      <c r="AD66" s="4"/>
      <c r="AE66" s="4"/>
      <c r="AF66" s="4"/>
      <c r="AG66" s="4"/>
      <c r="BJ66" s="2"/>
      <c r="BK66" s="2"/>
      <c r="BL66" s="2"/>
    </row>
    <row r="67" spans="1:64" s="1" customFormat="1" ht="21.75" customHeight="1" x14ac:dyDescent="0.25">
      <c r="A67" s="149"/>
      <c r="B67" s="149"/>
      <c r="C67" s="149"/>
      <c r="D67" s="149"/>
      <c r="E67" s="149"/>
      <c r="F67" s="150"/>
      <c r="G67" s="149"/>
      <c r="H67" s="149"/>
      <c r="I67" s="150"/>
      <c r="J67" s="172" t="s">
        <v>220</v>
      </c>
      <c r="K67" s="173"/>
      <c r="L67" s="23"/>
      <c r="M67" s="150"/>
      <c r="N67" s="16"/>
      <c r="O67" s="16"/>
      <c r="AA67" s="4"/>
      <c r="AB67" s="4"/>
      <c r="AC67" s="4"/>
      <c r="AD67" s="4"/>
      <c r="AE67" s="4"/>
      <c r="AF67" s="4"/>
      <c r="AG67" s="4"/>
      <c r="BJ67" s="2"/>
      <c r="BK67" s="2"/>
      <c r="BL67" s="2"/>
    </row>
    <row r="68" spans="1:64" s="1" customFormat="1" ht="21.75" customHeight="1" x14ac:dyDescent="0.25">
      <c r="A68" s="149"/>
      <c r="B68" s="149"/>
      <c r="C68" s="149"/>
      <c r="D68" s="149"/>
      <c r="E68" s="149"/>
      <c r="F68" s="150"/>
      <c r="G68" s="149"/>
      <c r="H68" s="149"/>
      <c r="I68" s="150"/>
      <c r="J68" s="172" t="s">
        <v>219</v>
      </c>
      <c r="K68" s="173"/>
      <c r="L68" s="23">
        <f>SUM(L66:L66)-L67</f>
        <v>15354000</v>
      </c>
      <c r="M68" s="150"/>
      <c r="N68" s="16"/>
      <c r="O68" s="16"/>
      <c r="AA68" s="4"/>
      <c r="AB68" s="4"/>
      <c r="AC68" s="4"/>
      <c r="AD68" s="4"/>
      <c r="AE68" s="4"/>
      <c r="AF68" s="4"/>
      <c r="AG68" s="4"/>
      <c r="BJ68" s="2"/>
      <c r="BK68" s="2"/>
      <c r="BL68" s="2"/>
    </row>
    <row r="69" spans="1:64" s="38" customFormat="1" ht="15.75" x14ac:dyDescent="0.25">
      <c r="A69" s="39" t="s">
        <v>28</v>
      </c>
      <c r="B69" s="39"/>
      <c r="D69" s="40"/>
      <c r="E69" s="40"/>
      <c r="F69" s="41"/>
      <c r="G69" s="41"/>
      <c r="H69" s="41"/>
      <c r="I69" s="41"/>
      <c r="J69" s="41"/>
      <c r="K69" s="42"/>
      <c r="L69" s="43"/>
      <c r="M69" s="41"/>
      <c r="N69" s="41"/>
      <c r="O69" s="41"/>
      <c r="P69" s="41"/>
      <c r="S69" s="28"/>
      <c r="T69" s="28"/>
      <c r="U69" s="28"/>
      <c r="V69" s="28"/>
      <c r="W69" s="28"/>
      <c r="X69" s="28"/>
      <c r="Y69" s="28"/>
      <c r="BB69" s="55"/>
      <c r="BC69" s="55"/>
      <c r="BD69" s="55"/>
    </row>
    <row r="70" spans="1:64" s="38" customFormat="1" x14ac:dyDescent="0.25">
      <c r="A70" s="44"/>
      <c r="B70" s="44"/>
      <c r="C70" s="45" t="s">
        <v>29</v>
      </c>
      <c r="D70" s="40"/>
      <c r="E70" s="40"/>
      <c r="F70" s="41"/>
      <c r="G70" s="41"/>
      <c r="H70" s="41"/>
      <c r="I70" s="41"/>
      <c r="J70" s="41"/>
      <c r="K70" s="42"/>
      <c r="L70" s="43"/>
      <c r="M70" s="41"/>
      <c r="N70" s="41"/>
      <c r="O70" s="41"/>
      <c r="P70" s="41"/>
      <c r="S70" s="28"/>
      <c r="T70" s="28"/>
      <c r="U70" s="28"/>
      <c r="V70" s="28"/>
      <c r="W70" s="28"/>
      <c r="X70" s="28"/>
      <c r="Y70" s="28"/>
      <c r="BB70" s="55"/>
      <c r="BC70" s="55"/>
      <c r="BD70" s="55"/>
    </row>
    <row r="71" spans="1:64" s="38" customFormat="1" ht="15" customHeight="1" x14ac:dyDescent="0.25">
      <c r="A71" s="44"/>
      <c r="B71" s="44"/>
      <c r="C71" s="169" t="s">
        <v>30</v>
      </c>
      <c r="D71" s="169"/>
      <c r="E71" s="169"/>
      <c r="F71" s="169"/>
      <c r="G71" s="169"/>
      <c r="H71" s="169"/>
      <c r="I71" s="169"/>
      <c r="J71" s="169"/>
      <c r="K71" s="46"/>
      <c r="L71" s="47"/>
      <c r="M71" s="48"/>
      <c r="N71" s="82"/>
      <c r="O71" s="82"/>
      <c r="P71" s="48"/>
      <c r="Q71" s="48"/>
      <c r="R71" s="48"/>
      <c r="S71" s="28"/>
      <c r="T71" s="28"/>
      <c r="U71" s="28"/>
      <c r="V71" s="28"/>
      <c r="W71" s="28"/>
      <c r="X71" s="28"/>
      <c r="Y71" s="28"/>
      <c r="BB71" s="55"/>
      <c r="BC71" s="55"/>
      <c r="BD71" s="55"/>
    </row>
    <row r="72" spans="1:64" s="38" customFormat="1" x14ac:dyDescent="0.25">
      <c r="A72" s="49"/>
      <c r="B72" s="49"/>
      <c r="C72" s="169"/>
      <c r="D72" s="169"/>
      <c r="E72" s="169"/>
      <c r="F72" s="169"/>
      <c r="G72" s="169"/>
      <c r="H72" s="169"/>
      <c r="I72" s="169"/>
      <c r="J72" s="169"/>
      <c r="K72" s="46"/>
      <c r="L72" s="47"/>
      <c r="M72" s="48"/>
      <c r="N72" s="82"/>
      <c r="O72" s="82"/>
      <c r="P72" s="48"/>
      <c r="Q72" s="48"/>
      <c r="R72" s="48"/>
      <c r="S72" s="28"/>
      <c r="T72" s="28"/>
      <c r="U72" s="28"/>
      <c r="V72" s="28"/>
      <c r="W72" s="28"/>
      <c r="X72" s="28"/>
      <c r="Y72" s="28"/>
      <c r="BB72" s="55"/>
      <c r="BC72" s="55"/>
      <c r="BD72" s="55"/>
    </row>
    <row r="73" spans="1:64" s="38" customFormat="1" ht="15" customHeight="1" x14ac:dyDescent="0.25">
      <c r="A73" s="26"/>
      <c r="B73" s="26"/>
      <c r="C73" s="51" t="s">
        <v>3</v>
      </c>
      <c r="F73" s="37"/>
      <c r="G73" s="51" t="s">
        <v>18</v>
      </c>
      <c r="I73" s="50"/>
      <c r="K73" s="51" t="s">
        <v>82</v>
      </c>
      <c r="L73" s="52"/>
      <c r="N73" s="53"/>
      <c r="O73" s="53"/>
      <c r="P73" s="54"/>
      <c r="Q73" s="54"/>
      <c r="R73" s="54"/>
      <c r="S73" s="54"/>
      <c r="T73" s="54"/>
      <c r="AA73" s="28"/>
      <c r="AB73" s="28"/>
      <c r="AC73" s="28"/>
      <c r="AD73" s="28"/>
      <c r="AE73" s="28"/>
      <c r="AF73" s="28"/>
      <c r="AG73" s="28"/>
      <c r="BJ73" s="55"/>
      <c r="BK73" s="55"/>
      <c r="BL73" s="55"/>
    </row>
    <row r="74" spans="1:64" s="38" customFormat="1" x14ac:dyDescent="0.25">
      <c r="B74" s="65" t="s">
        <v>31</v>
      </c>
      <c r="D74" s="55"/>
      <c r="E74" s="55"/>
      <c r="F74" s="56"/>
      <c r="G74" s="51" t="s">
        <v>4</v>
      </c>
      <c r="H74" s="55"/>
      <c r="I74" s="57"/>
      <c r="K74" s="51" t="s">
        <v>4</v>
      </c>
      <c r="L74" s="52"/>
      <c r="N74" s="53"/>
      <c r="O74" s="53"/>
      <c r="P74" s="54"/>
      <c r="Q74" s="54"/>
      <c r="R74" s="54"/>
      <c r="S74" s="54"/>
      <c r="T74" s="54"/>
      <c r="AA74" s="28"/>
      <c r="AB74" s="28"/>
      <c r="AC74" s="28"/>
      <c r="AD74" s="28"/>
      <c r="AE74" s="28"/>
      <c r="AF74" s="28"/>
      <c r="AG74" s="28"/>
      <c r="BJ74" s="55"/>
      <c r="BK74" s="55"/>
      <c r="BL74" s="55"/>
    </row>
    <row r="75" spans="1:64" s="60" customFormat="1" ht="20.25" customHeight="1" x14ac:dyDescent="0.25">
      <c r="A75" s="37"/>
      <c r="B75" s="37"/>
      <c r="C75" s="51" t="s">
        <v>4</v>
      </c>
      <c r="D75" s="54"/>
      <c r="E75" s="54"/>
      <c r="F75" s="53"/>
      <c r="G75" s="54"/>
      <c r="H75" s="54"/>
      <c r="I75" s="58"/>
      <c r="J75" s="58"/>
      <c r="K75" s="59"/>
      <c r="L75" s="59"/>
      <c r="M75" s="54"/>
      <c r="N75" s="53"/>
      <c r="O75" s="53"/>
      <c r="P75" s="54"/>
      <c r="Q75" s="54"/>
      <c r="R75" s="54"/>
      <c r="Y75" s="83"/>
      <c r="Z75" s="83"/>
      <c r="AA75" s="83"/>
      <c r="AB75" s="83"/>
      <c r="AC75" s="83"/>
      <c r="AD75" s="83"/>
      <c r="AE75" s="83"/>
      <c r="AW75" s="84"/>
      <c r="AX75" s="84"/>
      <c r="AY75" s="84"/>
      <c r="AZ75" s="84"/>
      <c r="BA75" s="84"/>
      <c r="BB75" s="84"/>
      <c r="BC75" s="84"/>
      <c r="BD75" s="84"/>
      <c r="BE75" s="84"/>
      <c r="BF75" s="84"/>
      <c r="BG75" s="84"/>
      <c r="BH75" s="85"/>
      <c r="BI75" s="85"/>
      <c r="BJ75" s="85"/>
    </row>
    <row r="76" spans="1:64" s="60" customFormat="1" ht="47.25" customHeight="1" x14ac:dyDescent="0.25">
      <c r="A76" s="37"/>
      <c r="B76" s="37"/>
      <c r="C76" s="61"/>
      <c r="D76" s="54"/>
      <c r="E76" s="54"/>
      <c r="F76" s="53"/>
      <c r="G76" s="54"/>
      <c r="H76" s="54"/>
      <c r="I76" s="58"/>
      <c r="J76" s="58"/>
      <c r="K76" s="59"/>
      <c r="L76" s="59"/>
      <c r="M76" s="54"/>
      <c r="N76" s="62"/>
      <c r="O76" s="57"/>
      <c r="P76" s="86"/>
      <c r="Q76" s="86"/>
      <c r="R76" s="55"/>
      <c r="Y76" s="83"/>
      <c r="Z76" s="83"/>
      <c r="AA76" s="83"/>
      <c r="AB76" s="83"/>
      <c r="AC76" s="83"/>
      <c r="AD76" s="83"/>
      <c r="AE76" s="83"/>
      <c r="AW76" s="87" t="e">
        <f>#REF!</f>
        <v>#REF!</v>
      </c>
      <c r="AX76" s="88" t="e">
        <f>RIGHT("000000000000"&amp;ROUND(AW76,0),12)</f>
        <v>#REF!</v>
      </c>
      <c r="AY76" s="88">
        <v>1</v>
      </c>
      <c r="AZ76" s="88">
        <v>2</v>
      </c>
      <c r="BA76" s="88">
        <v>3</v>
      </c>
      <c r="BB76" s="88">
        <v>4</v>
      </c>
      <c r="BC76" s="88">
        <v>5</v>
      </c>
      <c r="BD76" s="88">
        <v>6</v>
      </c>
      <c r="BE76" s="88">
        <v>7</v>
      </c>
      <c r="BF76" s="88">
        <v>8</v>
      </c>
      <c r="BG76" s="88">
        <v>9</v>
      </c>
      <c r="BH76" s="89">
        <v>10</v>
      </c>
      <c r="BI76" s="89">
        <v>11</v>
      </c>
      <c r="BJ76" s="89">
        <v>12</v>
      </c>
    </row>
    <row r="77" spans="1:64" s="60" customFormat="1" ht="20.25" customHeight="1" x14ac:dyDescent="0.25">
      <c r="A77" s="26">
        <v>1</v>
      </c>
      <c r="B77" s="26"/>
      <c r="C77" s="38" t="s">
        <v>78</v>
      </c>
      <c r="D77" s="54"/>
      <c r="E77" s="54"/>
      <c r="F77" s="53"/>
      <c r="G77" s="54"/>
      <c r="H77" s="54"/>
      <c r="I77" s="58"/>
      <c r="J77" s="58"/>
      <c r="K77" s="59"/>
      <c r="L77" s="59"/>
      <c r="M77" s="54"/>
      <c r="N77" s="62"/>
      <c r="O77" s="57"/>
      <c r="P77" s="86"/>
      <c r="Q77" s="86"/>
      <c r="R77" s="55"/>
      <c r="Y77" s="83"/>
      <c r="Z77" s="83"/>
      <c r="AA77" s="83"/>
      <c r="AB77" s="83"/>
      <c r="AC77" s="83"/>
      <c r="AD77" s="83"/>
      <c r="AE77" s="83"/>
      <c r="AW77" s="90"/>
      <c r="AX77" s="91"/>
      <c r="AY77" s="91" t="e">
        <f>VALUE(MID(AX76,AY76,1))</f>
        <v>#REF!</v>
      </c>
      <c r="AZ77" s="91" t="e">
        <f>VALUE(MID(AX76,AZ76,1))</f>
        <v>#REF!</v>
      </c>
      <c r="BA77" s="91" t="e">
        <f>VALUE(MID(AX76,BA76,1))</f>
        <v>#REF!</v>
      </c>
      <c r="BB77" s="91" t="e">
        <f>VALUE(MID(AX76,BB76,1))</f>
        <v>#REF!</v>
      </c>
      <c r="BC77" s="91" t="e">
        <f>VALUE(MID(AX76,BC76,1))</f>
        <v>#REF!</v>
      </c>
      <c r="BD77" s="91" t="e">
        <f>VALUE(MID(AX76,BD76,1))</f>
        <v>#REF!</v>
      </c>
      <c r="BE77" s="91" t="e">
        <f>VALUE(MID(AX76,BE76,1))</f>
        <v>#REF!</v>
      </c>
      <c r="BF77" s="91" t="e">
        <f>VALUE(MID(AX76,BF76,1))</f>
        <v>#REF!</v>
      </c>
      <c r="BG77" s="91" t="e">
        <f>VALUE(MID(AX76,BG76,1))</f>
        <v>#REF!</v>
      </c>
      <c r="BH77" s="92" t="e">
        <f>VALUE(MID(AX76,BH76,1))</f>
        <v>#REF!</v>
      </c>
      <c r="BI77" s="92" t="e">
        <f>VALUE(MID(AX76,BI76,1))</f>
        <v>#REF!</v>
      </c>
      <c r="BJ77" s="92" t="e">
        <f>VALUE(MID(AX76,BJ76,1))</f>
        <v>#REF!</v>
      </c>
    </row>
    <row r="78" spans="1:64" s="60" customFormat="1" ht="20.25" customHeight="1" x14ac:dyDescent="0.25">
      <c r="A78" s="26">
        <v>2</v>
      </c>
      <c r="B78" s="26"/>
      <c r="C78" s="63" t="s">
        <v>16</v>
      </c>
      <c r="D78" s="55"/>
      <c r="E78" s="55"/>
      <c r="F78" s="56"/>
      <c r="G78" s="55"/>
      <c r="H78" s="55"/>
      <c r="I78" s="57"/>
      <c r="J78" s="57"/>
      <c r="K78" s="62"/>
      <c r="L78" s="62"/>
      <c r="M78" s="55"/>
      <c r="N78" s="62"/>
      <c r="O78" s="57"/>
      <c r="P78" s="86"/>
      <c r="Q78" s="86"/>
      <c r="R78" s="55"/>
      <c r="Y78" s="83"/>
      <c r="Z78" s="83"/>
      <c r="AA78" s="83"/>
      <c r="AB78" s="83"/>
      <c r="AC78" s="83"/>
      <c r="AD78" s="83"/>
      <c r="AE78" s="83"/>
      <c r="AW78" s="90"/>
      <c r="AX78" s="91"/>
      <c r="AY78" s="91"/>
      <c r="AZ78" s="91"/>
      <c r="BA78" s="91"/>
      <c r="BB78" s="91"/>
      <c r="BC78" s="91"/>
      <c r="BD78" s="91"/>
      <c r="BE78" s="91"/>
      <c r="BF78" s="91"/>
      <c r="BG78" s="91"/>
      <c r="BH78" s="92"/>
      <c r="BI78" s="92"/>
      <c r="BJ78" s="92"/>
    </row>
    <row r="79" spans="1:64" s="60" customFormat="1" ht="20.25" customHeight="1" x14ac:dyDescent="0.25">
      <c r="A79" s="26">
        <v>3</v>
      </c>
      <c r="B79" s="26"/>
      <c r="C79" s="63" t="s">
        <v>24</v>
      </c>
      <c r="D79" s="64"/>
      <c r="E79" s="64"/>
      <c r="F79" s="62"/>
      <c r="G79" s="55"/>
      <c r="H79" s="55"/>
      <c r="I79" s="57"/>
      <c r="J79" s="57"/>
      <c r="K79" s="62"/>
      <c r="L79" s="62"/>
      <c r="M79" s="55"/>
      <c r="N79" s="62"/>
      <c r="O79" s="57"/>
      <c r="P79" s="86"/>
      <c r="Q79" s="86"/>
      <c r="R79" s="55"/>
      <c r="Y79" s="83"/>
      <c r="Z79" s="83"/>
      <c r="AA79" s="83"/>
      <c r="AB79" s="83"/>
      <c r="AC79" s="83"/>
      <c r="AD79" s="83"/>
      <c r="AE79" s="83"/>
      <c r="AW79" s="90"/>
      <c r="AX79" s="91"/>
      <c r="AY79" s="91"/>
      <c r="AZ79" s="91"/>
      <c r="BA79" s="91"/>
      <c r="BB79" s="91"/>
      <c r="BC79" s="91"/>
      <c r="BD79" s="91"/>
      <c r="BE79" s="91"/>
      <c r="BF79" s="91"/>
      <c r="BG79" s="91"/>
      <c r="BH79" s="92"/>
      <c r="BI79" s="92"/>
      <c r="BJ79" s="92"/>
    </row>
    <row r="80" spans="1:64" s="60" customFormat="1" ht="20.25" customHeight="1" x14ac:dyDescent="0.25">
      <c r="A80" s="26">
        <v>4</v>
      </c>
      <c r="B80" s="26"/>
      <c r="C80" s="63" t="s">
        <v>6</v>
      </c>
      <c r="D80" s="64"/>
      <c r="E80" s="64"/>
      <c r="F80" s="62"/>
      <c r="G80" s="55"/>
      <c r="H80" s="55"/>
      <c r="I80" s="57"/>
      <c r="J80" s="57"/>
      <c r="K80" s="62"/>
      <c r="L80" s="62"/>
      <c r="M80" s="55"/>
      <c r="N80" s="62"/>
      <c r="O80" s="57"/>
      <c r="P80" s="86"/>
      <c r="Q80" s="86"/>
      <c r="R80" s="55"/>
      <c r="Y80" s="83"/>
      <c r="Z80" s="83"/>
      <c r="AA80" s="83"/>
      <c r="AB80" s="83"/>
      <c r="AC80" s="83"/>
      <c r="AD80" s="83"/>
      <c r="AE80" s="83"/>
      <c r="AW80" s="90"/>
      <c r="AX80" s="91"/>
      <c r="AY80" s="93"/>
      <c r="AZ80" s="93"/>
      <c r="BA80" s="93"/>
      <c r="BB80" s="93"/>
      <c r="BC80" s="93"/>
      <c r="BD80" s="93"/>
      <c r="BE80" s="93"/>
      <c r="BF80" s="93"/>
      <c r="BG80" s="93"/>
      <c r="BH80" s="94"/>
      <c r="BI80" s="94"/>
      <c r="BJ80" s="94"/>
    </row>
    <row r="81" spans="1:62" s="60" customFormat="1" ht="20.25" customHeight="1" x14ac:dyDescent="0.25">
      <c r="A81" s="26">
        <v>5</v>
      </c>
      <c r="B81" s="26"/>
      <c r="C81" s="63" t="s">
        <v>25</v>
      </c>
      <c r="D81" s="64"/>
      <c r="E81" s="64"/>
      <c r="F81" s="62"/>
      <c r="G81" s="55"/>
      <c r="H81" s="55"/>
      <c r="I81" s="57"/>
      <c r="J81" s="57"/>
      <c r="K81" s="62"/>
      <c r="L81" s="62"/>
      <c r="M81" s="55"/>
      <c r="N81" s="62"/>
      <c r="O81" s="57"/>
      <c r="P81" s="86"/>
      <c r="Q81" s="86"/>
      <c r="R81" s="55"/>
      <c r="Y81" s="83"/>
      <c r="Z81" s="83"/>
      <c r="AA81" s="83"/>
      <c r="AB81" s="83"/>
      <c r="AC81" s="83"/>
      <c r="AD81" s="83"/>
      <c r="AE81" s="83"/>
      <c r="AW81" s="90"/>
      <c r="AX81" s="91"/>
      <c r="AY81" s="95" t="e">
        <f>IF(AY77=0,"","tr¨m")</f>
        <v>#REF!</v>
      </c>
      <c r="AZ81" s="95" t="e">
        <f>IF(AZ77=0,"",IF(AZ77=1,"","m­¬i"))</f>
        <v>#REF!</v>
      </c>
      <c r="BA81" s="95" t="e">
        <f>IF(AND(BA77=0,#REF!=0),"","tû")</f>
        <v>#REF!</v>
      </c>
      <c r="BB81" s="95" t="e">
        <f>IF(BB77=0,"","tr¨m")</f>
        <v>#REF!</v>
      </c>
      <c r="BC81" s="95" t="e">
        <f>IF(BC77=0,"",IF(BC77=1,"","m­¬i"))</f>
        <v>#REF!</v>
      </c>
      <c r="BD81" s="95" t="e">
        <f>IF(AND(BD77=0,#REF!=0),"","triÖu")</f>
        <v>#REF!</v>
      </c>
      <c r="BE81" s="95" t="e">
        <f>IF(BE77=0,"","tr¨m")</f>
        <v>#REF!</v>
      </c>
      <c r="BF81" s="95" t="e">
        <f>IF(BF77=0,"",IF(BF77=1,"","m­¬i"))</f>
        <v>#REF!</v>
      </c>
      <c r="BG81" s="95" t="e">
        <f>IF(AND(BG77=0,#REF!=0),"","ngh×n")</f>
        <v>#REF!</v>
      </c>
      <c r="BH81" s="96" t="e">
        <f>IF(BH77=0,"","tr¨m")</f>
        <v>#REF!</v>
      </c>
      <c r="BI81" s="96" t="e">
        <f>IF(BI77=0,"",IF(BI77=1,"","m­¬i"))</f>
        <v>#REF!</v>
      </c>
      <c r="BJ81" s="96" t="s">
        <v>5</v>
      </c>
    </row>
  </sheetData>
  <mergeCells count="16">
    <mergeCell ref="L3:M3"/>
    <mergeCell ref="J11:J12"/>
    <mergeCell ref="C71:J72"/>
    <mergeCell ref="M11:M12"/>
    <mergeCell ref="C11:C12"/>
    <mergeCell ref="K11:K12"/>
    <mergeCell ref="L11:L12"/>
    <mergeCell ref="J68:K68"/>
    <mergeCell ref="J67:K67"/>
    <mergeCell ref="A11:A12"/>
    <mergeCell ref="I11:I12"/>
    <mergeCell ref="D11:E11"/>
    <mergeCell ref="F11:F12"/>
    <mergeCell ref="G11:G12"/>
    <mergeCell ref="H11:H12"/>
    <mergeCell ref="B11:B12"/>
  </mergeCells>
  <conditionalFormatting sqref="D14:E32 D34:E34 D63:E64 D42:E42 D44:E45">
    <cfRule type="cellIs" dxfId="7" priority="8" operator="between">
      <formula>0</formula>
      <formula>55</formula>
    </cfRule>
  </conditionalFormatting>
  <conditionalFormatting sqref="D56:E62">
    <cfRule type="cellIs" dxfId="6" priority="5" operator="between">
      <formula>0</formula>
      <formula>55</formula>
    </cfRule>
  </conditionalFormatting>
  <conditionalFormatting sqref="D35:E41">
    <cfRule type="cellIs" dxfId="5" priority="4" operator="between">
      <formula>0</formula>
      <formula>55</formula>
    </cfRule>
  </conditionalFormatting>
  <conditionalFormatting sqref="D49:E55">
    <cfRule type="cellIs" dxfId="4" priority="3" operator="between">
      <formula>0</formula>
      <formula>55</formula>
    </cfRule>
  </conditionalFormatting>
  <conditionalFormatting sqref="D46:E48">
    <cfRule type="cellIs" dxfId="3" priority="2" operator="between">
      <formula>0</formula>
      <formula>55</formula>
    </cfRule>
  </conditionalFormatting>
  <conditionalFormatting sqref="D43:E43">
    <cfRule type="cellIs" dxfId="2" priority="1" operator="between">
      <formula>0</formula>
      <formula>55</formula>
    </cfRule>
  </conditionalFormatting>
  <pageMargins left="0.45" right="0.2" top="0.5" bottom="0.25" header="0.3" footer="0.3"/>
  <pageSetup paperSize="9" scale="85" orientation="landscape" r:id="rId1"/>
  <colBreaks count="1" manualBreakCount="1">
    <brk id="1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67"/>
  <sheetViews>
    <sheetView zoomScale="96" zoomScaleNormal="96" zoomScaleSheetLayoutView="85" workbookViewId="0">
      <selection activeCell="H33" sqref="H33:J33"/>
    </sheetView>
  </sheetViews>
  <sheetFormatPr defaultColWidth="9" defaultRowHeight="15" x14ac:dyDescent="0.25"/>
  <cols>
    <col min="1" max="1" width="5.25" style="15" customWidth="1"/>
    <col min="2" max="2" width="37.25" style="66" customWidth="1"/>
    <col min="3" max="5" width="8.875" style="2" customWidth="1"/>
    <col min="6" max="6" width="11" style="2" customWidth="1"/>
    <col min="7" max="7" width="13.875" style="2" customWidth="1"/>
    <col min="8" max="8" width="9.375" style="17" customWidth="1"/>
    <col min="9" max="9" width="8.5" style="17" customWidth="1"/>
    <col min="10" max="10" width="6.875" style="17" customWidth="1"/>
    <col min="11" max="11" width="23.5" style="2" customWidth="1"/>
    <col min="12" max="16384" width="9" style="2"/>
  </cols>
  <sheetData>
    <row r="1" spans="1:13" s="55" customFormat="1" ht="37.5" customHeight="1" x14ac:dyDescent="0.25">
      <c r="A1" s="56"/>
      <c r="B1" s="68"/>
      <c r="H1" s="86"/>
      <c r="I1" s="86"/>
      <c r="J1" s="86"/>
    </row>
    <row r="2" spans="1:13" s="55" customFormat="1" ht="37.5" customHeight="1" x14ac:dyDescent="0.25">
      <c r="A2" s="56"/>
      <c r="B2" s="63"/>
      <c r="H2" s="86"/>
      <c r="I2" s="86"/>
      <c r="J2" s="86"/>
    </row>
    <row r="3" spans="1:13" s="55" customFormat="1" ht="37.5" customHeight="1" x14ac:dyDescent="0.25">
      <c r="A3" s="56"/>
      <c r="B3" s="63"/>
      <c r="H3" s="86"/>
      <c r="I3" s="86"/>
      <c r="J3" s="86"/>
    </row>
    <row r="4" spans="1:13" s="55" customFormat="1" ht="11.25" customHeight="1" x14ac:dyDescent="0.25">
      <c r="A4" s="56"/>
      <c r="B4" s="63"/>
      <c r="E4" s="65"/>
      <c r="H4" s="86"/>
      <c r="I4" s="86"/>
      <c r="J4" s="86"/>
    </row>
    <row r="5" spans="1:13" s="55" customFormat="1" ht="22.5" x14ac:dyDescent="0.25">
      <c r="A5" s="56"/>
      <c r="B5" s="65"/>
      <c r="C5" s="51"/>
      <c r="D5" s="51"/>
      <c r="F5" s="69" t="s">
        <v>10</v>
      </c>
      <c r="G5" s="69"/>
      <c r="H5" s="86"/>
      <c r="I5" s="174"/>
      <c r="J5" s="175"/>
      <c r="K5" s="176"/>
    </row>
    <row r="6" spans="1:13" s="55" customFormat="1" x14ac:dyDescent="0.25">
      <c r="A6" s="56" t="s">
        <v>13</v>
      </c>
      <c r="F6" s="56" t="str">
        <f>'GIA CONG ACRYLIC'!G6</f>
        <v>Ngày 23 tháng 6 năm 2026</v>
      </c>
      <c r="G6" s="56"/>
      <c r="H6" s="86"/>
      <c r="I6" s="177"/>
      <c r="J6" s="178"/>
      <c r="K6" s="179"/>
    </row>
    <row r="7" spans="1:13" s="55" customFormat="1" x14ac:dyDescent="0.25">
      <c r="A7" s="56"/>
      <c r="F7" s="56" t="str">
        <f>'GIA CONG ACRYLIC'!G7</f>
        <v xml:space="preserve">Số phiếu: </v>
      </c>
      <c r="G7" s="56" t="str">
        <f>'GIA CONG ACRYLIC'!H7</f>
        <v>L3287</v>
      </c>
      <c r="H7" s="86"/>
      <c r="I7" s="177"/>
      <c r="J7" s="178"/>
      <c r="K7" s="179"/>
    </row>
    <row r="8" spans="1:13" s="55" customFormat="1" x14ac:dyDescent="0.25">
      <c r="B8" s="63" t="str">
        <f>'GIA CONG ACRYLIC'!C8</f>
        <v>Khách hàng: KH0457D - Anh Giang Kle (Chinh)</v>
      </c>
      <c r="H8" s="86"/>
      <c r="I8" s="177"/>
      <c r="J8" s="178"/>
      <c r="K8" s="179"/>
    </row>
    <row r="9" spans="1:13" s="55" customFormat="1" x14ac:dyDescent="0.25">
      <c r="B9" s="63" t="str">
        <f>'GIA CONG ACRYLIC'!C9</f>
        <v>Địa chỉ: TT Đô Lương 0929903777 - 0989998060</v>
      </c>
      <c r="H9" s="86"/>
      <c r="I9" s="180"/>
      <c r="J9" s="181"/>
      <c r="K9" s="182"/>
    </row>
    <row r="10" spans="1:13" s="55" customFormat="1" x14ac:dyDescent="0.25">
      <c r="B10" s="63" t="s">
        <v>14</v>
      </c>
      <c r="H10" s="86"/>
      <c r="I10" s="86"/>
      <c r="J10" s="86"/>
      <c r="K10" s="64"/>
    </row>
    <row r="11" spans="1:13" s="56" customFormat="1" ht="33" customHeight="1" x14ac:dyDescent="0.25">
      <c r="A11" s="192" t="s">
        <v>0</v>
      </c>
      <c r="B11" s="192" t="s">
        <v>2</v>
      </c>
      <c r="C11" s="187" t="s">
        <v>21</v>
      </c>
      <c r="D11" s="188"/>
      <c r="E11" s="189" t="s">
        <v>15</v>
      </c>
      <c r="F11" s="189" t="s">
        <v>33</v>
      </c>
      <c r="G11" s="189" t="s">
        <v>34</v>
      </c>
      <c r="H11" s="183" t="s">
        <v>12</v>
      </c>
      <c r="I11" s="183" t="s">
        <v>17</v>
      </c>
      <c r="J11" s="183" t="s">
        <v>11</v>
      </c>
      <c r="K11" s="185" t="s">
        <v>1</v>
      </c>
    </row>
    <row r="12" spans="1:13" s="56" customFormat="1" ht="42.75" x14ac:dyDescent="0.25">
      <c r="A12" s="193"/>
      <c r="B12" s="193"/>
      <c r="C12" s="77" t="str">
        <f>'GIA CONG ACRYLIC'!D12</f>
        <v xml:space="preserve">Cao (chiều vân gỗ) </v>
      </c>
      <c r="D12" s="76" t="s">
        <v>22</v>
      </c>
      <c r="E12" s="190"/>
      <c r="F12" s="190"/>
      <c r="G12" s="190"/>
      <c r="H12" s="184"/>
      <c r="I12" s="184"/>
      <c r="J12" s="184"/>
      <c r="K12" s="186"/>
    </row>
    <row r="13" spans="1:13" s="55" customFormat="1" ht="21" customHeight="1" x14ac:dyDescent="0.25">
      <c r="A13" s="7" t="s">
        <v>9</v>
      </c>
      <c r="B13" s="8" t="s">
        <v>23</v>
      </c>
      <c r="C13" s="8"/>
      <c r="D13" s="9"/>
      <c r="E13" s="80">
        <f>SUM(E14:E32)</f>
        <v>19</v>
      </c>
      <c r="F13" s="80"/>
      <c r="G13" s="80"/>
      <c r="H13" s="10">
        <f t="shared" ref="H13:J13" si="0">SUM(H14:H32)</f>
        <v>39.347000000000001</v>
      </c>
      <c r="I13" s="10">
        <f t="shared" si="0"/>
        <v>4.5470000000000006</v>
      </c>
      <c r="J13" s="10">
        <f t="shared" si="0"/>
        <v>3.5704509999999998</v>
      </c>
      <c r="K13" s="70"/>
    </row>
    <row r="14" spans="1:13" ht="58.5" customHeight="1" x14ac:dyDescent="0.25">
      <c r="A14" s="11">
        <f>'GIA CONG ACRYLIC'!A14</f>
        <v>1</v>
      </c>
      <c r="B14" s="18" t="str">
        <f>'GIA CONG ACRYLIC'!C14</f>
        <v>Cốt MDF, 1 mặt Acrylic GV26 nhũ chống xước cao, 1 mặt acrylic chống cong vênh trắng bóng</v>
      </c>
      <c r="C14" s="99">
        <f>'GIA CONG ACRYLIC'!D14</f>
        <v>732</v>
      </c>
      <c r="D14" s="99">
        <f>'GIA CONG ACRYLIC'!E14</f>
        <v>435</v>
      </c>
      <c r="E14" s="99">
        <f>'GIA CONG ACRYLIC'!F14</f>
        <v>1</v>
      </c>
      <c r="F14" s="81" t="str">
        <f>'GIA CONG ACRYLIC'!G14</f>
        <v>Vát 435</v>
      </c>
      <c r="G14" s="81">
        <f>'GIA CONG ACRYLIC'!H14</f>
        <v>0</v>
      </c>
      <c r="H14" s="119">
        <f>(C14+D14)*2*E14/1000-I14</f>
        <v>1.899</v>
      </c>
      <c r="I14" s="119">
        <f>'GIA CONG ACRYLIC'!N14*E14/1000</f>
        <v>0.435</v>
      </c>
      <c r="J14" s="119">
        <f>C14*D14*E14/1000000</f>
        <v>0.31841999999999998</v>
      </c>
      <c r="K14" s="25" t="str">
        <f>'GIA CONG ACRYLIC'!M14</f>
        <v>tủ dưới  phải Cánh Phải-</v>
      </c>
      <c r="L14" s="78"/>
      <c r="M14" s="67"/>
    </row>
    <row r="15" spans="1:13" ht="24.75" customHeight="1" x14ac:dyDescent="0.25">
      <c r="A15" s="11">
        <f>'GIA CONG ACRYLIC'!A15</f>
        <v>2</v>
      </c>
      <c r="B15" s="18">
        <f>'GIA CONG ACRYLIC'!C15</f>
        <v>0</v>
      </c>
      <c r="C15" s="99">
        <f>'GIA CONG ACRYLIC'!D15</f>
        <v>732</v>
      </c>
      <c r="D15" s="99">
        <f>'GIA CONG ACRYLIC'!E15</f>
        <v>435</v>
      </c>
      <c r="E15" s="99">
        <f>'GIA CONG ACRYLIC'!F15</f>
        <v>1</v>
      </c>
      <c r="F15" s="81" t="str">
        <f>'GIA CONG ACRYLIC'!G15</f>
        <v>Vát 435</v>
      </c>
      <c r="G15" s="81">
        <f>'GIA CONG ACRYLIC'!H15</f>
        <v>0</v>
      </c>
      <c r="H15" s="119">
        <f t="shared" ref="H15:H34" si="1">(C15+D15)*2*E15/1000-I15</f>
        <v>1.899</v>
      </c>
      <c r="I15" s="119">
        <f>'GIA CONG ACRYLIC'!N15*E15/1000</f>
        <v>0.435</v>
      </c>
      <c r="J15" s="119">
        <f t="shared" ref="J15:J34" si="2">C15*D15*E15/1000000</f>
        <v>0.31841999999999998</v>
      </c>
      <c r="K15" s="25" t="str">
        <f>'GIA CONG ACRYLIC'!M15</f>
        <v>tủ dưới  phải Cánh Trái-</v>
      </c>
      <c r="L15" s="78"/>
      <c r="M15" s="67"/>
    </row>
    <row r="16" spans="1:13" ht="24.75" customHeight="1" x14ac:dyDescent="0.25">
      <c r="A16" s="11">
        <f>'GIA CONG ACRYLIC'!A16</f>
        <v>3</v>
      </c>
      <c r="B16" s="18">
        <f>'GIA CONG ACRYLIC'!C16</f>
        <v>0</v>
      </c>
      <c r="C16" s="99">
        <f>'GIA CONG ACRYLIC'!D16</f>
        <v>2182</v>
      </c>
      <c r="D16" s="99">
        <f>'GIA CONG ACRYLIC'!E16</f>
        <v>80</v>
      </c>
      <c r="E16" s="99">
        <f>'GIA CONG ACRYLIC'!F16</f>
        <v>1</v>
      </c>
      <c r="F16" s="81">
        <f>'GIA CONG ACRYLIC'!G16</f>
        <v>0</v>
      </c>
      <c r="G16" s="81">
        <f>'GIA CONG ACRYLIC'!H16</f>
        <v>0</v>
      </c>
      <c r="H16" s="119">
        <f t="shared" si="1"/>
        <v>4.524</v>
      </c>
      <c r="I16" s="119">
        <f>'GIA CONG ACRYLIC'!N16*E16/1000</f>
        <v>0</v>
      </c>
      <c r="J16" s="119">
        <f t="shared" si="2"/>
        <v>0.17455999999999999</v>
      </c>
      <c r="K16" s="25" t="str">
        <f>'GIA CONG ACRYLIC'!M16</f>
        <v>tủ dưới phải xà trên</v>
      </c>
      <c r="L16" s="78"/>
      <c r="M16" s="67"/>
    </row>
    <row r="17" spans="1:13" ht="24.75" customHeight="1" x14ac:dyDescent="0.25">
      <c r="A17" s="11">
        <f>'GIA CONG ACRYLIC'!A17</f>
        <v>4</v>
      </c>
      <c r="B17" s="18">
        <f>'GIA CONG ACRYLIC'!C17</f>
        <v>0</v>
      </c>
      <c r="C17" s="99">
        <f>'GIA CONG ACRYLIC'!D17</f>
        <v>800</v>
      </c>
      <c r="D17" s="99">
        <f>'GIA CONG ACRYLIC'!E17</f>
        <v>50</v>
      </c>
      <c r="E17" s="99">
        <f>'GIA CONG ACRYLIC'!F17</f>
        <v>1</v>
      </c>
      <c r="F17" s="81">
        <f>'GIA CONG ACRYLIC'!G17</f>
        <v>0</v>
      </c>
      <c r="G17" s="81">
        <f>'GIA CONG ACRYLIC'!H17</f>
        <v>0</v>
      </c>
      <c r="H17" s="119">
        <f t="shared" si="1"/>
        <v>1.7</v>
      </c>
      <c r="I17" s="119">
        <f>'GIA CONG ACRYLIC'!N17*E17/1000</f>
        <v>0</v>
      </c>
      <c r="J17" s="119">
        <f t="shared" si="2"/>
        <v>0.04</v>
      </c>
      <c r="K17" s="25" t="str">
        <f>'GIA CONG ACRYLIC'!M17</f>
        <v>tủ dưới trái  Xà</v>
      </c>
      <c r="L17" s="78"/>
      <c r="M17" s="67"/>
    </row>
    <row r="18" spans="1:13" ht="24.75" customHeight="1" x14ac:dyDescent="0.25">
      <c r="A18" s="11">
        <f>'GIA CONG ACRYLIC'!A18</f>
        <v>5</v>
      </c>
      <c r="B18" s="18">
        <f>'GIA CONG ACRYLIC'!C18</f>
        <v>0</v>
      </c>
      <c r="C18" s="99">
        <f>'GIA CONG ACRYLIC'!D18</f>
        <v>1597</v>
      </c>
      <c r="D18" s="99">
        <f>'GIA CONG ACRYLIC'!E18</f>
        <v>80</v>
      </c>
      <c r="E18" s="99">
        <f>'GIA CONG ACRYLIC'!F18</f>
        <v>1</v>
      </c>
      <c r="F18" s="81">
        <f>'GIA CONG ACRYLIC'!G18</f>
        <v>0</v>
      </c>
      <c r="G18" s="81">
        <f>'GIA CONG ACRYLIC'!H18</f>
        <v>0</v>
      </c>
      <c r="H18" s="119">
        <f t="shared" si="1"/>
        <v>3.3540000000000001</v>
      </c>
      <c r="I18" s="119">
        <f>'GIA CONG ACRYLIC'!N18*E18/1000</f>
        <v>0</v>
      </c>
      <c r="J18" s="119">
        <f t="shared" si="2"/>
        <v>0.12776000000000001</v>
      </c>
      <c r="K18" s="25" t="str">
        <f>'GIA CONG ACRYLIC'!M18</f>
        <v>tủ dưới trái xà trên</v>
      </c>
      <c r="L18" s="78"/>
      <c r="M18" s="67"/>
    </row>
    <row r="19" spans="1:13" ht="24.75" customHeight="1" x14ac:dyDescent="0.25">
      <c r="A19" s="11">
        <f>'GIA CONG ACRYLIC'!A19</f>
        <v>6</v>
      </c>
      <c r="B19" s="18">
        <f>'GIA CONG ACRYLIC'!C19</f>
        <v>0</v>
      </c>
      <c r="C19" s="99">
        <f>'GIA CONG ACRYLIC'!D19</f>
        <v>303</v>
      </c>
      <c r="D19" s="99">
        <f>'GIA CONG ACRYLIC'!E19</f>
        <v>546</v>
      </c>
      <c r="E19" s="99">
        <f>'GIA CONG ACRYLIC'!F19</f>
        <v>1</v>
      </c>
      <c r="F19" s="81" t="str">
        <f>'GIA CONG ACRYLIC'!G19</f>
        <v>Vát 546</v>
      </c>
      <c r="G19" s="81">
        <f>'GIA CONG ACRYLIC'!H19</f>
        <v>0</v>
      </c>
      <c r="H19" s="119">
        <f t="shared" si="1"/>
        <v>1.1519999999999999</v>
      </c>
      <c r="I19" s="119">
        <f>'GIA CONG ACRYLIC'!N19*E19/1000</f>
        <v>0.54600000000000004</v>
      </c>
      <c r="J19" s="119">
        <f t="shared" si="2"/>
        <v>0.165438</v>
      </c>
      <c r="K19" s="25" t="str">
        <f>'GIA CONG ACRYLIC'!M19</f>
        <v>tủ đồ khô Mặt Hộc</v>
      </c>
      <c r="L19" s="78"/>
      <c r="M19" s="67"/>
    </row>
    <row r="20" spans="1:13" ht="24.75" customHeight="1" x14ac:dyDescent="0.25">
      <c r="A20" s="11">
        <f>'GIA CONG ACRYLIC'!A20</f>
        <v>7</v>
      </c>
      <c r="B20" s="18">
        <f>'GIA CONG ACRYLIC'!C20</f>
        <v>0</v>
      </c>
      <c r="C20" s="99">
        <f>'GIA CONG ACRYLIC'!D20</f>
        <v>296</v>
      </c>
      <c r="D20" s="99">
        <f>'GIA CONG ACRYLIC'!E20</f>
        <v>546</v>
      </c>
      <c r="E20" s="99">
        <f>'GIA CONG ACRYLIC'!F20</f>
        <v>1</v>
      </c>
      <c r="F20" s="81" t="str">
        <f>'GIA CONG ACRYLIC'!G20</f>
        <v>Vát 546</v>
      </c>
      <c r="G20" s="81">
        <f>'GIA CONG ACRYLIC'!H20</f>
        <v>0</v>
      </c>
      <c r="H20" s="119">
        <f t="shared" si="1"/>
        <v>1.1379999999999999</v>
      </c>
      <c r="I20" s="119">
        <f>'GIA CONG ACRYLIC'!N20*E20/1000</f>
        <v>0.54600000000000004</v>
      </c>
      <c r="J20" s="119">
        <f t="shared" si="2"/>
        <v>0.16161600000000001</v>
      </c>
      <c r="K20" s="25" t="str">
        <f>'GIA CONG ACRYLIC'!M20</f>
        <v>tủ đồ khô Mặt Hộc</v>
      </c>
      <c r="L20" s="78"/>
      <c r="M20" s="67"/>
    </row>
    <row r="21" spans="1:13" ht="24.75" customHeight="1" x14ac:dyDescent="0.25">
      <c r="A21" s="11">
        <f>'GIA CONG ACRYLIC'!A21</f>
        <v>8</v>
      </c>
      <c r="B21" s="18">
        <f>'GIA CONG ACRYLIC'!C21</f>
        <v>0</v>
      </c>
      <c r="C21" s="99">
        <f>'GIA CONG ACRYLIC'!D21</f>
        <v>564</v>
      </c>
      <c r="D21" s="99">
        <f>'GIA CONG ACRYLIC'!E21</f>
        <v>50</v>
      </c>
      <c r="E21" s="99">
        <f>'GIA CONG ACRYLIC'!F21</f>
        <v>1</v>
      </c>
      <c r="F21" s="81">
        <f>'GIA CONG ACRYLIC'!G21</f>
        <v>0</v>
      </c>
      <c r="G21" s="81">
        <f>'GIA CONG ACRYLIC'!H21</f>
        <v>0</v>
      </c>
      <c r="H21" s="119">
        <f t="shared" si="1"/>
        <v>1.228</v>
      </c>
      <c r="I21" s="119">
        <f>'GIA CONG ACRYLIC'!N21*E21/1000</f>
        <v>0</v>
      </c>
      <c r="J21" s="119">
        <f t="shared" si="2"/>
        <v>2.8199999999999999E-2</v>
      </c>
      <c r="K21" s="25" t="str">
        <f>'GIA CONG ACRYLIC'!M21</f>
        <v>tủ đồ khô Xà</v>
      </c>
    </row>
    <row r="22" spans="1:13" ht="24.75" customHeight="1" x14ac:dyDescent="0.25">
      <c r="A22" s="11">
        <f>'GIA CONG ACRYLIC'!A22</f>
        <v>9</v>
      </c>
      <c r="B22" s="18">
        <f>'GIA CONG ACRYLIC'!C22</f>
        <v>0</v>
      </c>
      <c r="C22" s="99">
        <f>'GIA CONG ACRYLIC'!D22</f>
        <v>564</v>
      </c>
      <c r="D22" s="99">
        <f>'GIA CONG ACRYLIC'!E22</f>
        <v>50</v>
      </c>
      <c r="E22" s="99">
        <f>'GIA CONG ACRYLIC'!F22</f>
        <v>1</v>
      </c>
      <c r="F22" s="81">
        <f>'GIA CONG ACRYLIC'!G22</f>
        <v>0</v>
      </c>
      <c r="G22" s="81">
        <f>'GIA CONG ACRYLIC'!H22</f>
        <v>0</v>
      </c>
      <c r="H22" s="119">
        <f t="shared" si="1"/>
        <v>1.228</v>
      </c>
      <c r="I22" s="119">
        <f>'GIA CONG ACRYLIC'!N22*E22/1000</f>
        <v>0</v>
      </c>
      <c r="J22" s="119">
        <f t="shared" si="2"/>
        <v>2.8199999999999999E-2</v>
      </c>
      <c r="K22" s="25" t="str">
        <f>'GIA CONG ACRYLIC'!M22</f>
        <v>tủ đồ khô Xà</v>
      </c>
    </row>
    <row r="23" spans="1:13" ht="24.75" customHeight="1" x14ac:dyDescent="0.25">
      <c r="A23" s="11">
        <f>'GIA CONG ACRYLIC'!A23</f>
        <v>10</v>
      </c>
      <c r="B23" s="18">
        <f>'GIA CONG ACRYLIC'!C23</f>
        <v>0</v>
      </c>
      <c r="C23" s="99">
        <f>'GIA CONG ACRYLIC'!D23</f>
        <v>834</v>
      </c>
      <c r="D23" s="99">
        <f>'GIA CONG ACRYLIC'!E23</f>
        <v>70</v>
      </c>
      <c r="E23" s="99">
        <f>'GIA CONG ACRYLIC'!F23</f>
        <v>1</v>
      </c>
      <c r="F23" s="81">
        <f>'GIA CONG ACRYLIC'!G23</f>
        <v>0</v>
      </c>
      <c r="G23" s="81">
        <f>'GIA CONG ACRYLIC'!H23</f>
        <v>0</v>
      </c>
      <c r="H23" s="119">
        <f t="shared" si="1"/>
        <v>1.8080000000000001</v>
      </c>
      <c r="I23" s="119">
        <f>'GIA CONG ACRYLIC'!N23*E23/1000</f>
        <v>0</v>
      </c>
      <c r="J23" s="119">
        <f t="shared" si="2"/>
        <v>5.8380000000000001E-2</v>
      </c>
      <c r="K23" s="25" t="str">
        <f>'GIA CONG ACRYLIC'!M23</f>
        <v>tủ dưới  phải  dưới Xà</v>
      </c>
    </row>
    <row r="24" spans="1:13" ht="24.75" customHeight="1" x14ac:dyDescent="0.25">
      <c r="A24" s="11">
        <f>'GIA CONG ACRYLIC'!A24</f>
        <v>11</v>
      </c>
      <c r="B24" s="18">
        <f>'GIA CONG ACRYLIC'!C24</f>
        <v>0</v>
      </c>
      <c r="C24" s="99">
        <f>'GIA CONG ACRYLIC'!D24</f>
        <v>733</v>
      </c>
      <c r="D24" s="99">
        <f>'GIA CONG ACRYLIC'!E24</f>
        <v>315</v>
      </c>
      <c r="E24" s="99">
        <f>'GIA CONG ACRYLIC'!F24</f>
        <v>1</v>
      </c>
      <c r="F24" s="81" t="str">
        <f>'GIA CONG ACRYLIC'!G24</f>
        <v>Vát 315</v>
      </c>
      <c r="G24" s="81">
        <f>'GIA CONG ACRYLIC'!H24</f>
        <v>0</v>
      </c>
      <c r="H24" s="119">
        <f t="shared" si="1"/>
        <v>1.7810000000000001</v>
      </c>
      <c r="I24" s="119">
        <f>'GIA CONG ACRYLIC'!N24*E24/1000</f>
        <v>0.315</v>
      </c>
      <c r="J24" s="119">
        <f t="shared" si="2"/>
        <v>0.23089499999999999</v>
      </c>
      <c r="K24" s="25" t="str">
        <f>'GIA CONG ACRYLIC'!M24</f>
        <v>tủ dưới  phải Mặt Hộc</v>
      </c>
    </row>
    <row r="25" spans="1:13" ht="24.75" customHeight="1" x14ac:dyDescent="0.25">
      <c r="A25" s="11">
        <f>'GIA CONG ACRYLIC'!A25</f>
        <v>12</v>
      </c>
      <c r="B25" s="18">
        <f>'GIA CONG ACRYLIC'!C25</f>
        <v>0</v>
      </c>
      <c r="C25" s="99">
        <f>'GIA CONG ACRYLIC'!D25</f>
        <v>1492</v>
      </c>
      <c r="D25" s="99">
        <f>'GIA CONG ACRYLIC'!E25</f>
        <v>100</v>
      </c>
      <c r="E25" s="99">
        <f>'GIA CONG ACRYLIC'!F25</f>
        <v>1</v>
      </c>
      <c r="F25" s="81">
        <f>'GIA CONG ACRYLIC'!G25</f>
        <v>0</v>
      </c>
      <c r="G25" s="81">
        <f>'GIA CONG ACRYLIC'!H25</f>
        <v>0</v>
      </c>
      <c r="H25" s="119">
        <f t="shared" si="1"/>
        <v>3.1840000000000002</v>
      </c>
      <c r="I25" s="119">
        <f>'GIA CONG ACRYLIC'!N25*E25/1000</f>
        <v>0</v>
      </c>
      <c r="J25" s="119">
        <f t="shared" si="2"/>
        <v>0.1492</v>
      </c>
      <c r="K25" s="25" t="str">
        <f>'GIA CONG ACRYLIC'!M25</f>
        <v>tủ dưới phải xà chân trước</v>
      </c>
    </row>
    <row r="26" spans="1:13" ht="24.75" customHeight="1" x14ac:dyDescent="0.25">
      <c r="A26" s="11">
        <f>'GIA CONG ACRYLIC'!A26</f>
        <v>13</v>
      </c>
      <c r="B26" s="18">
        <f>'GIA CONG ACRYLIC'!C26</f>
        <v>0</v>
      </c>
      <c r="C26" s="99">
        <f>'GIA CONG ACRYLIC'!D26</f>
        <v>835</v>
      </c>
      <c r="D26" s="99">
        <f>'GIA CONG ACRYLIC'!E26</f>
        <v>600</v>
      </c>
      <c r="E26" s="99">
        <f>'GIA CONG ACRYLIC'!F26</f>
        <v>1</v>
      </c>
      <c r="F26" s="81">
        <f>'GIA CONG ACRYLIC'!G26</f>
        <v>0</v>
      </c>
      <c r="G26" s="81">
        <f>'GIA CONG ACRYLIC'!H26</f>
        <v>0</v>
      </c>
      <c r="H26" s="119">
        <f t="shared" si="1"/>
        <v>2.87</v>
      </c>
      <c r="I26" s="119">
        <f>'GIA CONG ACRYLIC'!N26*E26/1000</f>
        <v>0</v>
      </c>
      <c r="J26" s="119">
        <f t="shared" si="2"/>
        <v>0.501</v>
      </c>
      <c r="K26" s="25" t="str">
        <f>'GIA CONG ACRYLIC'!M26</f>
        <v>tủ dưới trái</v>
      </c>
    </row>
    <row r="27" spans="1:13" ht="24.75" customHeight="1" x14ac:dyDescent="0.25">
      <c r="A27" s="11">
        <f>'GIA CONG ACRYLIC'!A27</f>
        <v>14</v>
      </c>
      <c r="B27" s="18">
        <f>'GIA CONG ACRYLIC'!C27</f>
        <v>0</v>
      </c>
      <c r="C27" s="99">
        <f>'GIA CONG ACRYLIC'!D27</f>
        <v>354</v>
      </c>
      <c r="D27" s="99">
        <f>'GIA CONG ACRYLIC'!E27</f>
        <v>781</v>
      </c>
      <c r="E27" s="99">
        <f>'GIA CONG ACRYLIC'!F27</f>
        <v>1</v>
      </c>
      <c r="F27" s="81" t="str">
        <f>'GIA CONG ACRYLIC'!G27</f>
        <v>Vát 781</v>
      </c>
      <c r="G27" s="81">
        <f>'GIA CONG ACRYLIC'!H27</f>
        <v>0</v>
      </c>
      <c r="H27" s="119">
        <f t="shared" si="1"/>
        <v>1.4889999999999999</v>
      </c>
      <c r="I27" s="119">
        <f>'GIA CONG ACRYLIC'!N27*E27/1000</f>
        <v>0.78100000000000003</v>
      </c>
      <c r="J27" s="119">
        <f t="shared" si="2"/>
        <v>0.276474</v>
      </c>
      <c r="K27" s="25" t="str">
        <f>'GIA CONG ACRYLIC'!M27</f>
        <v>tủ dưới trái  Cánh Phải-</v>
      </c>
    </row>
    <row r="28" spans="1:13" ht="24.75" customHeight="1" x14ac:dyDescent="0.25">
      <c r="A28" s="11">
        <f>'GIA CONG ACRYLIC'!A28</f>
        <v>15</v>
      </c>
      <c r="B28" s="18">
        <f>'GIA CONG ACRYLIC'!C28</f>
        <v>0</v>
      </c>
      <c r="C28" s="99">
        <f>'GIA CONG ACRYLIC'!D28</f>
        <v>354</v>
      </c>
      <c r="D28" s="99">
        <f>'GIA CONG ACRYLIC'!E28</f>
        <v>781</v>
      </c>
      <c r="E28" s="99">
        <f>'GIA CONG ACRYLIC'!F28</f>
        <v>1</v>
      </c>
      <c r="F28" s="81" t="str">
        <f>'GIA CONG ACRYLIC'!G28</f>
        <v>Vát 781</v>
      </c>
      <c r="G28" s="81">
        <f>'GIA CONG ACRYLIC'!H28</f>
        <v>0</v>
      </c>
      <c r="H28" s="119">
        <f t="shared" si="1"/>
        <v>1.4889999999999999</v>
      </c>
      <c r="I28" s="119">
        <f>'GIA CONG ACRYLIC'!N28*E28/1000</f>
        <v>0.78100000000000003</v>
      </c>
      <c r="J28" s="119">
        <f t="shared" si="2"/>
        <v>0.276474</v>
      </c>
      <c r="K28" s="25" t="str">
        <f>'GIA CONG ACRYLIC'!M28</f>
        <v>tủ dưới trái  Cánh Trái-</v>
      </c>
    </row>
    <row r="29" spans="1:13" ht="24.75" customHeight="1" x14ac:dyDescent="0.25">
      <c r="A29" s="11">
        <f>'GIA CONG ACRYLIC'!A29</f>
        <v>16</v>
      </c>
      <c r="B29" s="18">
        <f>'GIA CONG ACRYLIC'!C29</f>
        <v>0</v>
      </c>
      <c r="C29" s="99">
        <f>'GIA CONG ACRYLIC'!D29</f>
        <v>733</v>
      </c>
      <c r="D29" s="99">
        <f>'GIA CONG ACRYLIC'!E29</f>
        <v>377</v>
      </c>
      <c r="E29" s="99">
        <f>'GIA CONG ACRYLIC'!F29</f>
        <v>1</v>
      </c>
      <c r="F29" s="81" t="str">
        <f>'GIA CONG ACRYLIC'!G29</f>
        <v>Vát 377</v>
      </c>
      <c r="G29" s="81">
        <f>'GIA CONG ACRYLIC'!H29</f>
        <v>0</v>
      </c>
      <c r="H29" s="119">
        <f t="shared" si="1"/>
        <v>1.8430000000000002</v>
      </c>
      <c r="I29" s="119">
        <f>'GIA CONG ACRYLIC'!N29*E29/1000</f>
        <v>0.377</v>
      </c>
      <c r="J29" s="119">
        <f t="shared" si="2"/>
        <v>0.276341</v>
      </c>
      <c r="K29" s="25" t="str">
        <f>'GIA CONG ACRYLIC'!M29</f>
        <v>tủ dưới trái  Cánh phải-</v>
      </c>
    </row>
    <row r="30" spans="1:13" ht="24.75" customHeight="1" x14ac:dyDescent="0.25">
      <c r="A30" s="11">
        <f>'GIA CONG ACRYLIC'!A30</f>
        <v>17</v>
      </c>
      <c r="B30" s="18">
        <f>'GIA CONG ACRYLIC'!C30</f>
        <v>0</v>
      </c>
      <c r="C30" s="99">
        <f>'GIA CONG ACRYLIC'!D30</f>
        <v>733</v>
      </c>
      <c r="D30" s="99">
        <f>'GIA CONG ACRYLIC'!E30</f>
        <v>331</v>
      </c>
      <c r="E30" s="99">
        <f>'GIA CONG ACRYLIC'!F30</f>
        <v>1</v>
      </c>
      <c r="F30" s="81" t="str">
        <f>'GIA CONG ACRYLIC'!G30</f>
        <v>Vát 331</v>
      </c>
      <c r="G30" s="81">
        <f>'GIA CONG ACRYLIC'!H30</f>
        <v>0</v>
      </c>
      <c r="H30" s="119">
        <f t="shared" si="1"/>
        <v>1.7970000000000002</v>
      </c>
      <c r="I30" s="119">
        <f>'GIA CONG ACRYLIC'!N30*E30/1000</f>
        <v>0.33100000000000002</v>
      </c>
      <c r="J30" s="119">
        <f t="shared" si="2"/>
        <v>0.24262300000000001</v>
      </c>
      <c r="K30" s="25" t="str">
        <f>'GIA CONG ACRYLIC'!M30</f>
        <v>tủ dưới trái  Mặt Hộc</v>
      </c>
    </row>
    <row r="31" spans="1:13" ht="24.75" customHeight="1" x14ac:dyDescent="0.25">
      <c r="A31" s="11">
        <f>'GIA CONG ACRYLIC'!A31</f>
        <v>18</v>
      </c>
      <c r="B31" s="18">
        <f>'GIA CONG ACRYLIC'!C31</f>
        <v>0</v>
      </c>
      <c r="C31" s="99">
        <f>'GIA CONG ACRYLIC'!D31</f>
        <v>735</v>
      </c>
      <c r="D31" s="99">
        <f>'GIA CONG ACRYLIC'!E31</f>
        <v>50</v>
      </c>
      <c r="E31" s="99">
        <f>'GIA CONG ACRYLIC'!F31</f>
        <v>1</v>
      </c>
      <c r="F31" s="81">
        <f>'GIA CONG ACRYLIC'!G31</f>
        <v>0</v>
      </c>
      <c r="G31" s="81">
        <f>'GIA CONG ACRYLIC'!H31</f>
        <v>0</v>
      </c>
      <c r="H31" s="119">
        <f t="shared" si="1"/>
        <v>1.57</v>
      </c>
      <c r="I31" s="119">
        <f>'GIA CONG ACRYLIC'!N31*E31/1000</f>
        <v>0</v>
      </c>
      <c r="J31" s="119">
        <f t="shared" si="2"/>
        <v>3.6749999999999998E-2</v>
      </c>
      <c r="K31" s="25" t="str">
        <f>'GIA CONG ACRYLIC'!M31</f>
        <v>tủ dưới trái  tủ bếp dưới Xà</v>
      </c>
    </row>
    <row r="32" spans="1:13" ht="24.75" customHeight="1" x14ac:dyDescent="0.25">
      <c r="A32" s="11">
        <f>'GIA CONG ACRYLIC'!A32</f>
        <v>19</v>
      </c>
      <c r="B32" s="18">
        <f>'GIA CONG ACRYLIC'!C32</f>
        <v>0</v>
      </c>
      <c r="C32" s="99">
        <f>'GIA CONG ACRYLIC'!D32</f>
        <v>1597</v>
      </c>
      <c r="D32" s="99">
        <f>'GIA CONG ACRYLIC'!E32</f>
        <v>100</v>
      </c>
      <c r="E32" s="99">
        <f>'GIA CONG ACRYLIC'!F32</f>
        <v>1</v>
      </c>
      <c r="F32" s="81">
        <f>'GIA CONG ACRYLIC'!G32</f>
        <v>0</v>
      </c>
      <c r="G32" s="81">
        <f>'GIA CONG ACRYLIC'!H32</f>
        <v>0</v>
      </c>
      <c r="H32" s="119">
        <f t="shared" si="1"/>
        <v>3.3940000000000001</v>
      </c>
      <c r="I32" s="119">
        <f>'GIA CONG ACRYLIC'!N32*E32/1000</f>
        <v>0</v>
      </c>
      <c r="J32" s="119">
        <f t="shared" si="2"/>
        <v>0.15970000000000001</v>
      </c>
      <c r="K32" s="25" t="str">
        <f>'GIA CONG ACRYLIC'!M32</f>
        <v>tủ dưới trái xà chân trước</v>
      </c>
    </row>
    <row r="33" spans="1:11" ht="21" customHeight="1" x14ac:dyDescent="0.25">
      <c r="A33" s="7" t="str">
        <f>'GIA CONG ACRYLIC'!A33</f>
        <v>II</v>
      </c>
      <c r="B33" s="151" t="str">
        <f>'GIA CONG ACRYLIC'!C33</f>
        <v>Acrylic màu 2</v>
      </c>
      <c r="C33" s="152"/>
      <c r="D33" s="152"/>
      <c r="E33" s="158">
        <f>'GIA CONG ACRYLIC'!F33</f>
        <v>31</v>
      </c>
      <c r="F33" s="153"/>
      <c r="G33" s="153"/>
      <c r="H33" s="157">
        <f>SUM(H34:H64)</f>
        <v>74.240000000000009</v>
      </c>
      <c r="I33" s="157">
        <f t="shared" ref="I33:J33" si="3">SUM(I34:I64)</f>
        <v>4.07</v>
      </c>
      <c r="J33" s="157">
        <f t="shared" si="3"/>
        <v>9.2691629999999989</v>
      </c>
      <c r="K33" s="154">
        <f>'GIA CONG ACRYLIC'!M33</f>
        <v>0</v>
      </c>
    </row>
    <row r="34" spans="1:11" ht="43.5" customHeight="1" x14ac:dyDescent="0.25">
      <c r="A34" s="11">
        <f>'GIA CONG ACRYLIC'!A34</f>
        <v>1</v>
      </c>
      <c r="B34" s="18" t="str">
        <f>'GIA CONG ACRYLIC'!C34</f>
        <v>Cốt MDF, 1 mặt Acrylic GV21, 1 mặt acrylic chống cong vênh trắng bóng</v>
      </c>
      <c r="C34" s="99">
        <f>'GIA CONG ACRYLIC'!D34</f>
        <v>800</v>
      </c>
      <c r="D34" s="99">
        <f>'GIA CONG ACRYLIC'!E34</f>
        <v>50</v>
      </c>
      <c r="E34" s="99">
        <f>'GIA CONG ACRYLIC'!F34</f>
        <v>1</v>
      </c>
      <c r="F34" s="81">
        <f>'GIA CONG ACRYLIC'!G34</f>
        <v>0</v>
      </c>
      <c r="G34" s="81">
        <f>'GIA CONG ACRYLIC'!H34</f>
        <v>0</v>
      </c>
      <c r="H34" s="119">
        <f t="shared" si="1"/>
        <v>1.7</v>
      </c>
      <c r="I34" s="119">
        <f>'GIA CONG ACRYLIC'!N34*E34/1000</f>
        <v>0</v>
      </c>
      <c r="J34" s="119">
        <f t="shared" si="2"/>
        <v>0.04</v>
      </c>
      <c r="K34" s="25" t="str">
        <f>'GIA CONG ACRYLIC'!M34</f>
        <v>tủ dưới trái Hồi-</v>
      </c>
    </row>
    <row r="35" spans="1:11" ht="24.75" customHeight="1" x14ac:dyDescent="0.25">
      <c r="A35" s="11">
        <f>'GIA CONG ACRYLIC'!A35</f>
        <v>2</v>
      </c>
      <c r="B35" s="18">
        <f>'GIA CONG ACRYLIC'!C35</f>
        <v>0</v>
      </c>
      <c r="C35" s="99">
        <f>'GIA CONG ACRYLIC'!D35</f>
        <v>703</v>
      </c>
      <c r="D35" s="99">
        <f>'GIA CONG ACRYLIC'!E35</f>
        <v>455</v>
      </c>
      <c r="E35" s="99">
        <f>'GIA CONG ACRYLIC'!F35</f>
        <v>1</v>
      </c>
      <c r="F35" s="81">
        <f>'GIA CONG ACRYLIC'!G35</f>
        <v>0</v>
      </c>
      <c r="G35" s="81">
        <f>'GIA CONG ACRYLIC'!H35</f>
        <v>0</v>
      </c>
      <c r="H35" s="119">
        <f t="shared" ref="H35:H64" si="4">(C35+D35)*2*E35/1000-I35</f>
        <v>2.3159999999999998</v>
      </c>
      <c r="I35" s="119">
        <f>'GIA CONG ACRYLIC'!N35*E35/1000</f>
        <v>0</v>
      </c>
      <c r="J35" s="119">
        <f t="shared" ref="J35:J64" si="5">C35*D35*E35/1000000</f>
        <v>0.31986500000000001</v>
      </c>
      <c r="K35" s="25" t="str">
        <f>'GIA CONG ACRYLIC'!M35</f>
        <v>tủ kịch trần phải Cánh phải-</v>
      </c>
    </row>
    <row r="36" spans="1:11" ht="24.75" customHeight="1" x14ac:dyDescent="0.25">
      <c r="A36" s="11">
        <f>'GIA CONG ACRYLIC'!A36</f>
        <v>3</v>
      </c>
      <c r="B36" s="18">
        <f>'GIA CONG ACRYLIC'!C36</f>
        <v>0</v>
      </c>
      <c r="C36" s="99">
        <f>'GIA CONG ACRYLIC'!D36</f>
        <v>705</v>
      </c>
      <c r="D36" s="99">
        <f>'GIA CONG ACRYLIC'!E36</f>
        <v>67</v>
      </c>
      <c r="E36" s="99">
        <f>'GIA CONG ACRYLIC'!F36</f>
        <v>1</v>
      </c>
      <c r="F36" s="81">
        <f>'GIA CONG ACRYLIC'!G36</f>
        <v>0</v>
      </c>
      <c r="G36" s="81">
        <f>'GIA CONG ACRYLIC'!H36</f>
        <v>0</v>
      </c>
      <c r="H36" s="119">
        <f t="shared" si="4"/>
        <v>1.544</v>
      </c>
      <c r="I36" s="119">
        <f>'GIA CONG ACRYLIC'!N36*E36/1000</f>
        <v>0</v>
      </c>
      <c r="J36" s="119">
        <f t="shared" si="5"/>
        <v>4.7234999999999999E-2</v>
      </c>
      <c r="K36" s="25" t="str">
        <f>'GIA CONG ACRYLIC'!M36</f>
        <v>tủ kịch trần phải Hồi-</v>
      </c>
    </row>
    <row r="37" spans="1:11" ht="24.75" customHeight="1" x14ac:dyDescent="0.25">
      <c r="A37" s="11">
        <f>'GIA CONG ACRYLIC'!A37</f>
        <v>4</v>
      </c>
      <c r="B37" s="18">
        <f>'GIA CONG ACRYLIC'!C37</f>
        <v>0</v>
      </c>
      <c r="C37" s="99">
        <f>'GIA CONG ACRYLIC'!D37</f>
        <v>705</v>
      </c>
      <c r="D37" s="99">
        <f>'GIA CONG ACRYLIC'!E37</f>
        <v>50</v>
      </c>
      <c r="E37" s="99">
        <f>'GIA CONG ACRYLIC'!F37</f>
        <v>1</v>
      </c>
      <c r="F37" s="81">
        <f>'GIA CONG ACRYLIC'!G37</f>
        <v>0</v>
      </c>
      <c r="G37" s="81">
        <f>'GIA CONG ACRYLIC'!H37</f>
        <v>0</v>
      </c>
      <c r="H37" s="119">
        <f t="shared" si="4"/>
        <v>1.51</v>
      </c>
      <c r="I37" s="119">
        <f>'GIA CONG ACRYLIC'!N37*E37/1000</f>
        <v>0</v>
      </c>
      <c r="J37" s="119">
        <f t="shared" si="5"/>
        <v>3.5249999999999997E-2</v>
      </c>
      <c r="K37" s="25" t="str">
        <f>'GIA CONG ACRYLIC'!M37</f>
        <v>tủ kịch trần trái Hồi-</v>
      </c>
    </row>
    <row r="38" spans="1:11" ht="24.75" customHeight="1" x14ac:dyDescent="0.25">
      <c r="A38" s="11">
        <f>'GIA CONG ACRYLIC'!A38</f>
        <v>5</v>
      </c>
      <c r="B38" s="18">
        <f>'GIA CONG ACRYLIC'!C38</f>
        <v>0</v>
      </c>
      <c r="C38" s="99">
        <f>'GIA CONG ACRYLIC'!D38</f>
        <v>800</v>
      </c>
      <c r="D38" s="99">
        <f>'GIA CONG ACRYLIC'!E38</f>
        <v>67</v>
      </c>
      <c r="E38" s="99">
        <f>'GIA CONG ACRYLIC'!F38</f>
        <v>1</v>
      </c>
      <c r="F38" s="81">
        <f>'GIA CONG ACRYLIC'!G38</f>
        <v>0</v>
      </c>
      <c r="G38" s="81">
        <f>'GIA CONG ACRYLIC'!H38</f>
        <v>0</v>
      </c>
      <c r="H38" s="119">
        <f t="shared" si="4"/>
        <v>1.734</v>
      </c>
      <c r="I38" s="119">
        <f>'GIA CONG ACRYLIC'!N38*E38/1000</f>
        <v>0</v>
      </c>
      <c r="J38" s="119">
        <f t="shared" si="5"/>
        <v>5.3600000000000002E-2</v>
      </c>
      <c r="K38" s="25" t="str">
        <f>'GIA CONG ACRYLIC'!M38</f>
        <v>tủ trên phải Hồi-</v>
      </c>
    </row>
    <row r="39" spans="1:11" ht="24.75" customHeight="1" x14ac:dyDescent="0.25">
      <c r="A39" s="11">
        <f>'GIA CONG ACRYLIC'!A39</f>
        <v>6</v>
      </c>
      <c r="B39" s="18">
        <f>'GIA CONG ACRYLIC'!C39</f>
        <v>0</v>
      </c>
      <c r="C39" s="99">
        <f>'GIA CONG ACRYLIC'!D39</f>
        <v>1565</v>
      </c>
      <c r="D39" s="99">
        <f>'GIA CONG ACRYLIC'!E39</f>
        <v>600</v>
      </c>
      <c r="E39" s="99">
        <f>'GIA CONG ACRYLIC'!F39</f>
        <v>1</v>
      </c>
      <c r="F39" s="81">
        <f>'GIA CONG ACRYLIC'!G39</f>
        <v>0</v>
      </c>
      <c r="G39" s="81">
        <f>'GIA CONG ACRYLIC'!H39</f>
        <v>0</v>
      </c>
      <c r="H39" s="119">
        <f t="shared" si="4"/>
        <v>4.33</v>
      </c>
      <c r="I39" s="119">
        <f>'GIA CONG ACRYLIC'!N39*E39/1000</f>
        <v>0</v>
      </c>
      <c r="J39" s="119">
        <f t="shared" si="5"/>
        <v>0.93899999999999995</v>
      </c>
      <c r="K39" s="25" t="str">
        <f>'GIA CONG ACRYLIC'!M39</f>
        <v>CNC như hình vẽ</v>
      </c>
    </row>
    <row r="40" spans="1:11" ht="24.75" customHeight="1" x14ac:dyDescent="0.25">
      <c r="A40" s="11">
        <f>'GIA CONG ACRYLIC'!A40</f>
        <v>7</v>
      </c>
      <c r="B40" s="18">
        <f>'GIA CONG ACRYLIC'!C40</f>
        <v>0</v>
      </c>
      <c r="C40" s="99">
        <f>'GIA CONG ACRYLIC'!D40</f>
        <v>1867</v>
      </c>
      <c r="D40" s="99">
        <f>'GIA CONG ACRYLIC'!E40</f>
        <v>548</v>
      </c>
      <c r="E40" s="99">
        <f>'GIA CONG ACRYLIC'!F40</f>
        <v>1</v>
      </c>
      <c r="F40" s="81">
        <f>'GIA CONG ACRYLIC'!G40</f>
        <v>0</v>
      </c>
      <c r="G40" s="81">
        <f>'GIA CONG ACRYLIC'!H40</f>
        <v>0</v>
      </c>
      <c r="H40" s="119">
        <f t="shared" si="4"/>
        <v>4.83</v>
      </c>
      <c r="I40" s="119">
        <f>'GIA CONG ACRYLIC'!N40*E40/1000</f>
        <v>0</v>
      </c>
      <c r="J40" s="119">
        <f t="shared" si="5"/>
        <v>1.0231159999999999</v>
      </c>
      <c r="K40" s="25" t="str">
        <f>'GIA CONG ACRYLIC'!M40</f>
        <v>tủ đồ khô Cánh phải-</v>
      </c>
    </row>
    <row r="41" spans="1:11" ht="24.75" customHeight="1" x14ac:dyDescent="0.25">
      <c r="A41" s="11">
        <f>'GIA CONG ACRYLIC'!A41</f>
        <v>8</v>
      </c>
      <c r="B41" s="18">
        <f>'GIA CONG ACRYLIC'!C41</f>
        <v>0</v>
      </c>
      <c r="C41" s="99">
        <f>'GIA CONG ACRYLIC'!D41</f>
        <v>1136</v>
      </c>
      <c r="D41" s="99">
        <f>'GIA CONG ACRYLIC'!E41</f>
        <v>470</v>
      </c>
      <c r="E41" s="99">
        <f>'GIA CONG ACRYLIC'!F41</f>
        <v>1</v>
      </c>
      <c r="F41" s="81">
        <f>'GIA CONG ACRYLIC'!G41</f>
        <v>0</v>
      </c>
      <c r="G41" s="81">
        <f>'GIA CONG ACRYLIC'!H41</f>
        <v>0</v>
      </c>
      <c r="H41" s="119">
        <f t="shared" si="4"/>
        <v>3.2120000000000002</v>
      </c>
      <c r="I41" s="119">
        <f>'GIA CONG ACRYLIC'!N41*E41/1000</f>
        <v>0</v>
      </c>
      <c r="J41" s="119">
        <f t="shared" si="5"/>
        <v>0.53391999999999995</v>
      </c>
      <c r="K41" s="25" t="str">
        <f>'GIA CONG ACRYLIC'!M41</f>
        <v>tủ lạnh Cánh Phải-</v>
      </c>
    </row>
    <row r="42" spans="1:11" x14ac:dyDescent="0.25">
      <c r="A42" s="11">
        <f>'GIA CONG ACRYLIC'!A42</f>
        <v>9</v>
      </c>
      <c r="B42" s="18">
        <f>'GIA CONG ACRYLIC'!C42</f>
        <v>0</v>
      </c>
      <c r="C42" s="99">
        <f>'GIA CONG ACRYLIC'!D42</f>
        <v>1136</v>
      </c>
      <c r="D42" s="99">
        <f>'GIA CONG ACRYLIC'!E42</f>
        <v>470</v>
      </c>
      <c r="E42" s="99">
        <f>'GIA CONG ACRYLIC'!F42</f>
        <v>1</v>
      </c>
      <c r="F42" s="81">
        <f>'GIA CONG ACRYLIC'!G42</f>
        <v>0</v>
      </c>
      <c r="G42" s="81">
        <f>'GIA CONG ACRYLIC'!H42</f>
        <v>0</v>
      </c>
      <c r="H42" s="119">
        <f t="shared" si="4"/>
        <v>3.2120000000000002</v>
      </c>
      <c r="I42" s="119">
        <f>'GIA CONG ACRYLIC'!N42*E42/1000</f>
        <v>0</v>
      </c>
      <c r="J42" s="119">
        <f t="shared" si="5"/>
        <v>0.53391999999999995</v>
      </c>
      <c r="K42" s="25" t="str">
        <f>'GIA CONG ACRYLIC'!M42</f>
        <v>tủ lạnh Cánh Trái-</v>
      </c>
    </row>
    <row r="43" spans="1:11" x14ac:dyDescent="0.25">
      <c r="A43" s="11">
        <f>'GIA CONG ACRYLIC'!A43</f>
        <v>10</v>
      </c>
      <c r="B43" s="18">
        <f>'GIA CONG ACRYLIC'!C43</f>
        <v>0</v>
      </c>
      <c r="C43" s="99">
        <f>'GIA CONG ACRYLIC'!D43</f>
        <v>397</v>
      </c>
      <c r="D43" s="99">
        <f>'GIA CONG ACRYLIC'!E43</f>
        <v>789</v>
      </c>
      <c r="E43" s="99">
        <f>'GIA CONG ACRYLIC'!F43</f>
        <v>1</v>
      </c>
      <c r="F43" s="81" t="str">
        <f>'GIA CONG ACRYLIC'!G43</f>
        <v>Vát 789</v>
      </c>
      <c r="G43" s="81">
        <f>'GIA CONG ACRYLIC'!H43</f>
        <v>0</v>
      </c>
      <c r="H43" s="119">
        <f t="shared" si="4"/>
        <v>1.5829999999999997</v>
      </c>
      <c r="I43" s="119">
        <f>'GIA CONG ACRYLIC'!N43*E43/1000</f>
        <v>0.78900000000000003</v>
      </c>
      <c r="J43" s="119">
        <f t="shared" si="5"/>
        <v>0.31323299999999998</v>
      </c>
      <c r="K43" s="25" t="str">
        <f>'GIA CONG ACRYLIC'!M43</f>
        <v>tủ trên phải Cánh Phải-</v>
      </c>
    </row>
    <row r="44" spans="1:11" x14ac:dyDescent="0.25">
      <c r="A44" s="11">
        <f>'GIA CONG ACRYLIC'!A44</f>
        <v>11</v>
      </c>
      <c r="B44" s="18">
        <f>'GIA CONG ACRYLIC'!C44</f>
        <v>0</v>
      </c>
      <c r="C44" s="99">
        <f>'GIA CONG ACRYLIC'!D44</f>
        <v>797</v>
      </c>
      <c r="D44" s="99">
        <f>'GIA CONG ACRYLIC'!E44</f>
        <v>389</v>
      </c>
      <c r="E44" s="99">
        <f>'GIA CONG ACRYLIC'!F44</f>
        <v>1</v>
      </c>
      <c r="F44" s="81" t="str">
        <f>'GIA CONG ACRYLIC'!G44</f>
        <v>Vát 389</v>
      </c>
      <c r="G44" s="81">
        <f>'GIA CONG ACRYLIC'!H44</f>
        <v>0</v>
      </c>
      <c r="H44" s="119">
        <f t="shared" si="4"/>
        <v>1.9829999999999999</v>
      </c>
      <c r="I44" s="119">
        <f>'GIA CONG ACRYLIC'!N44*E44/1000</f>
        <v>0.38900000000000001</v>
      </c>
      <c r="J44" s="119">
        <f t="shared" si="5"/>
        <v>0.310033</v>
      </c>
      <c r="K44" s="25" t="str">
        <f>'GIA CONG ACRYLIC'!M44</f>
        <v>tủ trên phải Cánh Trái-</v>
      </c>
    </row>
    <row r="45" spans="1:11" x14ac:dyDescent="0.25">
      <c r="A45" s="11">
        <f>'GIA CONG ACRYLIC'!A45</f>
        <v>12</v>
      </c>
      <c r="B45" s="18">
        <f>'GIA CONG ACRYLIC'!C45</f>
        <v>0</v>
      </c>
      <c r="C45" s="99">
        <f>'GIA CONG ACRYLIC'!D45</f>
        <v>397</v>
      </c>
      <c r="D45" s="99">
        <f>'GIA CONG ACRYLIC'!E45</f>
        <v>789</v>
      </c>
      <c r="E45" s="99">
        <f>'GIA CONG ACRYLIC'!F45</f>
        <v>1</v>
      </c>
      <c r="F45" s="81">
        <f>'GIA CONG ACRYLIC'!G45</f>
        <v>0</v>
      </c>
      <c r="G45" s="81">
        <f>'GIA CONG ACRYLIC'!H45</f>
        <v>0</v>
      </c>
      <c r="H45" s="119">
        <f t="shared" si="4"/>
        <v>2.3719999999999999</v>
      </c>
      <c r="I45" s="119">
        <f>'GIA CONG ACRYLIC'!N45*E45/1000</f>
        <v>0</v>
      </c>
      <c r="J45" s="119">
        <f t="shared" si="5"/>
        <v>0.31323299999999998</v>
      </c>
      <c r="K45" s="25" t="str">
        <f>'GIA CONG ACRYLIC'!M45</f>
        <v>tủ trên phải Cánh Trái-</v>
      </c>
    </row>
    <row r="46" spans="1:11" x14ac:dyDescent="0.25">
      <c r="A46" s="11">
        <f>'GIA CONG ACRYLIC'!A46</f>
        <v>13</v>
      </c>
      <c r="B46" s="18">
        <f>'GIA CONG ACRYLIC'!C46</f>
        <v>0</v>
      </c>
      <c r="C46" s="99">
        <f>'GIA CONG ACRYLIC'!D46</f>
        <v>702</v>
      </c>
      <c r="D46" s="99">
        <f>'GIA CONG ACRYLIC'!E46</f>
        <v>389</v>
      </c>
      <c r="E46" s="99">
        <f>'GIA CONG ACRYLIC'!F46</f>
        <v>1</v>
      </c>
      <c r="F46" s="81">
        <f>'GIA CONG ACRYLIC'!G46</f>
        <v>0</v>
      </c>
      <c r="G46" s="81">
        <f>'GIA CONG ACRYLIC'!H46</f>
        <v>0</v>
      </c>
      <c r="H46" s="119">
        <f t="shared" si="4"/>
        <v>2.1819999999999999</v>
      </c>
      <c r="I46" s="119">
        <f>'GIA CONG ACRYLIC'!N46*E46/1000</f>
        <v>0</v>
      </c>
      <c r="J46" s="119">
        <f t="shared" si="5"/>
        <v>0.27307799999999999</v>
      </c>
      <c r="K46" s="25" t="str">
        <f>'GIA CONG ACRYLIC'!M46</f>
        <v>tủ kịch trần phải Cánh Trái-</v>
      </c>
    </row>
    <row r="47" spans="1:11" x14ac:dyDescent="0.25">
      <c r="A47" s="11">
        <f>'GIA CONG ACRYLIC'!A47</f>
        <v>14</v>
      </c>
      <c r="B47" s="18">
        <f>'GIA CONG ACRYLIC'!C47</f>
        <v>0</v>
      </c>
      <c r="C47" s="99">
        <f>'GIA CONG ACRYLIC'!D47</f>
        <v>703</v>
      </c>
      <c r="D47" s="99">
        <f>'GIA CONG ACRYLIC'!E47</f>
        <v>437</v>
      </c>
      <c r="E47" s="99">
        <f>'GIA CONG ACRYLIC'!F47</f>
        <v>1</v>
      </c>
      <c r="F47" s="81">
        <f>'GIA CONG ACRYLIC'!G47</f>
        <v>0</v>
      </c>
      <c r="G47" s="81">
        <f>'GIA CONG ACRYLIC'!H47</f>
        <v>0</v>
      </c>
      <c r="H47" s="119">
        <f t="shared" si="4"/>
        <v>2.2799999999999998</v>
      </c>
      <c r="I47" s="119">
        <f>'GIA CONG ACRYLIC'!N47*E47/1000</f>
        <v>0</v>
      </c>
      <c r="J47" s="119">
        <f t="shared" si="5"/>
        <v>0.30721100000000001</v>
      </c>
      <c r="K47" s="25" t="str">
        <f>'GIA CONG ACRYLIC'!M47</f>
        <v>tủ kịch trần phải Cánh phải-</v>
      </c>
    </row>
    <row r="48" spans="1:11" x14ac:dyDescent="0.25">
      <c r="A48" s="11">
        <f>'GIA CONG ACRYLIC'!A48</f>
        <v>15</v>
      </c>
      <c r="B48" s="18">
        <f>'GIA CONG ACRYLIC'!C48</f>
        <v>0</v>
      </c>
      <c r="C48" s="99">
        <f>'GIA CONG ACRYLIC'!D48</f>
        <v>703</v>
      </c>
      <c r="D48" s="99">
        <f>'GIA CONG ACRYLIC'!E48</f>
        <v>436</v>
      </c>
      <c r="E48" s="99">
        <f>'GIA CONG ACRYLIC'!F48</f>
        <v>1</v>
      </c>
      <c r="F48" s="81">
        <f>'GIA CONG ACRYLIC'!G48</f>
        <v>0</v>
      </c>
      <c r="G48" s="81">
        <f>'GIA CONG ACRYLIC'!H48</f>
        <v>0</v>
      </c>
      <c r="H48" s="119">
        <f t="shared" si="4"/>
        <v>2.278</v>
      </c>
      <c r="I48" s="119">
        <f>'GIA CONG ACRYLIC'!N48*E48/1000</f>
        <v>0</v>
      </c>
      <c r="J48" s="119">
        <f t="shared" si="5"/>
        <v>0.306508</v>
      </c>
      <c r="K48" s="25" t="str">
        <f>'GIA CONG ACRYLIC'!M48</f>
        <v>tủ kịch trần phải Cánh phải-</v>
      </c>
    </row>
    <row r="49" spans="1:11" x14ac:dyDescent="0.25">
      <c r="A49" s="11">
        <f>'GIA CONG ACRYLIC'!A49</f>
        <v>16</v>
      </c>
      <c r="B49" s="18">
        <f>'GIA CONG ACRYLIC'!C49</f>
        <v>0</v>
      </c>
      <c r="C49" s="99">
        <f>'GIA CONG ACRYLIC'!D49</f>
        <v>703</v>
      </c>
      <c r="D49" s="99">
        <f>'GIA CONG ACRYLIC'!E49</f>
        <v>402</v>
      </c>
      <c r="E49" s="99">
        <f>'GIA CONG ACRYLIC'!F49</f>
        <v>1</v>
      </c>
      <c r="F49" s="81">
        <f>'GIA CONG ACRYLIC'!G49</f>
        <v>0</v>
      </c>
      <c r="G49" s="81">
        <f>'GIA CONG ACRYLIC'!H49</f>
        <v>0</v>
      </c>
      <c r="H49" s="119">
        <f t="shared" si="4"/>
        <v>2.21</v>
      </c>
      <c r="I49" s="119">
        <f>'GIA CONG ACRYLIC'!N49*E49/1000</f>
        <v>0</v>
      </c>
      <c r="J49" s="119">
        <f t="shared" si="5"/>
        <v>0.28260600000000002</v>
      </c>
      <c r="K49" s="25" t="str">
        <f>'GIA CONG ACRYLIC'!M49</f>
        <v>tủ kịch trần trái</v>
      </c>
    </row>
    <row r="50" spans="1:11" x14ac:dyDescent="0.25">
      <c r="A50" s="11">
        <f>'GIA CONG ACRYLIC'!A50</f>
        <v>17</v>
      </c>
      <c r="B50" s="18">
        <f>'GIA CONG ACRYLIC'!C50</f>
        <v>0</v>
      </c>
      <c r="C50" s="99">
        <f>'GIA CONG ACRYLIC'!D50</f>
        <v>397</v>
      </c>
      <c r="D50" s="99">
        <f>'GIA CONG ACRYLIC'!E50</f>
        <v>771</v>
      </c>
      <c r="E50" s="99">
        <f>'GIA CONG ACRYLIC'!F50</f>
        <v>1</v>
      </c>
      <c r="F50" s="81" t="str">
        <f>'GIA CONG ACRYLIC'!G50</f>
        <v>Vát 771</v>
      </c>
      <c r="G50" s="81">
        <f>'GIA CONG ACRYLIC'!H50</f>
        <v>0</v>
      </c>
      <c r="H50" s="119">
        <f t="shared" si="4"/>
        <v>1.5649999999999999</v>
      </c>
      <c r="I50" s="119">
        <f>'GIA CONG ACRYLIC'!N50*E50/1000</f>
        <v>0.77100000000000002</v>
      </c>
      <c r="J50" s="119">
        <f t="shared" si="5"/>
        <v>0.306087</v>
      </c>
      <c r="K50" s="25" t="str">
        <f>'GIA CONG ACRYLIC'!M50</f>
        <v>tủ trên phải Cánh Phải-</v>
      </c>
    </row>
    <row r="51" spans="1:11" x14ac:dyDescent="0.25">
      <c r="A51" s="11">
        <f>'GIA CONG ACRYLIC'!A51</f>
        <v>18</v>
      </c>
      <c r="B51" s="18">
        <f>'GIA CONG ACRYLIC'!C51</f>
        <v>0</v>
      </c>
      <c r="C51" s="99">
        <f>'GIA CONG ACRYLIC'!D51</f>
        <v>797</v>
      </c>
      <c r="D51" s="99">
        <f>'GIA CONG ACRYLIC'!E51</f>
        <v>389</v>
      </c>
      <c r="E51" s="99">
        <f>'GIA CONG ACRYLIC'!F51</f>
        <v>1</v>
      </c>
      <c r="F51" s="81" t="str">
        <f>'GIA CONG ACRYLIC'!G51</f>
        <v>Vát 389</v>
      </c>
      <c r="G51" s="81">
        <f>'GIA CONG ACRYLIC'!H51</f>
        <v>0</v>
      </c>
      <c r="H51" s="119">
        <f t="shared" si="4"/>
        <v>1.9829999999999999</v>
      </c>
      <c r="I51" s="119">
        <f>'GIA CONG ACRYLIC'!N51*E51/1000</f>
        <v>0.38900000000000001</v>
      </c>
      <c r="J51" s="119">
        <f t="shared" si="5"/>
        <v>0.310033</v>
      </c>
      <c r="K51" s="25" t="str">
        <f>'GIA CONG ACRYLIC'!M51</f>
        <v>tủ trên phải Cánh Phải-</v>
      </c>
    </row>
    <row r="52" spans="1:11" x14ac:dyDescent="0.25">
      <c r="A52" s="11">
        <f>'GIA CONG ACRYLIC'!A52</f>
        <v>19</v>
      </c>
      <c r="B52" s="18">
        <f>'GIA CONG ACRYLIC'!C52</f>
        <v>0</v>
      </c>
      <c r="C52" s="99">
        <f>'GIA CONG ACRYLIC'!D52</f>
        <v>397</v>
      </c>
      <c r="D52" s="99">
        <f>'GIA CONG ACRYLIC'!E52</f>
        <v>771</v>
      </c>
      <c r="E52" s="99">
        <f>'GIA CONG ACRYLIC'!F52</f>
        <v>1</v>
      </c>
      <c r="F52" s="81">
        <f>'GIA CONG ACRYLIC'!G52</f>
        <v>0</v>
      </c>
      <c r="G52" s="81">
        <f>'GIA CONG ACRYLIC'!H52</f>
        <v>0</v>
      </c>
      <c r="H52" s="119">
        <f t="shared" si="4"/>
        <v>2.3359999999999999</v>
      </c>
      <c r="I52" s="119">
        <f>'GIA CONG ACRYLIC'!N52*E52/1000</f>
        <v>0</v>
      </c>
      <c r="J52" s="119">
        <f t="shared" si="5"/>
        <v>0.306087</v>
      </c>
      <c r="K52" s="25" t="str">
        <f>'GIA CONG ACRYLIC'!M52</f>
        <v>tủ trên phải Cánh Trái-</v>
      </c>
    </row>
    <row r="53" spans="1:11" x14ac:dyDescent="0.25">
      <c r="A53" s="11">
        <f>'GIA CONG ACRYLIC'!A53</f>
        <v>20</v>
      </c>
      <c r="B53" s="18">
        <f>'GIA CONG ACRYLIC'!C53</f>
        <v>0</v>
      </c>
      <c r="C53" s="99">
        <f>'GIA CONG ACRYLIC'!D53</f>
        <v>749</v>
      </c>
      <c r="D53" s="99">
        <f>'GIA CONG ACRYLIC'!E53</f>
        <v>352</v>
      </c>
      <c r="E53" s="99">
        <f>'GIA CONG ACRYLIC'!F53</f>
        <v>1</v>
      </c>
      <c r="F53" s="81" t="str">
        <f>'GIA CONG ACRYLIC'!G53</f>
        <v>Vát 352</v>
      </c>
      <c r="G53" s="81">
        <f>'GIA CONG ACRYLIC'!H53</f>
        <v>0</v>
      </c>
      <c r="H53" s="119">
        <f t="shared" si="4"/>
        <v>1.85</v>
      </c>
      <c r="I53" s="119">
        <f>'GIA CONG ACRYLIC'!N53*E53/1000</f>
        <v>0.35199999999999998</v>
      </c>
      <c r="J53" s="119">
        <f t="shared" si="5"/>
        <v>0.26364799999999999</v>
      </c>
      <c r="K53" s="25" t="str">
        <f>'GIA CONG ACRYLIC'!M53</f>
        <v>tủ trên trái Cánh Phải-</v>
      </c>
    </row>
    <row r="54" spans="1:11" x14ac:dyDescent="0.25">
      <c r="A54" s="11">
        <f>'GIA CONG ACRYLIC'!A54</f>
        <v>21</v>
      </c>
      <c r="B54" s="18">
        <f>'GIA CONG ACRYLIC'!C54</f>
        <v>0</v>
      </c>
      <c r="C54" s="99">
        <f>'GIA CONG ACRYLIC'!D54</f>
        <v>749</v>
      </c>
      <c r="D54" s="99">
        <f>'GIA CONG ACRYLIC'!E54</f>
        <v>352</v>
      </c>
      <c r="E54" s="99">
        <f>'GIA CONG ACRYLIC'!F54</f>
        <v>1</v>
      </c>
      <c r="F54" s="81" t="str">
        <f>'GIA CONG ACRYLIC'!G54</f>
        <v>Vát 352</v>
      </c>
      <c r="G54" s="81">
        <f>'GIA CONG ACRYLIC'!H54</f>
        <v>0</v>
      </c>
      <c r="H54" s="119">
        <f t="shared" si="4"/>
        <v>1.85</v>
      </c>
      <c r="I54" s="119">
        <f>'GIA CONG ACRYLIC'!N54*E54/1000</f>
        <v>0.35199999999999998</v>
      </c>
      <c r="J54" s="119">
        <f t="shared" si="5"/>
        <v>0.26364799999999999</v>
      </c>
      <c r="K54" s="25" t="str">
        <f>'GIA CONG ACRYLIC'!M54</f>
        <v>tủ trên trái Cánh Trái-</v>
      </c>
    </row>
    <row r="55" spans="1:11" x14ac:dyDescent="0.25">
      <c r="A55" s="11">
        <f>'GIA CONG ACRYLIC'!A55</f>
        <v>22</v>
      </c>
      <c r="B55" s="18">
        <f>'GIA CONG ACRYLIC'!C55</f>
        <v>0</v>
      </c>
      <c r="C55" s="99">
        <f>'GIA CONG ACRYLIC'!D55</f>
        <v>702</v>
      </c>
      <c r="D55" s="99">
        <f>'GIA CONG ACRYLIC'!E55</f>
        <v>389</v>
      </c>
      <c r="E55" s="99">
        <f>'GIA CONG ACRYLIC'!F55</f>
        <v>1</v>
      </c>
      <c r="F55" s="81">
        <f>'GIA CONG ACRYLIC'!G55</f>
        <v>0</v>
      </c>
      <c r="G55" s="81">
        <f>'GIA CONG ACRYLIC'!H55</f>
        <v>0</v>
      </c>
      <c r="H55" s="119">
        <f t="shared" si="4"/>
        <v>2.1819999999999999</v>
      </c>
      <c r="I55" s="119">
        <f>'GIA CONG ACRYLIC'!N55*E55/1000</f>
        <v>0</v>
      </c>
      <c r="J55" s="119">
        <f t="shared" si="5"/>
        <v>0.27307799999999999</v>
      </c>
      <c r="K55" s="25" t="str">
        <f>'GIA CONG ACRYLIC'!M55</f>
        <v>tủ kịch trần phải Cánh Phải-</v>
      </c>
    </row>
    <row r="56" spans="1:11" x14ac:dyDescent="0.25">
      <c r="A56" s="11">
        <f>'GIA CONG ACRYLIC'!A56</f>
        <v>23</v>
      </c>
      <c r="B56" s="18">
        <f>'GIA CONG ACRYLIC'!C56</f>
        <v>0</v>
      </c>
      <c r="C56" s="99">
        <f>'GIA CONG ACRYLIC'!D56</f>
        <v>2183</v>
      </c>
      <c r="D56" s="99">
        <f>'GIA CONG ACRYLIC'!E56</f>
        <v>60</v>
      </c>
      <c r="E56" s="99">
        <f>'GIA CONG ACRYLIC'!F56</f>
        <v>1</v>
      </c>
      <c r="F56" s="81">
        <f>'GIA CONG ACRYLIC'!G56</f>
        <v>0</v>
      </c>
      <c r="G56" s="81">
        <f>'GIA CONG ACRYLIC'!H56</f>
        <v>0</v>
      </c>
      <c r="H56" s="119">
        <f t="shared" si="4"/>
        <v>4.4859999999999998</v>
      </c>
      <c r="I56" s="119">
        <f>'GIA CONG ACRYLIC'!N56*E56/1000</f>
        <v>0</v>
      </c>
      <c r="J56" s="119">
        <f t="shared" si="5"/>
        <v>0.13098000000000001</v>
      </c>
      <c r="K56" s="25" t="str">
        <f>'GIA CONG ACRYLIC'!M56</f>
        <v>tủ kịch trần phải Xà</v>
      </c>
    </row>
    <row r="57" spans="1:11" x14ac:dyDescent="0.25">
      <c r="A57" s="11">
        <f>'GIA CONG ACRYLIC'!A57</f>
        <v>24</v>
      </c>
      <c r="B57" s="18">
        <f>'GIA CONG ACRYLIC'!C57</f>
        <v>0</v>
      </c>
      <c r="C57" s="99">
        <f>'GIA CONG ACRYLIC'!D57</f>
        <v>703</v>
      </c>
      <c r="D57" s="99">
        <f>'GIA CONG ACRYLIC'!E57</f>
        <v>384</v>
      </c>
      <c r="E57" s="99">
        <f>'GIA CONG ACRYLIC'!F57</f>
        <v>1</v>
      </c>
      <c r="F57" s="81">
        <f>'GIA CONG ACRYLIC'!G57</f>
        <v>0</v>
      </c>
      <c r="G57" s="81">
        <f>'GIA CONG ACRYLIC'!H57</f>
        <v>0</v>
      </c>
      <c r="H57" s="119">
        <f t="shared" si="4"/>
        <v>2.1739999999999999</v>
      </c>
      <c r="I57" s="119">
        <f>'GIA CONG ACRYLIC'!N57*E57/1000</f>
        <v>0</v>
      </c>
      <c r="J57" s="119">
        <f t="shared" si="5"/>
        <v>0.26995200000000003</v>
      </c>
      <c r="K57" s="25" t="str">
        <f>'GIA CONG ACRYLIC'!M57</f>
        <v>tủ kịch trần trái</v>
      </c>
    </row>
    <row r="58" spans="1:11" x14ac:dyDescent="0.25">
      <c r="A58" s="11">
        <f>'GIA CONG ACRYLIC'!A58</f>
        <v>25</v>
      </c>
      <c r="B58" s="18">
        <f>'GIA CONG ACRYLIC'!C58</f>
        <v>0</v>
      </c>
      <c r="C58" s="99">
        <f>'GIA CONG ACRYLIC'!D58</f>
        <v>703</v>
      </c>
      <c r="D58" s="99">
        <f>'GIA CONG ACRYLIC'!E58</f>
        <v>384</v>
      </c>
      <c r="E58" s="99">
        <f>'GIA CONG ACRYLIC'!F58</f>
        <v>1</v>
      </c>
      <c r="F58" s="81">
        <f>'GIA CONG ACRYLIC'!G58</f>
        <v>0</v>
      </c>
      <c r="G58" s="81">
        <f>'GIA CONG ACRYLIC'!H58</f>
        <v>0</v>
      </c>
      <c r="H58" s="119">
        <f t="shared" si="4"/>
        <v>2.1739999999999999</v>
      </c>
      <c r="I58" s="119">
        <f>'GIA CONG ACRYLIC'!N58*E58/1000</f>
        <v>0</v>
      </c>
      <c r="J58" s="119">
        <f t="shared" si="5"/>
        <v>0.26995200000000003</v>
      </c>
      <c r="K58" s="25" t="str">
        <f>'GIA CONG ACRYLIC'!M58</f>
        <v>tủ kịch trần trái</v>
      </c>
    </row>
    <row r="59" spans="1:11" x14ac:dyDescent="0.25">
      <c r="A59" s="11">
        <f>'GIA CONG ACRYLIC'!A59</f>
        <v>26</v>
      </c>
      <c r="B59" s="18">
        <f>'GIA CONG ACRYLIC'!C59</f>
        <v>0</v>
      </c>
      <c r="C59" s="99">
        <f>'GIA CONG ACRYLIC'!D59</f>
        <v>703</v>
      </c>
      <c r="D59" s="99">
        <f>'GIA CONG ACRYLIC'!E59</f>
        <v>338</v>
      </c>
      <c r="E59" s="99">
        <f>'GIA CONG ACRYLIC'!F59</f>
        <v>1</v>
      </c>
      <c r="F59" s="81">
        <f>'GIA CONG ACRYLIC'!G59</f>
        <v>0</v>
      </c>
      <c r="G59" s="81">
        <f>'GIA CONG ACRYLIC'!H59</f>
        <v>0</v>
      </c>
      <c r="H59" s="119">
        <f t="shared" si="4"/>
        <v>2.0819999999999999</v>
      </c>
      <c r="I59" s="119">
        <f>'GIA CONG ACRYLIC'!N59*E59/1000</f>
        <v>0</v>
      </c>
      <c r="J59" s="119">
        <f t="shared" si="5"/>
        <v>0.23761399999999999</v>
      </c>
      <c r="K59" s="25" t="str">
        <f>'GIA CONG ACRYLIC'!M59</f>
        <v>tủ kịch trần trái</v>
      </c>
    </row>
    <row r="60" spans="1:11" x14ac:dyDescent="0.25">
      <c r="A60" s="11">
        <f>'GIA CONG ACRYLIC'!A60</f>
        <v>27</v>
      </c>
      <c r="B60" s="18">
        <f>'GIA CONG ACRYLIC'!C60</f>
        <v>0</v>
      </c>
      <c r="C60" s="99">
        <f>'GIA CONG ACRYLIC'!D60</f>
        <v>1584</v>
      </c>
      <c r="D60" s="99">
        <f>'GIA CONG ACRYLIC'!E60</f>
        <v>60</v>
      </c>
      <c r="E60" s="99">
        <f>'GIA CONG ACRYLIC'!F60</f>
        <v>1</v>
      </c>
      <c r="F60" s="81">
        <f>'GIA CONG ACRYLIC'!G60</f>
        <v>0</v>
      </c>
      <c r="G60" s="81">
        <f>'GIA CONG ACRYLIC'!H60</f>
        <v>0</v>
      </c>
      <c r="H60" s="119">
        <f t="shared" si="4"/>
        <v>3.2879999999999998</v>
      </c>
      <c r="I60" s="119">
        <f>'GIA CONG ACRYLIC'!N60*E60/1000</f>
        <v>0</v>
      </c>
      <c r="J60" s="119">
        <f t="shared" si="5"/>
        <v>9.5039999999999999E-2</v>
      </c>
      <c r="K60" s="25" t="str">
        <f>'GIA CONG ACRYLIC'!M60</f>
        <v>tủ kịch trần trái Xà</v>
      </c>
    </row>
    <row r="61" spans="1:11" x14ac:dyDescent="0.25">
      <c r="A61" s="11">
        <f>'GIA CONG ACRYLIC'!A61</f>
        <v>28</v>
      </c>
      <c r="B61" s="18">
        <f>'GIA CONG ACRYLIC'!C61</f>
        <v>0</v>
      </c>
      <c r="C61" s="99">
        <f>'GIA CONG ACRYLIC'!D61</f>
        <v>1532</v>
      </c>
      <c r="D61" s="99">
        <f>'GIA CONG ACRYLIC'!E61</f>
        <v>60</v>
      </c>
      <c r="E61" s="99">
        <f>'GIA CONG ACRYLIC'!F61</f>
        <v>1</v>
      </c>
      <c r="F61" s="81">
        <f>'GIA CONG ACRYLIC'!G61</f>
        <v>0</v>
      </c>
      <c r="G61" s="81">
        <f>'GIA CONG ACRYLIC'!H61</f>
        <v>0</v>
      </c>
      <c r="H61" s="119">
        <f t="shared" si="4"/>
        <v>3.1840000000000002</v>
      </c>
      <c r="I61" s="119">
        <f>'GIA CONG ACRYLIC'!N61*E61/1000</f>
        <v>0</v>
      </c>
      <c r="J61" s="119">
        <f t="shared" si="5"/>
        <v>9.1920000000000002E-2</v>
      </c>
      <c r="K61" s="25" t="str">
        <f>'GIA CONG ACRYLIC'!M61</f>
        <v>tủ lạnh Xà</v>
      </c>
    </row>
    <row r="62" spans="1:11" x14ac:dyDescent="0.25">
      <c r="A62" s="11">
        <f>'GIA CONG ACRYLIC'!A62</f>
        <v>29</v>
      </c>
      <c r="B62" s="18">
        <f>'GIA CONG ACRYLIC'!C62</f>
        <v>0</v>
      </c>
      <c r="C62" s="99">
        <f>'GIA CONG ACRYLIC'!D62</f>
        <v>797</v>
      </c>
      <c r="D62" s="99">
        <f>'GIA CONG ACRYLIC'!E62</f>
        <v>321</v>
      </c>
      <c r="E62" s="99">
        <f>'GIA CONG ACRYLIC'!F62</f>
        <v>1</v>
      </c>
      <c r="F62" s="81" t="str">
        <f>'GIA CONG ACRYLIC'!G62</f>
        <v>Vát 321</v>
      </c>
      <c r="G62" s="81">
        <f>'GIA CONG ACRYLIC'!H62</f>
        <v>0</v>
      </c>
      <c r="H62" s="119">
        <f t="shared" si="4"/>
        <v>1.9150000000000003</v>
      </c>
      <c r="I62" s="119">
        <f>'GIA CONG ACRYLIC'!N62*E62/1000</f>
        <v>0.32100000000000001</v>
      </c>
      <c r="J62" s="119">
        <f t="shared" si="5"/>
        <v>0.25583699999999998</v>
      </c>
      <c r="K62" s="25" t="str">
        <f>'GIA CONG ACRYLIC'!M62</f>
        <v>tủ trên trái Cánh Phải-</v>
      </c>
    </row>
    <row r="63" spans="1:11" x14ac:dyDescent="0.25">
      <c r="A63" s="11">
        <f>'GIA CONG ACRYLIC'!A63</f>
        <v>30</v>
      </c>
      <c r="B63" s="18">
        <f>'GIA CONG ACRYLIC'!C63</f>
        <v>0</v>
      </c>
      <c r="C63" s="99">
        <f>'GIA CONG ACRYLIC'!D63</f>
        <v>797</v>
      </c>
      <c r="D63" s="99">
        <f>'GIA CONG ACRYLIC'!E63</f>
        <v>321</v>
      </c>
      <c r="E63" s="99">
        <f>'GIA CONG ACRYLIC'!F63</f>
        <v>1</v>
      </c>
      <c r="F63" s="81" t="str">
        <f>'GIA CONG ACRYLIC'!G63</f>
        <v>Vát 321</v>
      </c>
      <c r="G63" s="81">
        <f>'GIA CONG ACRYLIC'!H63</f>
        <v>0</v>
      </c>
      <c r="H63" s="119">
        <f t="shared" si="4"/>
        <v>1.9150000000000003</v>
      </c>
      <c r="I63" s="119">
        <f>'GIA CONG ACRYLIC'!N63*E63/1000</f>
        <v>0.32100000000000001</v>
      </c>
      <c r="J63" s="119">
        <f t="shared" si="5"/>
        <v>0.25583699999999998</v>
      </c>
      <c r="K63" s="25" t="str">
        <f>'GIA CONG ACRYLIC'!M63</f>
        <v>tủ trên trái Cánh Trái-</v>
      </c>
    </row>
    <row r="64" spans="1:11" x14ac:dyDescent="0.25">
      <c r="A64" s="11">
        <f>'GIA CONG ACRYLIC'!A64</f>
        <v>31</v>
      </c>
      <c r="B64" s="18">
        <f>'GIA CONG ACRYLIC'!C64</f>
        <v>0</v>
      </c>
      <c r="C64" s="99">
        <f>'GIA CONG ACRYLIC'!D64</f>
        <v>797</v>
      </c>
      <c r="D64" s="99">
        <f>'GIA CONG ACRYLIC'!E64</f>
        <v>386</v>
      </c>
      <c r="E64" s="99">
        <f>'GIA CONG ACRYLIC'!F64</f>
        <v>1</v>
      </c>
      <c r="F64" s="81" t="str">
        <f>'GIA CONG ACRYLIC'!G64</f>
        <v>Vát 386</v>
      </c>
      <c r="G64" s="81">
        <f>'GIA CONG ACRYLIC'!H64</f>
        <v>0</v>
      </c>
      <c r="H64" s="119">
        <f t="shared" si="4"/>
        <v>1.98</v>
      </c>
      <c r="I64" s="119">
        <f>'GIA CONG ACRYLIC'!N64*E64/1000</f>
        <v>0.38600000000000001</v>
      </c>
      <c r="J64" s="119">
        <f t="shared" si="5"/>
        <v>0.30764200000000003</v>
      </c>
      <c r="K64" s="25" t="str">
        <f>'GIA CONG ACRYLIC'!M64</f>
        <v>tủ trên trái Cánh Trái-</v>
      </c>
    </row>
    <row r="66" spans="1:11" s="55" customFormat="1" ht="18.75" x14ac:dyDescent="0.25">
      <c r="A66" s="56"/>
      <c r="B66" s="71" t="s">
        <v>42</v>
      </c>
      <c r="D66" s="73" t="s">
        <v>43</v>
      </c>
      <c r="E66" s="73"/>
      <c r="F66" s="73"/>
      <c r="G66" s="120" t="s">
        <v>44</v>
      </c>
      <c r="I66" s="120"/>
      <c r="J66" s="121"/>
      <c r="K66" s="73" t="s">
        <v>45</v>
      </c>
    </row>
    <row r="67" spans="1:11" s="55" customFormat="1" ht="15.75" x14ac:dyDescent="0.25">
      <c r="A67" s="56"/>
      <c r="B67" s="72" t="s">
        <v>46</v>
      </c>
      <c r="C67" s="191" t="s">
        <v>4</v>
      </c>
      <c r="D67" s="191"/>
      <c r="E67" s="191"/>
      <c r="F67" s="74"/>
      <c r="G67" s="122" t="s">
        <v>4</v>
      </c>
      <c r="I67" s="122"/>
      <c r="J67" s="121"/>
      <c r="K67" s="74" t="s">
        <v>4</v>
      </c>
    </row>
  </sheetData>
  <mergeCells count="12">
    <mergeCell ref="C11:D11"/>
    <mergeCell ref="G11:G12"/>
    <mergeCell ref="C67:E67"/>
    <mergeCell ref="A11:A12"/>
    <mergeCell ref="B11:B12"/>
    <mergeCell ref="E11:E12"/>
    <mergeCell ref="F11:F12"/>
    <mergeCell ref="I5:K9"/>
    <mergeCell ref="H11:H12"/>
    <mergeCell ref="I11:I12"/>
    <mergeCell ref="J11:J12"/>
    <mergeCell ref="K11:K12"/>
  </mergeCells>
  <conditionalFormatting sqref="A11:K64">
    <cfRule type="expression" dxfId="1" priority="13">
      <formula>"""=OR(ROW()=CELL(""row""),COLUMN()=CELL(""col""))"</formula>
    </cfRule>
  </conditionalFormatting>
  <pageMargins left="0.45" right="0.2" top="0.5" bottom="0.5" header="0.3" footer="0.3"/>
  <pageSetup paperSize="9" scale="9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9"/>
  <sheetViews>
    <sheetView topLeftCell="F1" workbookViewId="0">
      <pane ySplit="1" topLeftCell="A14" activePane="bottomLeft" state="frozen"/>
      <selection pane="bottomLeft" activeCell="A13" sqref="A13:T79"/>
    </sheetView>
  </sheetViews>
  <sheetFormatPr defaultColWidth="9" defaultRowHeight="15.75" x14ac:dyDescent="0.25"/>
  <cols>
    <col min="1" max="1" width="5.375" style="3" customWidth="1"/>
    <col min="2" max="2" width="14.625" style="3" customWidth="1"/>
    <col min="3" max="3" width="36.375" style="6" customWidth="1"/>
    <col min="4" max="4" width="15.125" style="4" customWidth="1"/>
    <col min="5" max="5" width="12.125" style="4" customWidth="1"/>
    <col min="6" max="6" width="11.375" style="3" customWidth="1"/>
    <col min="7" max="7" width="10.5" style="4" customWidth="1"/>
    <col min="8" max="8" width="11.125" style="4" bestFit="1" customWidth="1"/>
    <col min="9" max="9" width="9.875" style="5" bestFit="1" customWidth="1"/>
    <col min="10" max="10" width="14.75" style="5" bestFit="1" customWidth="1"/>
    <col min="11" max="11" width="17.25" style="21" bestFit="1" customWidth="1"/>
    <col min="12" max="12" width="11.625" style="21" bestFit="1" customWidth="1"/>
    <col min="13" max="13" width="18.625" style="4" customWidth="1"/>
    <col min="14" max="14" width="15.625" bestFit="1" customWidth="1"/>
    <col min="15" max="15" width="14.25" customWidth="1"/>
    <col min="16" max="16" width="18" style="4" bestFit="1" customWidth="1"/>
    <col min="17" max="17" width="15.25" style="4" bestFit="1" customWidth="1"/>
    <col min="18" max="18" width="19.375" style="4" bestFit="1" customWidth="1"/>
    <col min="19" max="19" width="15.25" style="4" customWidth="1"/>
    <col min="20" max="20" width="21" style="4" bestFit="1" customWidth="1"/>
    <col min="21" max="21" width="15" style="4" bestFit="1" customWidth="1"/>
    <col min="22" max="23" width="17.5" style="4" bestFit="1" customWidth="1"/>
    <col min="24" max="24" width="10.25" style="4" bestFit="1" customWidth="1"/>
    <col min="25" max="25" width="18.625" style="4" bestFit="1" customWidth="1"/>
    <col min="26" max="26" width="11.25" style="4" bestFit="1" customWidth="1"/>
    <col min="27" max="27" width="12.5" style="4" bestFit="1" customWidth="1"/>
    <col min="28" max="28" width="20.625" style="4" bestFit="1" customWidth="1"/>
    <col min="29" max="29" width="17.625" style="4" bestFit="1" customWidth="1"/>
    <col min="30" max="16384" width="9" style="4"/>
  </cols>
  <sheetData>
    <row r="1" spans="1:29" ht="37.5" customHeight="1" x14ac:dyDescent="0.25">
      <c r="A1" s="102" t="s">
        <v>0</v>
      </c>
      <c r="B1" s="14" t="s">
        <v>50</v>
      </c>
      <c r="C1" s="11" t="s">
        <v>51</v>
      </c>
      <c r="D1" s="11" t="s">
        <v>52</v>
      </c>
      <c r="E1" s="11" t="s">
        <v>53</v>
      </c>
      <c r="F1" s="11" t="s">
        <v>54</v>
      </c>
      <c r="G1" s="102" t="s">
        <v>55</v>
      </c>
      <c r="H1" s="102" t="s">
        <v>56</v>
      </c>
      <c r="I1" s="112" t="s">
        <v>57</v>
      </c>
      <c r="J1" s="112" t="s">
        <v>58</v>
      </c>
      <c r="K1" s="109" t="s">
        <v>60</v>
      </c>
      <c r="L1" s="111" t="s">
        <v>61</v>
      </c>
      <c r="M1" s="102" t="s">
        <v>62</v>
      </c>
      <c r="N1" s="14" t="s">
        <v>49</v>
      </c>
      <c r="O1" s="108" t="s">
        <v>59</v>
      </c>
      <c r="P1" s="106" t="s">
        <v>65</v>
      </c>
      <c r="Q1" s="106" t="s">
        <v>66</v>
      </c>
      <c r="R1" s="14" t="s">
        <v>87</v>
      </c>
      <c r="S1" s="14" t="s">
        <v>86</v>
      </c>
      <c r="T1" s="14" t="s">
        <v>88</v>
      </c>
      <c r="U1" s="106" t="s">
        <v>72</v>
      </c>
      <c r="V1" s="106" t="s">
        <v>73</v>
      </c>
      <c r="W1" s="106" t="s">
        <v>74</v>
      </c>
      <c r="X1" s="107" t="s">
        <v>75</v>
      </c>
      <c r="Y1" s="107" t="s">
        <v>76</v>
      </c>
      <c r="Z1" s="107" t="s">
        <v>77</v>
      </c>
      <c r="AA1" s="110" t="s">
        <v>80</v>
      </c>
      <c r="AB1" s="103" t="s">
        <v>63</v>
      </c>
      <c r="AC1" s="103" t="s">
        <v>64</v>
      </c>
    </row>
    <row r="2" spans="1:29" s="28" customFormat="1" ht="37.5" customHeight="1" x14ac:dyDescent="0.25">
      <c r="A2" s="26"/>
      <c r="B2" s="26"/>
      <c r="C2" s="31"/>
      <c r="F2" s="26"/>
      <c r="I2" s="29"/>
      <c r="J2" s="29"/>
      <c r="K2" s="30"/>
      <c r="L2" s="30"/>
    </row>
    <row r="3" spans="1:29" s="28" customFormat="1" ht="37.5" customHeight="1" x14ac:dyDescent="0.25">
      <c r="A3" s="26"/>
      <c r="B3" s="26"/>
      <c r="C3" s="31"/>
      <c r="F3" s="26"/>
      <c r="I3" s="29"/>
      <c r="J3" s="29"/>
      <c r="K3" s="30"/>
      <c r="L3" s="30"/>
    </row>
    <row r="4" spans="1:29" ht="11.25" customHeight="1" x14ac:dyDescent="0.25">
      <c r="N4" s="4"/>
      <c r="O4" s="4"/>
    </row>
    <row r="5" spans="1:29" s="28" customFormat="1" ht="22.5" x14ac:dyDescent="0.25">
      <c r="A5" s="26"/>
      <c r="B5" s="26"/>
      <c r="C5" s="27"/>
      <c r="D5" s="32"/>
      <c r="E5" s="32"/>
      <c r="F5" s="26"/>
      <c r="G5" s="33" t="s">
        <v>7</v>
      </c>
      <c r="H5" s="33"/>
      <c r="I5" s="34"/>
      <c r="J5" s="34"/>
      <c r="K5" s="35"/>
      <c r="L5" s="35"/>
    </row>
    <row r="6" spans="1:29" ht="15" x14ac:dyDescent="0.25">
      <c r="G6" s="3" t="s">
        <v>69</v>
      </c>
      <c r="H6" s="3"/>
      <c r="N6" s="4"/>
      <c r="O6" s="4"/>
    </row>
    <row r="7" spans="1:29" ht="15" x14ac:dyDescent="0.25">
      <c r="G7" s="3" t="s">
        <v>40</v>
      </c>
      <c r="H7" s="3"/>
      <c r="N7" s="4"/>
      <c r="O7" s="4"/>
    </row>
    <row r="8" spans="1:29" ht="15" x14ac:dyDescent="0.25">
      <c r="C8" s="104" t="s">
        <v>71</v>
      </c>
      <c r="G8" s="3"/>
      <c r="H8" s="3"/>
      <c r="N8" s="4"/>
      <c r="O8" s="4"/>
    </row>
    <row r="9" spans="1:29" ht="15" x14ac:dyDescent="0.25">
      <c r="C9" s="104" t="s">
        <v>70</v>
      </c>
      <c r="G9" s="3"/>
      <c r="H9" s="3"/>
      <c r="N9" s="4"/>
      <c r="O9" s="4"/>
    </row>
    <row r="10" spans="1:29" s="28" customFormat="1" ht="15" x14ac:dyDescent="0.25">
      <c r="A10" s="26"/>
      <c r="B10" s="26"/>
      <c r="C10" s="31" t="s">
        <v>8</v>
      </c>
      <c r="F10" s="26"/>
      <c r="I10" s="29"/>
      <c r="J10" s="29"/>
      <c r="K10" s="30"/>
      <c r="L10" s="30"/>
    </row>
    <row r="11" spans="1:29" s="26" customFormat="1" ht="24" customHeight="1" x14ac:dyDescent="0.25">
      <c r="A11" s="160" t="s">
        <v>19</v>
      </c>
      <c r="B11" s="165" t="s">
        <v>79</v>
      </c>
      <c r="C11" s="160" t="s">
        <v>20</v>
      </c>
      <c r="D11" s="162" t="s">
        <v>21</v>
      </c>
      <c r="E11" s="162"/>
      <c r="F11" s="162" t="s">
        <v>15</v>
      </c>
      <c r="G11" s="163" t="s">
        <v>32</v>
      </c>
      <c r="H11" s="163" t="s">
        <v>34</v>
      </c>
      <c r="I11" s="161" t="s">
        <v>27</v>
      </c>
      <c r="J11" s="161" t="s">
        <v>26</v>
      </c>
      <c r="K11" s="171" t="s">
        <v>36</v>
      </c>
      <c r="L11" s="171" t="s">
        <v>37</v>
      </c>
      <c r="M11" s="170" t="s">
        <v>1</v>
      </c>
      <c r="N11" s="166" t="s">
        <v>67</v>
      </c>
      <c r="O11" s="166" t="s">
        <v>68</v>
      </c>
      <c r="P11" s="183" t="s">
        <v>12</v>
      </c>
      <c r="Q11" s="183" t="s">
        <v>17</v>
      </c>
      <c r="R11" s="189" t="s">
        <v>83</v>
      </c>
      <c r="S11" s="189" t="s">
        <v>84</v>
      </c>
      <c r="T11" s="189" t="s">
        <v>85</v>
      </c>
    </row>
    <row r="12" spans="1:29" s="26" customFormat="1" ht="49.5" customHeight="1" x14ac:dyDescent="0.25">
      <c r="A12" s="160"/>
      <c r="B12" s="166"/>
      <c r="C12" s="160"/>
      <c r="D12" s="36" t="s">
        <v>39</v>
      </c>
      <c r="E12" s="79" t="s">
        <v>41</v>
      </c>
      <c r="F12" s="162"/>
      <c r="G12" s="164"/>
      <c r="H12" s="164"/>
      <c r="I12" s="161"/>
      <c r="J12" s="161"/>
      <c r="K12" s="171"/>
      <c r="L12" s="171"/>
      <c r="M12" s="170"/>
      <c r="N12" s="166"/>
      <c r="O12" s="166"/>
      <c r="P12" s="184"/>
      <c r="Q12" s="184"/>
      <c r="R12" s="190"/>
      <c r="S12" s="190"/>
      <c r="T12" s="190"/>
    </row>
    <row r="13" spans="1:29" x14ac:dyDescent="0.25">
      <c r="A13" s="3" t="str">
        <f>IF('GIA CONG ACRYLIC'!A13="","",'GIA CONG ACRYLIC'!A13)</f>
        <v>I</v>
      </c>
      <c r="B13" s="3" t="str">
        <f>IF('GIA CONG ACRYLIC'!B13="","",'GIA CONG ACRYLIC'!B13)</f>
        <v/>
      </c>
      <c r="C13" s="3" t="str">
        <f>IF('GIA CONG ACRYLIC'!C13="","",'GIA CONG ACRYLIC'!C13)</f>
        <v>Acrylic màu 1</v>
      </c>
      <c r="D13" s="3" t="str">
        <f>IF('GIA CONG ACRYLIC'!D13="","",'GIA CONG ACRYLIC'!D13)</f>
        <v/>
      </c>
      <c r="E13" s="3" t="str">
        <f>IF('GIA CONG ACRYLIC'!E13="","",'GIA CONG ACRYLIC'!E13)</f>
        <v/>
      </c>
      <c r="F13" s="3">
        <f>IF('GIA CONG ACRYLIC'!F13="","",'GIA CONG ACRYLIC'!F13)</f>
        <v>19</v>
      </c>
      <c r="G13" s="3" t="str">
        <f>IF('GIA CONG ACRYLIC'!G13="","",'GIA CONG ACRYLIC'!G13)</f>
        <v/>
      </c>
      <c r="H13" s="3" t="str">
        <f>IF('GIA CONG ACRYLIC'!H13="","",'GIA CONG ACRYLIC'!H13)</f>
        <v/>
      </c>
      <c r="I13" s="3">
        <f>IF('GIA CONG ACRYLIC'!I13="","",'GIA CONG ACRYLIC'!I13)</f>
        <v>3.4373009999999997</v>
      </c>
      <c r="J13" s="3">
        <f>IF('GIA CONG ACRYLIC'!J13="","",'GIA CONG ACRYLIC'!J13)</f>
        <v>2.6629999999999998</v>
      </c>
      <c r="K13" s="3" t="str">
        <f>IF('GIA CONG ACRYLIC'!K13="","",'GIA CONG ACRYLIC'!K13)</f>
        <v/>
      </c>
      <c r="L13" s="3" t="str">
        <f>IF('GIA CONG ACRYLIC'!L13="","",'GIA CONG ACRYLIC'!L13)</f>
        <v/>
      </c>
      <c r="M13" s="3" t="str">
        <f>IF('GIA CONG ACRYLIC'!M13="","",'GIA CONG ACRYLIC'!M13)</f>
        <v/>
      </c>
      <c r="N13" s="4" t="str">
        <f>'GIA CONG ACRYLIC'!$H$7</f>
        <v>L3287</v>
      </c>
      <c r="O13" s="3">
        <f>IF('GIA CONG ACRYLIC'!I13+'GIA CONG ACRYLIC'!J13="","",'GIA CONG ACRYLIC'!I13+'GIA CONG ACRYLIC'!J13)</f>
        <v>6.100301</v>
      </c>
      <c r="P13" s="4">
        <f>IF('LENH GIA CONG TAM'!H13="","",'LENH GIA CONG TAM'!H13)</f>
        <v>39.347000000000001</v>
      </c>
      <c r="Q13" s="4">
        <f>IF('LENH GIA CONG TAM'!I13="","",'LENH GIA CONG TAM'!I13)</f>
        <v>4.5470000000000006</v>
      </c>
      <c r="R13" s="130">
        <f>'GIA CONG ACRYLIC'!$M$6</f>
        <v>46196.643055555556</v>
      </c>
      <c r="S13" s="4">
        <f>'GIA CONG ACRYLIC'!$M$7</f>
        <v>2</v>
      </c>
      <c r="T13" s="130">
        <f>'GIA CONG ACRYLIC'!$M$8</f>
        <v>46198.643055555556</v>
      </c>
    </row>
    <row r="14" spans="1:29" x14ac:dyDescent="0.25">
      <c r="A14" s="3">
        <f>IF('GIA CONG ACRYLIC'!A14="","",'GIA CONG ACRYLIC'!A14)</f>
        <v>1</v>
      </c>
      <c r="B14" s="3" t="str">
        <f>IF('GIA CONG ACRYLIC'!B14="","",'GIA CONG ACRYLIC'!B14)</f>
        <v>GV26**.TP</v>
      </c>
      <c r="C14" s="3" t="str">
        <f>IF('GIA CONG ACRYLIC'!C14="","",'GIA CONG ACRYLIC'!C14)</f>
        <v>Cốt MDF, 1 mặt Acrylic GV26 nhũ chống xước cao, 1 mặt acrylic chống cong vênh trắng bóng</v>
      </c>
      <c r="D14" s="3">
        <f>IF('GIA CONG ACRYLIC'!D14="","",'GIA CONG ACRYLIC'!D14)</f>
        <v>732</v>
      </c>
      <c r="E14" s="3">
        <f>IF('GIA CONG ACRYLIC'!E14="","",'GIA CONG ACRYLIC'!E14)</f>
        <v>435</v>
      </c>
      <c r="F14" s="3">
        <f>IF('GIA CONG ACRYLIC'!F14="","",'GIA CONG ACRYLIC'!F14)</f>
        <v>1</v>
      </c>
      <c r="G14" s="3" t="str">
        <f>IF('GIA CONG ACRYLIC'!G14="","",'GIA CONG ACRYLIC'!G14)</f>
        <v>Vát 435</v>
      </c>
      <c r="H14" s="3" t="str">
        <f>IF('GIA CONG ACRYLIC'!H14="","",'GIA CONG ACRYLIC'!H14)</f>
        <v/>
      </c>
      <c r="I14" s="3">
        <f>IF('GIA CONG ACRYLIC'!I14="","",'GIA CONG ACRYLIC'!I14)</f>
        <v>0.31841999999999998</v>
      </c>
      <c r="J14" s="3" t="str">
        <f>IF('GIA CONG ACRYLIC'!J14="","",'GIA CONG ACRYLIC'!J14)</f>
        <v/>
      </c>
      <c r="K14" s="3">
        <f>IF('GIA CONG ACRYLIC'!K14="","",'GIA CONG ACRYLIC'!K14)</f>
        <v>1350000</v>
      </c>
      <c r="L14" s="3">
        <f>IF('GIA CONG ACRYLIC'!L14="","",'GIA CONG ACRYLIC'!L14)</f>
        <v>429867</v>
      </c>
      <c r="M14" s="3" t="str">
        <f>IF('GIA CONG ACRYLIC'!M14="","",'GIA CONG ACRYLIC'!M14)</f>
        <v>tủ dưới  phải Cánh Phải-</v>
      </c>
      <c r="N14" s="4" t="str">
        <f>'GIA CONG ACRYLIC'!$H$7</f>
        <v>L3287</v>
      </c>
      <c r="O14" s="3">
        <f>IF('GIA CONG ACRYLIC'!I14+'GIA CONG ACRYLIC'!J14="","",'GIA CONG ACRYLIC'!I14+'GIA CONG ACRYLIC'!J14)</f>
        <v>0.31841999999999998</v>
      </c>
      <c r="P14" s="4">
        <f>IF('LENH GIA CONG TAM'!H14="","",'LENH GIA CONG TAM'!H14)</f>
        <v>1.899</v>
      </c>
      <c r="Q14" s="4">
        <f>IF('LENH GIA CONG TAM'!I14="","",'LENH GIA CONG TAM'!I14)</f>
        <v>0.435</v>
      </c>
      <c r="R14" s="130">
        <f>'GIA CONG ACRYLIC'!$M$6</f>
        <v>46196.643055555556</v>
      </c>
      <c r="S14" s="4">
        <f>'GIA CONG ACRYLIC'!$M$7</f>
        <v>2</v>
      </c>
      <c r="T14" s="130">
        <f>'GIA CONG ACRYLIC'!$M$8</f>
        <v>46198.643055555556</v>
      </c>
    </row>
    <row r="15" spans="1:29" x14ac:dyDescent="0.25">
      <c r="A15" s="3">
        <f>IF('GIA CONG ACRYLIC'!A15="","",'GIA CONG ACRYLIC'!A15)</f>
        <v>2</v>
      </c>
      <c r="B15" s="3" t="str">
        <f>IF('GIA CONG ACRYLIC'!B15="","",'GIA CONG ACRYLIC'!B15)</f>
        <v>GV26**.TP</v>
      </c>
      <c r="C15" s="3" t="str">
        <f>IF('GIA CONG ACRYLIC'!C15="","",'GIA CONG ACRYLIC'!C15)</f>
        <v/>
      </c>
      <c r="D15" s="3">
        <f>IF('GIA CONG ACRYLIC'!D15="","",'GIA CONG ACRYLIC'!D15)</f>
        <v>732</v>
      </c>
      <c r="E15" s="3">
        <f>IF('GIA CONG ACRYLIC'!E15="","",'GIA CONG ACRYLIC'!E15)</f>
        <v>435</v>
      </c>
      <c r="F15" s="3">
        <f>IF('GIA CONG ACRYLIC'!F15="","",'GIA CONG ACRYLIC'!F15)</f>
        <v>1</v>
      </c>
      <c r="G15" s="3" t="str">
        <f>IF('GIA CONG ACRYLIC'!G15="","",'GIA CONG ACRYLIC'!G15)</f>
        <v>Vát 435</v>
      </c>
      <c r="H15" s="3" t="str">
        <f>IF('GIA CONG ACRYLIC'!H15="","",'GIA CONG ACRYLIC'!H15)</f>
        <v/>
      </c>
      <c r="I15" s="3">
        <f>IF('GIA CONG ACRYLIC'!I15="","",'GIA CONG ACRYLIC'!I15)</f>
        <v>0.31841999999999998</v>
      </c>
      <c r="J15" s="3" t="str">
        <f>IF('GIA CONG ACRYLIC'!J15="","",'GIA CONG ACRYLIC'!J15)</f>
        <v/>
      </c>
      <c r="K15" s="3">
        <f>IF('GIA CONG ACRYLIC'!K15="","",'GIA CONG ACRYLIC'!K15)</f>
        <v>1350000</v>
      </c>
      <c r="L15" s="3">
        <f>IF('GIA CONG ACRYLIC'!L15="","",'GIA CONG ACRYLIC'!L15)</f>
        <v>429867</v>
      </c>
      <c r="M15" s="3" t="str">
        <f>IF('GIA CONG ACRYLIC'!M15="","",'GIA CONG ACRYLIC'!M15)</f>
        <v>tủ dưới  phải Cánh Trái-</v>
      </c>
      <c r="N15" s="4" t="str">
        <f>'GIA CONG ACRYLIC'!$H$7</f>
        <v>L3287</v>
      </c>
      <c r="O15" s="3">
        <f>IF('GIA CONG ACRYLIC'!I15+'GIA CONG ACRYLIC'!J15="","",'GIA CONG ACRYLIC'!I15+'GIA CONG ACRYLIC'!J15)</f>
        <v>0.31841999999999998</v>
      </c>
      <c r="P15" s="4">
        <f>IF('LENH GIA CONG TAM'!H15="","",'LENH GIA CONG TAM'!H15)</f>
        <v>1.899</v>
      </c>
      <c r="Q15" s="4">
        <f>IF('LENH GIA CONG TAM'!I15="","",'LENH GIA CONG TAM'!I15)</f>
        <v>0.435</v>
      </c>
      <c r="R15" s="130">
        <f>'GIA CONG ACRYLIC'!$M$6</f>
        <v>46196.643055555556</v>
      </c>
      <c r="S15" s="4">
        <f>'GIA CONG ACRYLIC'!$M$7</f>
        <v>2</v>
      </c>
      <c r="T15" s="130">
        <f>'GIA CONG ACRYLIC'!$M$8</f>
        <v>46198.643055555556</v>
      </c>
    </row>
    <row r="16" spans="1:29" x14ac:dyDescent="0.25">
      <c r="A16" s="3">
        <f>IF('GIA CONG ACRYLIC'!A30="","",'GIA CONG ACRYLIC'!A30)</f>
        <v>17</v>
      </c>
      <c r="B16" s="3" t="str">
        <f>IF('GIA CONG ACRYLIC'!B30="","",'GIA CONG ACRYLIC'!B30)</f>
        <v>GV26**.TP</v>
      </c>
      <c r="C16" s="3" t="str">
        <f>IF('GIA CONG ACRYLIC'!C30="","",'GIA CONG ACRYLIC'!C30)</f>
        <v/>
      </c>
      <c r="D16" s="3">
        <f>IF('GIA CONG ACRYLIC'!D30="","",'GIA CONG ACRYLIC'!D30)</f>
        <v>733</v>
      </c>
      <c r="E16" s="3">
        <f>IF('GIA CONG ACRYLIC'!E30="","",'GIA CONG ACRYLIC'!E30)</f>
        <v>331</v>
      </c>
      <c r="F16" s="3">
        <f>IF('GIA CONG ACRYLIC'!F30="","",'GIA CONG ACRYLIC'!F30)</f>
        <v>1</v>
      </c>
      <c r="G16" s="3" t="str">
        <f>IF('GIA CONG ACRYLIC'!G30="","",'GIA CONG ACRYLIC'!G30)</f>
        <v>Vát 331</v>
      </c>
      <c r="H16" s="3" t="str">
        <f>IF('GIA CONG ACRYLIC'!H30="","",'GIA CONG ACRYLIC'!H30)</f>
        <v/>
      </c>
      <c r="I16" s="3">
        <f>IF('GIA CONG ACRYLIC'!I30="","",'GIA CONG ACRYLIC'!I30)</f>
        <v>0.24262300000000001</v>
      </c>
      <c r="J16" s="3" t="str">
        <f>IF('GIA CONG ACRYLIC'!J30="","",'GIA CONG ACRYLIC'!J30)</f>
        <v/>
      </c>
      <c r="K16" s="3">
        <f>IF('GIA CONG ACRYLIC'!K30="","",'GIA CONG ACRYLIC'!K30)</f>
        <v>1350000</v>
      </c>
      <c r="L16" s="3">
        <f>IF('GIA CONG ACRYLIC'!L30="","",'GIA CONG ACRYLIC'!L30)</f>
        <v>327541</v>
      </c>
      <c r="M16" s="3" t="str">
        <f>IF('GIA CONG ACRYLIC'!M30="","",'GIA CONG ACRYLIC'!M30)</f>
        <v>tủ dưới trái  Mặt Hộc</v>
      </c>
      <c r="N16" s="4" t="str">
        <f>'GIA CONG ACRYLIC'!$H$7</f>
        <v>L3287</v>
      </c>
      <c r="O16" s="3">
        <f>IF('GIA CONG ACRYLIC'!I30+'GIA CONG ACRYLIC'!J30="","",'GIA CONG ACRYLIC'!I30+'GIA CONG ACRYLIC'!J30)</f>
        <v>0.24262300000000001</v>
      </c>
      <c r="P16" s="4">
        <f>IF('LENH GIA CONG TAM'!H16="","",'LENH GIA CONG TAM'!H16)</f>
        <v>4.524</v>
      </c>
      <c r="Q16" s="4">
        <f>IF('LENH GIA CONG TAM'!I16="","",'LENH GIA CONG TAM'!I16)</f>
        <v>0</v>
      </c>
      <c r="R16" s="130">
        <f>'GIA CONG ACRYLIC'!$M$6</f>
        <v>46196.643055555556</v>
      </c>
      <c r="S16" s="4">
        <f>'GIA CONG ACRYLIC'!$M$7</f>
        <v>2</v>
      </c>
      <c r="T16" s="130">
        <f>'GIA CONG ACRYLIC'!$M$8</f>
        <v>46198.643055555556</v>
      </c>
    </row>
    <row r="17" spans="1:20" x14ac:dyDescent="0.25">
      <c r="A17" s="3">
        <f>IF('GIA CONG ACRYLIC'!A31="","",'GIA CONG ACRYLIC'!A31)</f>
        <v>18</v>
      </c>
      <c r="B17" s="3" t="str">
        <f>IF('GIA CONG ACRYLIC'!B31="","",'GIA CONG ACRYLIC'!B31)</f>
        <v>GV26**.TP</v>
      </c>
      <c r="C17" s="3" t="str">
        <f>IF('GIA CONG ACRYLIC'!C31="","",'GIA CONG ACRYLIC'!C31)</f>
        <v/>
      </c>
      <c r="D17" s="3">
        <f>IF('GIA CONG ACRYLIC'!D31="","",'GIA CONG ACRYLIC'!D31)</f>
        <v>735</v>
      </c>
      <c r="E17" s="3">
        <f>IF('GIA CONG ACRYLIC'!E31="","",'GIA CONG ACRYLIC'!E31)</f>
        <v>50</v>
      </c>
      <c r="F17" s="3">
        <f>IF('GIA CONG ACRYLIC'!F31="","",'GIA CONG ACRYLIC'!F31)</f>
        <v>1</v>
      </c>
      <c r="G17" s="3" t="str">
        <f>IF('GIA CONG ACRYLIC'!G31="","",'GIA CONG ACRYLIC'!G31)</f>
        <v/>
      </c>
      <c r="H17" s="3" t="str">
        <f>IF('GIA CONG ACRYLIC'!H31="","",'GIA CONG ACRYLIC'!H31)</f>
        <v/>
      </c>
      <c r="I17" s="3" t="str">
        <f>IF('GIA CONG ACRYLIC'!I31="","",'GIA CONG ACRYLIC'!I31)</f>
        <v/>
      </c>
      <c r="J17" s="3">
        <f>IF('GIA CONG ACRYLIC'!J31="","",'GIA CONG ACRYLIC'!J31)</f>
        <v>0.73499999999999999</v>
      </c>
      <c r="K17" s="3">
        <f>IF('GIA CONG ACRYLIC'!K31="","",'GIA CONG ACRYLIC'!K31)</f>
        <v>100000</v>
      </c>
      <c r="L17" s="3">
        <f>IF('GIA CONG ACRYLIC'!L31="","",'GIA CONG ACRYLIC'!L31)</f>
        <v>73500</v>
      </c>
      <c r="M17" s="3" t="str">
        <f>IF('GIA CONG ACRYLIC'!M31="","",'GIA CONG ACRYLIC'!M31)</f>
        <v>tủ dưới trái  tủ bếp dưới Xà</v>
      </c>
      <c r="N17" s="4" t="str">
        <f>'GIA CONG ACRYLIC'!$H$7</f>
        <v>L3287</v>
      </c>
      <c r="O17" s="3">
        <f>IF('GIA CONG ACRYLIC'!I31+'GIA CONG ACRYLIC'!J31="","",'GIA CONG ACRYLIC'!I31+'GIA CONG ACRYLIC'!J31)</f>
        <v>0.73499999999999999</v>
      </c>
      <c r="P17" s="4">
        <f>IF('LENH GIA CONG TAM'!H17="","",'LENH GIA CONG TAM'!H17)</f>
        <v>1.7</v>
      </c>
      <c r="Q17" s="4">
        <f>IF('LENH GIA CONG TAM'!I17="","",'LENH GIA CONG TAM'!I17)</f>
        <v>0</v>
      </c>
      <c r="R17" s="130">
        <f>'GIA CONG ACRYLIC'!$M$6</f>
        <v>46196.643055555556</v>
      </c>
      <c r="S17" s="4">
        <f>'GIA CONG ACRYLIC'!$M$7</f>
        <v>2</v>
      </c>
      <c r="T17" s="130">
        <f>'GIA CONG ACRYLIC'!$M$8</f>
        <v>46198.643055555556</v>
      </c>
    </row>
    <row r="18" spans="1:20" x14ac:dyDescent="0.25">
      <c r="A18" s="3">
        <f>IF('GIA CONG ACRYLIC'!A32="","",'GIA CONG ACRYLIC'!A32)</f>
        <v>19</v>
      </c>
      <c r="B18" s="3" t="str">
        <f>IF('GIA CONG ACRYLIC'!B32="","",'GIA CONG ACRYLIC'!B32)</f>
        <v>GV26**.TP</v>
      </c>
      <c r="C18" s="3" t="str">
        <f>IF('GIA CONG ACRYLIC'!C32="","",'GIA CONG ACRYLIC'!C32)</f>
        <v/>
      </c>
      <c r="D18" s="3">
        <f>IF('GIA CONG ACRYLIC'!D32="","",'GIA CONG ACRYLIC'!D32)</f>
        <v>1597</v>
      </c>
      <c r="E18" s="3">
        <f>IF('GIA CONG ACRYLIC'!E32="","",'GIA CONG ACRYLIC'!E32)</f>
        <v>100</v>
      </c>
      <c r="F18" s="3">
        <f>IF('GIA CONG ACRYLIC'!F32="","",'GIA CONG ACRYLIC'!F32)</f>
        <v>1</v>
      </c>
      <c r="G18" s="3" t="str">
        <f>IF('GIA CONG ACRYLIC'!G32="","",'GIA CONG ACRYLIC'!G32)</f>
        <v/>
      </c>
      <c r="H18" s="3" t="str">
        <f>IF('GIA CONG ACRYLIC'!H32="","",'GIA CONG ACRYLIC'!H32)</f>
        <v/>
      </c>
      <c r="I18" s="3">
        <f>IF('GIA CONG ACRYLIC'!I32="","",'GIA CONG ACRYLIC'!I32)</f>
        <v>0.15970000000000001</v>
      </c>
      <c r="J18" s="3" t="str">
        <f>IF('GIA CONG ACRYLIC'!J32="","",'GIA CONG ACRYLIC'!J32)</f>
        <v/>
      </c>
      <c r="K18" s="3">
        <f>IF('GIA CONG ACRYLIC'!K32="","",'GIA CONG ACRYLIC'!K32)</f>
        <v>1350000</v>
      </c>
      <c r="L18" s="3">
        <f>IF('GIA CONG ACRYLIC'!L32="","",'GIA CONG ACRYLIC'!L32)</f>
        <v>215595</v>
      </c>
      <c r="M18" s="3" t="str">
        <f>IF('GIA CONG ACRYLIC'!M32="","",'GIA CONG ACRYLIC'!M32)</f>
        <v>tủ dưới trái xà chân trước</v>
      </c>
      <c r="N18" s="4" t="str">
        <f>'GIA CONG ACRYLIC'!$H$7</f>
        <v>L3287</v>
      </c>
      <c r="O18" s="3">
        <f>IF('GIA CONG ACRYLIC'!I32+'GIA CONG ACRYLIC'!J32="","",'GIA CONG ACRYLIC'!I32+'GIA CONG ACRYLIC'!J32)</f>
        <v>0.15970000000000001</v>
      </c>
      <c r="P18" s="4">
        <f>IF('LENH GIA CONG TAM'!H18="","",'LENH GIA CONG TAM'!H18)</f>
        <v>3.3540000000000001</v>
      </c>
      <c r="Q18" s="4">
        <f>IF('LENH GIA CONG TAM'!I18="","",'LENH GIA CONG TAM'!I18)</f>
        <v>0</v>
      </c>
      <c r="R18" s="130">
        <f>'GIA CONG ACRYLIC'!$M$6</f>
        <v>46196.643055555556</v>
      </c>
      <c r="S18" s="4">
        <f>'GIA CONG ACRYLIC'!$M$7</f>
        <v>2</v>
      </c>
      <c r="T18" s="130">
        <f>'GIA CONG ACRYLIC'!$M$8</f>
        <v>46198.643055555556</v>
      </c>
    </row>
    <row r="19" spans="1:20" x14ac:dyDescent="0.25">
      <c r="A19" s="3" t="str">
        <f>IF('GIA CONG ACRYLIC'!A33="","",'GIA CONG ACRYLIC'!A33)</f>
        <v>II</v>
      </c>
      <c r="B19" s="3" t="str">
        <f>IF('GIA CONG ACRYLIC'!B33="","",'GIA CONG ACRYLIC'!B33)</f>
        <v/>
      </c>
      <c r="C19" s="3" t="str">
        <f>IF('GIA CONG ACRYLIC'!C33="","",'GIA CONG ACRYLIC'!C33)</f>
        <v>Acrylic màu 2</v>
      </c>
      <c r="D19" s="3" t="str">
        <f>IF('GIA CONG ACRYLIC'!D33="","",'GIA CONG ACRYLIC'!D33)</f>
        <v/>
      </c>
      <c r="E19" s="3" t="str">
        <f>IF('GIA CONG ACRYLIC'!E33="","",'GIA CONG ACRYLIC'!E33)</f>
        <v/>
      </c>
      <c r="F19" s="3">
        <f>IF('GIA CONG ACRYLIC'!F33="","",'GIA CONG ACRYLIC'!F33)</f>
        <v>31</v>
      </c>
      <c r="G19" s="3" t="str">
        <f>IF('GIA CONG ACRYLIC'!G33="","",'GIA CONG ACRYLIC'!G33)</f>
        <v/>
      </c>
      <c r="H19" s="3" t="str">
        <f>IF('GIA CONG ACRYLIC'!H33="","",'GIA CONG ACRYLIC'!H33)</f>
        <v/>
      </c>
      <c r="I19" s="3">
        <f>IF('GIA CONG ACRYLIC'!I33="","",'GIA CONG ACRYLIC'!I33)</f>
        <v>9.1939129999999984</v>
      </c>
      <c r="J19" s="3">
        <f>IF('GIA CONG ACRYLIC'!J33="","",'GIA CONG ACRYLIC'!J33)</f>
        <v>1.5049999999999999</v>
      </c>
      <c r="K19" s="3" t="str">
        <f>IF('GIA CONG ACRYLIC'!K33="","",'GIA CONG ACRYLIC'!K33)</f>
        <v/>
      </c>
      <c r="L19" s="3" t="str">
        <f>IF('GIA CONG ACRYLIC'!L33="","",'GIA CONG ACRYLIC'!L33)</f>
        <v/>
      </c>
      <c r="M19" s="3" t="str">
        <f>IF('GIA CONG ACRYLIC'!M33="","",'GIA CONG ACRYLIC'!M33)</f>
        <v/>
      </c>
      <c r="N19" s="4" t="str">
        <f>'GIA CONG ACRYLIC'!$H$7</f>
        <v>L3287</v>
      </c>
      <c r="O19" s="3">
        <f>IF('GIA CONG ACRYLIC'!I33+'GIA CONG ACRYLIC'!J33="","",'GIA CONG ACRYLIC'!I33+'GIA CONG ACRYLIC'!J33)</f>
        <v>10.698912999999997</v>
      </c>
      <c r="P19" s="4">
        <f>IF('LENH GIA CONG TAM'!H19="","",'LENH GIA CONG TAM'!H19)</f>
        <v>1.1519999999999999</v>
      </c>
      <c r="Q19" s="4">
        <f>IF('LENH GIA CONG TAM'!I19="","",'LENH GIA CONG TAM'!I19)</f>
        <v>0.54600000000000004</v>
      </c>
      <c r="R19" s="130">
        <f>'GIA CONG ACRYLIC'!$M$6</f>
        <v>46196.643055555556</v>
      </c>
      <c r="S19" s="4">
        <f>'GIA CONG ACRYLIC'!$M$7</f>
        <v>2</v>
      </c>
      <c r="T19" s="130">
        <f>'GIA CONG ACRYLIC'!$M$8</f>
        <v>46198.643055555556</v>
      </c>
    </row>
    <row r="20" spans="1:20" x14ac:dyDescent="0.25">
      <c r="A20" s="3">
        <f>IF('GIA CONG ACRYLIC'!A34="","",'GIA CONG ACRYLIC'!A34)</f>
        <v>1</v>
      </c>
      <c r="B20" s="3" t="str">
        <f>IF('GIA CONG ACRYLIC'!B34="","",'GIA CONG ACRYLIC'!B34)</f>
        <v>GV21.TP</v>
      </c>
      <c r="C20" s="3" t="str">
        <f>IF('GIA CONG ACRYLIC'!C34="","",'GIA CONG ACRYLIC'!C34)</f>
        <v>Cốt MDF, 1 mặt Acrylic GV21, 1 mặt acrylic chống cong vênh trắng bóng</v>
      </c>
      <c r="D20" s="3">
        <f>IF('GIA CONG ACRYLIC'!D34="","",'GIA CONG ACRYLIC'!D34)</f>
        <v>800</v>
      </c>
      <c r="E20" s="3">
        <f>IF('GIA CONG ACRYLIC'!E34="","",'GIA CONG ACRYLIC'!E34)</f>
        <v>50</v>
      </c>
      <c r="F20" s="3">
        <f>IF('GIA CONG ACRYLIC'!F34="","",'GIA CONG ACRYLIC'!F34)</f>
        <v>1</v>
      </c>
      <c r="G20" s="3" t="str">
        <f>IF('GIA CONG ACRYLIC'!G34="","",'GIA CONG ACRYLIC'!G34)</f>
        <v/>
      </c>
      <c r="H20" s="3" t="str">
        <f>IF('GIA CONG ACRYLIC'!H34="","",'GIA CONG ACRYLIC'!H34)</f>
        <v/>
      </c>
      <c r="I20" s="3" t="str">
        <f>IF('GIA CONG ACRYLIC'!I34="","",'GIA CONG ACRYLIC'!I34)</f>
        <v/>
      </c>
      <c r="J20" s="3">
        <f>IF('GIA CONG ACRYLIC'!J34="","",'GIA CONG ACRYLIC'!J34)</f>
        <v>0.8</v>
      </c>
      <c r="K20" s="3">
        <f>IF('GIA CONG ACRYLIC'!K34="","",'GIA CONG ACRYLIC'!K34)</f>
        <v>100000</v>
      </c>
      <c r="L20" s="3">
        <f>IF('GIA CONG ACRYLIC'!L34="","",'GIA CONG ACRYLIC'!L34)</f>
        <v>80000</v>
      </c>
      <c r="M20" s="3" t="str">
        <f>IF('GIA CONG ACRYLIC'!M34="","",'GIA CONG ACRYLIC'!M34)</f>
        <v>tủ dưới trái Hồi-</v>
      </c>
      <c r="N20" s="4" t="str">
        <f>'GIA CONG ACRYLIC'!$H$7</f>
        <v>L3287</v>
      </c>
      <c r="O20" s="3">
        <f>IF('GIA CONG ACRYLIC'!I34+'GIA CONG ACRYLIC'!J34="","",'GIA CONG ACRYLIC'!I34+'GIA CONG ACRYLIC'!J34)</f>
        <v>0.8</v>
      </c>
      <c r="P20" s="4">
        <f>IF('LENH GIA CONG TAM'!H20="","",'LENH GIA CONG TAM'!H20)</f>
        <v>1.1379999999999999</v>
      </c>
      <c r="Q20" s="4">
        <f>IF('LENH GIA CONG TAM'!I20="","",'LENH GIA CONG TAM'!I20)</f>
        <v>0.54600000000000004</v>
      </c>
      <c r="R20" s="130">
        <f>'GIA CONG ACRYLIC'!$M$6</f>
        <v>46196.643055555556</v>
      </c>
      <c r="S20" s="4">
        <f>'GIA CONG ACRYLIC'!$M$7</f>
        <v>2</v>
      </c>
      <c r="T20" s="130">
        <f>'GIA CONG ACRYLIC'!$M$8</f>
        <v>46198.643055555556</v>
      </c>
    </row>
    <row r="21" spans="1:20" x14ac:dyDescent="0.25">
      <c r="A21" s="3" t="e">
        <f>IF('GIA CONG ACRYLIC'!#REF!="","",'GIA CONG ACRYLIC'!#REF!)</f>
        <v>#REF!</v>
      </c>
      <c r="B21" s="3" t="e">
        <f>IF('GIA CONG ACRYLIC'!#REF!="","",'GIA CONG ACRYLIC'!#REF!)</f>
        <v>#REF!</v>
      </c>
      <c r="C21" s="3" t="e">
        <f>IF('GIA CONG ACRYLIC'!#REF!="","",'GIA CONG ACRYLIC'!#REF!)</f>
        <v>#REF!</v>
      </c>
      <c r="D21" s="3" t="e">
        <f>IF('GIA CONG ACRYLIC'!#REF!="","",'GIA CONG ACRYLIC'!#REF!)</f>
        <v>#REF!</v>
      </c>
      <c r="E21" s="3" t="e">
        <f>IF('GIA CONG ACRYLIC'!#REF!="","",'GIA CONG ACRYLIC'!#REF!)</f>
        <v>#REF!</v>
      </c>
      <c r="F21" s="3" t="e">
        <f>IF('GIA CONG ACRYLIC'!#REF!="","",'GIA CONG ACRYLIC'!#REF!)</f>
        <v>#REF!</v>
      </c>
      <c r="G21" s="3" t="e">
        <f>IF('GIA CONG ACRYLIC'!#REF!="","",'GIA CONG ACRYLIC'!#REF!)</f>
        <v>#REF!</v>
      </c>
      <c r="H21" s="3" t="e">
        <f>IF('GIA CONG ACRYLIC'!#REF!="","",'GIA CONG ACRYLIC'!#REF!)</f>
        <v>#REF!</v>
      </c>
      <c r="I21" s="3" t="e">
        <f>IF('GIA CONG ACRYLIC'!#REF!="","",'GIA CONG ACRYLIC'!#REF!)</f>
        <v>#REF!</v>
      </c>
      <c r="J21" s="3" t="e">
        <f>IF('GIA CONG ACRYLIC'!#REF!="","",'GIA CONG ACRYLIC'!#REF!)</f>
        <v>#REF!</v>
      </c>
      <c r="K21" s="3" t="e">
        <f>IF('GIA CONG ACRYLIC'!#REF!="","",'GIA CONG ACRYLIC'!#REF!)</f>
        <v>#REF!</v>
      </c>
      <c r="L21" s="3" t="e">
        <f>IF('GIA CONG ACRYLIC'!#REF!="","",'GIA CONG ACRYLIC'!#REF!)</f>
        <v>#REF!</v>
      </c>
      <c r="M21" s="3" t="e">
        <f>IF('GIA CONG ACRYLIC'!#REF!="","",'GIA CONG ACRYLIC'!#REF!)</f>
        <v>#REF!</v>
      </c>
      <c r="N21" s="4" t="str">
        <f>'GIA CONG ACRYLIC'!$H$7</f>
        <v>L3287</v>
      </c>
      <c r="O21" s="3" t="e">
        <f>IF('GIA CONG ACRYLIC'!#REF!+'GIA CONG ACRYLIC'!#REF!="","",'GIA CONG ACRYLIC'!#REF!+'GIA CONG ACRYLIC'!#REF!)</f>
        <v>#REF!</v>
      </c>
      <c r="P21" s="4" t="e">
        <f>IF('LENH GIA CONG TAM'!#REF!="","",'LENH GIA CONG TAM'!#REF!)</f>
        <v>#REF!</v>
      </c>
      <c r="Q21" s="4" t="e">
        <f>IF('LENH GIA CONG TAM'!#REF!="","",'LENH GIA CONG TAM'!#REF!)</f>
        <v>#REF!</v>
      </c>
      <c r="R21" s="130">
        <f>'GIA CONG ACRYLIC'!$M$6</f>
        <v>46196.643055555556</v>
      </c>
      <c r="S21" s="4">
        <f>'GIA CONG ACRYLIC'!$M$7</f>
        <v>2</v>
      </c>
      <c r="T21" s="130">
        <f>'GIA CONG ACRYLIC'!$M$8</f>
        <v>46198.643055555556</v>
      </c>
    </row>
    <row r="22" spans="1:20" x14ac:dyDescent="0.25">
      <c r="A22" s="3" t="e">
        <f>IF('GIA CONG ACRYLIC'!#REF!="","",'GIA CONG ACRYLIC'!#REF!)</f>
        <v>#REF!</v>
      </c>
      <c r="B22" s="3" t="e">
        <f>IF('GIA CONG ACRYLIC'!#REF!="","",'GIA CONG ACRYLIC'!#REF!)</f>
        <v>#REF!</v>
      </c>
      <c r="C22" s="3" t="e">
        <f>IF('GIA CONG ACRYLIC'!#REF!="","",'GIA CONG ACRYLIC'!#REF!)</f>
        <v>#REF!</v>
      </c>
      <c r="D22" s="3" t="e">
        <f>IF('GIA CONG ACRYLIC'!#REF!="","",'GIA CONG ACRYLIC'!#REF!)</f>
        <v>#REF!</v>
      </c>
      <c r="E22" s="3" t="e">
        <f>IF('GIA CONG ACRYLIC'!#REF!="","",'GIA CONG ACRYLIC'!#REF!)</f>
        <v>#REF!</v>
      </c>
      <c r="F22" s="3" t="e">
        <f>IF('GIA CONG ACRYLIC'!#REF!="","",'GIA CONG ACRYLIC'!#REF!)</f>
        <v>#REF!</v>
      </c>
      <c r="G22" s="3" t="e">
        <f>IF('GIA CONG ACRYLIC'!#REF!="","",'GIA CONG ACRYLIC'!#REF!)</f>
        <v>#REF!</v>
      </c>
      <c r="H22" s="3" t="e">
        <f>IF('GIA CONG ACRYLIC'!#REF!="","",'GIA CONG ACRYLIC'!#REF!)</f>
        <v>#REF!</v>
      </c>
      <c r="I22" s="3" t="e">
        <f>IF('GIA CONG ACRYLIC'!#REF!="","",'GIA CONG ACRYLIC'!#REF!)</f>
        <v>#REF!</v>
      </c>
      <c r="J22" s="3" t="e">
        <f>IF('GIA CONG ACRYLIC'!#REF!="","",'GIA CONG ACRYLIC'!#REF!)</f>
        <v>#REF!</v>
      </c>
      <c r="K22" s="3" t="e">
        <f>IF('GIA CONG ACRYLIC'!#REF!="","",'GIA CONG ACRYLIC'!#REF!)</f>
        <v>#REF!</v>
      </c>
      <c r="L22" s="3" t="e">
        <f>IF('GIA CONG ACRYLIC'!#REF!="","",'GIA CONG ACRYLIC'!#REF!)</f>
        <v>#REF!</v>
      </c>
      <c r="M22" s="3" t="e">
        <f>IF('GIA CONG ACRYLIC'!#REF!="","",'GIA CONG ACRYLIC'!#REF!)</f>
        <v>#REF!</v>
      </c>
      <c r="N22" s="4" t="str">
        <f>'GIA CONG ACRYLIC'!$H$7</f>
        <v>L3287</v>
      </c>
      <c r="O22" s="3" t="e">
        <f>IF('GIA CONG ACRYLIC'!#REF!+'GIA CONG ACRYLIC'!#REF!="","",'GIA CONG ACRYLIC'!#REF!+'GIA CONG ACRYLIC'!#REF!)</f>
        <v>#REF!</v>
      </c>
      <c r="P22" s="4" t="e">
        <f>IF('LENH GIA CONG TAM'!#REF!="","",'LENH GIA CONG TAM'!#REF!)</f>
        <v>#REF!</v>
      </c>
      <c r="Q22" s="4" t="e">
        <f>IF('LENH GIA CONG TAM'!#REF!="","",'LENH GIA CONG TAM'!#REF!)</f>
        <v>#REF!</v>
      </c>
      <c r="R22" s="130">
        <f>'GIA CONG ACRYLIC'!$M$6</f>
        <v>46196.643055555556</v>
      </c>
      <c r="S22" s="4">
        <f>'GIA CONG ACRYLIC'!$M$7</f>
        <v>2</v>
      </c>
      <c r="T22" s="130">
        <f>'GIA CONG ACRYLIC'!$M$8</f>
        <v>46198.643055555556</v>
      </c>
    </row>
    <row r="23" spans="1:20" x14ac:dyDescent="0.25">
      <c r="A23" s="3" t="e">
        <f>IF('GIA CONG ACRYLIC'!#REF!="","",'GIA CONG ACRYLIC'!#REF!)</f>
        <v>#REF!</v>
      </c>
      <c r="B23" s="3" t="e">
        <f>IF('GIA CONG ACRYLIC'!#REF!="","",'GIA CONG ACRYLIC'!#REF!)</f>
        <v>#REF!</v>
      </c>
      <c r="C23" s="3" t="e">
        <f>IF('GIA CONG ACRYLIC'!#REF!="","",'GIA CONG ACRYLIC'!#REF!)</f>
        <v>#REF!</v>
      </c>
      <c r="D23" s="3" t="e">
        <f>IF('GIA CONG ACRYLIC'!#REF!="","",'GIA CONG ACRYLIC'!#REF!)</f>
        <v>#REF!</v>
      </c>
      <c r="E23" s="3" t="e">
        <f>IF('GIA CONG ACRYLIC'!#REF!="","",'GIA CONG ACRYLIC'!#REF!)</f>
        <v>#REF!</v>
      </c>
      <c r="F23" s="3" t="e">
        <f>IF('GIA CONG ACRYLIC'!#REF!="","",'GIA CONG ACRYLIC'!#REF!)</f>
        <v>#REF!</v>
      </c>
      <c r="G23" s="3" t="e">
        <f>IF('GIA CONG ACRYLIC'!#REF!="","",'GIA CONG ACRYLIC'!#REF!)</f>
        <v>#REF!</v>
      </c>
      <c r="H23" s="3" t="e">
        <f>IF('GIA CONG ACRYLIC'!#REF!="","",'GIA CONG ACRYLIC'!#REF!)</f>
        <v>#REF!</v>
      </c>
      <c r="I23" s="3" t="e">
        <f>IF('GIA CONG ACRYLIC'!#REF!="","",'GIA CONG ACRYLIC'!#REF!)</f>
        <v>#REF!</v>
      </c>
      <c r="J23" s="3" t="e">
        <f>IF('GIA CONG ACRYLIC'!#REF!="","",'GIA CONG ACRYLIC'!#REF!)</f>
        <v>#REF!</v>
      </c>
      <c r="K23" s="3" t="e">
        <f>IF('GIA CONG ACRYLIC'!#REF!="","",'GIA CONG ACRYLIC'!#REF!)</f>
        <v>#REF!</v>
      </c>
      <c r="L23" s="3" t="e">
        <f>IF('GIA CONG ACRYLIC'!#REF!="","",'GIA CONG ACRYLIC'!#REF!)</f>
        <v>#REF!</v>
      </c>
      <c r="M23" s="3" t="e">
        <f>IF('GIA CONG ACRYLIC'!#REF!="","",'GIA CONG ACRYLIC'!#REF!)</f>
        <v>#REF!</v>
      </c>
      <c r="N23" s="4" t="str">
        <f>'GIA CONG ACRYLIC'!$H$7</f>
        <v>L3287</v>
      </c>
      <c r="O23" s="3" t="e">
        <f>IF('GIA CONG ACRYLIC'!#REF!+'GIA CONG ACRYLIC'!#REF!="","",'GIA CONG ACRYLIC'!#REF!+'GIA CONG ACRYLIC'!#REF!)</f>
        <v>#REF!</v>
      </c>
      <c r="P23" s="4" t="e">
        <f>IF('LENH GIA CONG TAM'!#REF!="","",'LENH GIA CONG TAM'!#REF!)</f>
        <v>#REF!</v>
      </c>
      <c r="Q23" s="4" t="e">
        <f>IF('LENH GIA CONG TAM'!#REF!="","",'LENH GIA CONG TAM'!#REF!)</f>
        <v>#REF!</v>
      </c>
      <c r="R23" s="130">
        <f>'GIA CONG ACRYLIC'!$M$6</f>
        <v>46196.643055555556</v>
      </c>
      <c r="S23" s="4">
        <f>'GIA CONG ACRYLIC'!$M$7</f>
        <v>2</v>
      </c>
      <c r="T23" s="130">
        <f>'GIA CONG ACRYLIC'!$M$8</f>
        <v>46198.643055555556</v>
      </c>
    </row>
    <row r="24" spans="1:20" x14ac:dyDescent="0.25">
      <c r="A24" s="3" t="e">
        <f>IF('GIA CONG ACRYLIC'!#REF!="","",'GIA CONG ACRYLIC'!#REF!)</f>
        <v>#REF!</v>
      </c>
      <c r="B24" s="3" t="e">
        <f>IF('GIA CONG ACRYLIC'!#REF!="","",'GIA CONG ACRYLIC'!#REF!)</f>
        <v>#REF!</v>
      </c>
      <c r="C24" s="3" t="e">
        <f>IF('GIA CONG ACRYLIC'!#REF!="","",'GIA CONG ACRYLIC'!#REF!)</f>
        <v>#REF!</v>
      </c>
      <c r="D24" s="3" t="e">
        <f>IF('GIA CONG ACRYLIC'!#REF!="","",'GIA CONG ACRYLIC'!#REF!)</f>
        <v>#REF!</v>
      </c>
      <c r="E24" s="3" t="e">
        <f>IF('GIA CONG ACRYLIC'!#REF!="","",'GIA CONG ACRYLIC'!#REF!)</f>
        <v>#REF!</v>
      </c>
      <c r="F24" s="3" t="e">
        <f>IF('GIA CONG ACRYLIC'!#REF!="","",'GIA CONG ACRYLIC'!#REF!)</f>
        <v>#REF!</v>
      </c>
      <c r="G24" s="3" t="e">
        <f>IF('GIA CONG ACRYLIC'!#REF!="","",'GIA CONG ACRYLIC'!#REF!)</f>
        <v>#REF!</v>
      </c>
      <c r="H24" s="3" t="e">
        <f>IF('GIA CONG ACRYLIC'!#REF!="","",'GIA CONG ACRYLIC'!#REF!)</f>
        <v>#REF!</v>
      </c>
      <c r="I24" s="3" t="e">
        <f>IF('GIA CONG ACRYLIC'!#REF!="","",'GIA CONG ACRYLIC'!#REF!)</f>
        <v>#REF!</v>
      </c>
      <c r="J24" s="3" t="e">
        <f>IF('GIA CONG ACRYLIC'!#REF!="","",'GIA CONG ACRYLIC'!#REF!)</f>
        <v>#REF!</v>
      </c>
      <c r="K24" s="3" t="e">
        <f>IF('GIA CONG ACRYLIC'!#REF!="","",'GIA CONG ACRYLIC'!#REF!)</f>
        <v>#REF!</v>
      </c>
      <c r="L24" s="3" t="e">
        <f>IF('GIA CONG ACRYLIC'!#REF!="","",'GIA CONG ACRYLIC'!#REF!)</f>
        <v>#REF!</v>
      </c>
      <c r="M24" s="3" t="e">
        <f>IF('GIA CONG ACRYLIC'!#REF!="","",'GIA CONG ACRYLIC'!#REF!)</f>
        <v>#REF!</v>
      </c>
      <c r="N24" s="4" t="str">
        <f>'GIA CONG ACRYLIC'!$H$7</f>
        <v>L3287</v>
      </c>
      <c r="O24" s="3" t="e">
        <f>IF('GIA CONG ACRYLIC'!#REF!+'GIA CONG ACRYLIC'!#REF!="","",'GIA CONG ACRYLIC'!#REF!+'GIA CONG ACRYLIC'!#REF!)</f>
        <v>#REF!</v>
      </c>
      <c r="P24" s="4" t="e">
        <f>IF('LENH GIA CONG TAM'!#REF!="","",'LENH GIA CONG TAM'!#REF!)</f>
        <v>#REF!</v>
      </c>
      <c r="Q24" s="4" t="e">
        <f>IF('LENH GIA CONG TAM'!#REF!="","",'LENH GIA CONG TAM'!#REF!)</f>
        <v>#REF!</v>
      </c>
      <c r="R24" s="130">
        <f>'GIA CONG ACRYLIC'!$M$6</f>
        <v>46196.643055555556</v>
      </c>
      <c r="S24" s="4">
        <f>'GIA CONG ACRYLIC'!$M$7</f>
        <v>2</v>
      </c>
      <c r="T24" s="130">
        <f>'GIA CONG ACRYLIC'!$M$8</f>
        <v>46198.643055555556</v>
      </c>
    </row>
    <row r="25" spans="1:20" x14ac:dyDescent="0.25">
      <c r="A25" s="3" t="e">
        <f>IF('GIA CONG ACRYLIC'!#REF!="","",'GIA CONG ACRYLIC'!#REF!)</f>
        <v>#REF!</v>
      </c>
      <c r="B25" s="3" t="e">
        <f>IF('GIA CONG ACRYLIC'!#REF!="","",'GIA CONG ACRYLIC'!#REF!)</f>
        <v>#REF!</v>
      </c>
      <c r="C25" s="3" t="e">
        <f>IF('GIA CONG ACRYLIC'!#REF!="","",'GIA CONG ACRYLIC'!#REF!)</f>
        <v>#REF!</v>
      </c>
      <c r="D25" s="3" t="e">
        <f>IF('GIA CONG ACRYLIC'!#REF!="","",'GIA CONG ACRYLIC'!#REF!)</f>
        <v>#REF!</v>
      </c>
      <c r="E25" s="3" t="e">
        <f>IF('GIA CONG ACRYLIC'!#REF!="","",'GIA CONG ACRYLIC'!#REF!)</f>
        <v>#REF!</v>
      </c>
      <c r="F25" s="3" t="e">
        <f>IF('GIA CONG ACRYLIC'!#REF!="","",'GIA CONG ACRYLIC'!#REF!)</f>
        <v>#REF!</v>
      </c>
      <c r="G25" s="3" t="e">
        <f>IF('GIA CONG ACRYLIC'!#REF!="","",'GIA CONG ACRYLIC'!#REF!)</f>
        <v>#REF!</v>
      </c>
      <c r="H25" s="3" t="e">
        <f>IF('GIA CONG ACRYLIC'!#REF!="","",'GIA CONG ACRYLIC'!#REF!)</f>
        <v>#REF!</v>
      </c>
      <c r="I25" s="3" t="e">
        <f>IF('GIA CONG ACRYLIC'!#REF!="","",'GIA CONG ACRYLIC'!#REF!)</f>
        <v>#REF!</v>
      </c>
      <c r="J25" s="3" t="e">
        <f>IF('GIA CONG ACRYLIC'!#REF!="","",'GIA CONG ACRYLIC'!#REF!)</f>
        <v>#REF!</v>
      </c>
      <c r="K25" s="3" t="e">
        <f>IF('GIA CONG ACRYLIC'!#REF!="","",'GIA CONG ACRYLIC'!#REF!)</f>
        <v>#REF!</v>
      </c>
      <c r="L25" s="3" t="e">
        <f>IF('GIA CONG ACRYLIC'!#REF!="","",'GIA CONG ACRYLIC'!#REF!)</f>
        <v>#REF!</v>
      </c>
      <c r="M25" s="3" t="e">
        <f>IF('GIA CONG ACRYLIC'!#REF!="","",'GIA CONG ACRYLIC'!#REF!)</f>
        <v>#REF!</v>
      </c>
      <c r="N25" s="4" t="str">
        <f>'GIA CONG ACRYLIC'!$H$7</f>
        <v>L3287</v>
      </c>
      <c r="O25" s="3" t="e">
        <f>IF('GIA CONG ACRYLIC'!#REF!+'GIA CONG ACRYLIC'!#REF!="","",'GIA CONG ACRYLIC'!#REF!+'GIA CONG ACRYLIC'!#REF!)</f>
        <v>#REF!</v>
      </c>
      <c r="P25" s="4" t="e">
        <f>IF('LENH GIA CONG TAM'!#REF!="","",'LENH GIA CONG TAM'!#REF!)</f>
        <v>#REF!</v>
      </c>
      <c r="Q25" s="4" t="e">
        <f>IF('LENH GIA CONG TAM'!#REF!="","",'LENH GIA CONG TAM'!#REF!)</f>
        <v>#REF!</v>
      </c>
      <c r="R25" s="130">
        <f>'GIA CONG ACRYLIC'!$M$6</f>
        <v>46196.643055555556</v>
      </c>
      <c r="S25" s="4">
        <f>'GIA CONG ACRYLIC'!$M$7</f>
        <v>2</v>
      </c>
      <c r="T25" s="130">
        <f>'GIA CONG ACRYLIC'!$M$8</f>
        <v>46198.643055555556</v>
      </c>
    </row>
    <row r="26" spans="1:20" x14ac:dyDescent="0.25">
      <c r="A26" s="3" t="e">
        <f>IF('GIA CONG ACRYLIC'!#REF!="","",'GIA CONG ACRYLIC'!#REF!)</f>
        <v>#REF!</v>
      </c>
      <c r="B26" s="3" t="e">
        <f>IF('GIA CONG ACRYLIC'!#REF!="","",'GIA CONG ACRYLIC'!#REF!)</f>
        <v>#REF!</v>
      </c>
      <c r="C26" s="3" t="e">
        <f>IF('GIA CONG ACRYLIC'!#REF!="","",'GIA CONG ACRYLIC'!#REF!)</f>
        <v>#REF!</v>
      </c>
      <c r="D26" s="3" t="e">
        <f>IF('GIA CONG ACRYLIC'!#REF!="","",'GIA CONG ACRYLIC'!#REF!)</f>
        <v>#REF!</v>
      </c>
      <c r="E26" s="3" t="e">
        <f>IF('GIA CONG ACRYLIC'!#REF!="","",'GIA CONG ACRYLIC'!#REF!)</f>
        <v>#REF!</v>
      </c>
      <c r="F26" s="3" t="e">
        <f>IF('GIA CONG ACRYLIC'!#REF!="","",'GIA CONG ACRYLIC'!#REF!)</f>
        <v>#REF!</v>
      </c>
      <c r="G26" s="3" t="e">
        <f>IF('GIA CONG ACRYLIC'!#REF!="","",'GIA CONG ACRYLIC'!#REF!)</f>
        <v>#REF!</v>
      </c>
      <c r="H26" s="3" t="e">
        <f>IF('GIA CONG ACRYLIC'!#REF!="","",'GIA CONG ACRYLIC'!#REF!)</f>
        <v>#REF!</v>
      </c>
      <c r="I26" s="3" t="e">
        <f>IF('GIA CONG ACRYLIC'!#REF!="","",'GIA CONG ACRYLIC'!#REF!)</f>
        <v>#REF!</v>
      </c>
      <c r="J26" s="3" t="e">
        <f>IF('GIA CONG ACRYLIC'!#REF!="","",'GIA CONG ACRYLIC'!#REF!)</f>
        <v>#REF!</v>
      </c>
      <c r="K26" s="3" t="e">
        <f>IF('GIA CONG ACRYLIC'!#REF!="","",'GIA CONG ACRYLIC'!#REF!)</f>
        <v>#REF!</v>
      </c>
      <c r="L26" s="3" t="e">
        <f>IF('GIA CONG ACRYLIC'!#REF!="","",'GIA CONG ACRYLIC'!#REF!)</f>
        <v>#REF!</v>
      </c>
      <c r="M26" s="3" t="e">
        <f>IF('GIA CONG ACRYLIC'!#REF!="","",'GIA CONG ACRYLIC'!#REF!)</f>
        <v>#REF!</v>
      </c>
      <c r="N26" s="4" t="str">
        <f>'GIA CONG ACRYLIC'!$H$7</f>
        <v>L3287</v>
      </c>
      <c r="O26" s="3" t="e">
        <f>IF('GIA CONG ACRYLIC'!#REF!+'GIA CONG ACRYLIC'!#REF!="","",'GIA CONG ACRYLIC'!#REF!+'GIA CONG ACRYLIC'!#REF!)</f>
        <v>#REF!</v>
      </c>
      <c r="P26" s="4" t="e">
        <f>IF('LENH GIA CONG TAM'!#REF!="","",'LENH GIA CONG TAM'!#REF!)</f>
        <v>#REF!</v>
      </c>
      <c r="Q26" s="4" t="e">
        <f>IF('LENH GIA CONG TAM'!#REF!="","",'LENH GIA CONG TAM'!#REF!)</f>
        <v>#REF!</v>
      </c>
      <c r="R26" s="130">
        <f>'GIA CONG ACRYLIC'!$M$6</f>
        <v>46196.643055555556</v>
      </c>
      <c r="S26" s="4">
        <f>'GIA CONG ACRYLIC'!$M$7</f>
        <v>2</v>
      </c>
      <c r="T26" s="130">
        <f>'GIA CONG ACRYLIC'!$M$8</f>
        <v>46198.643055555556</v>
      </c>
    </row>
    <row r="27" spans="1:20" x14ac:dyDescent="0.25">
      <c r="A27" s="3" t="e">
        <f>IF('GIA CONG ACRYLIC'!#REF!="","",'GIA CONG ACRYLIC'!#REF!)</f>
        <v>#REF!</v>
      </c>
      <c r="B27" s="3" t="e">
        <f>IF('GIA CONG ACRYLIC'!#REF!="","",'GIA CONG ACRYLIC'!#REF!)</f>
        <v>#REF!</v>
      </c>
      <c r="C27" s="3" t="e">
        <f>IF('GIA CONG ACRYLIC'!#REF!="","",'GIA CONG ACRYLIC'!#REF!)</f>
        <v>#REF!</v>
      </c>
      <c r="D27" s="3" t="e">
        <f>IF('GIA CONG ACRYLIC'!#REF!="","",'GIA CONG ACRYLIC'!#REF!)</f>
        <v>#REF!</v>
      </c>
      <c r="E27" s="3" t="e">
        <f>IF('GIA CONG ACRYLIC'!#REF!="","",'GIA CONG ACRYLIC'!#REF!)</f>
        <v>#REF!</v>
      </c>
      <c r="F27" s="3" t="e">
        <f>IF('GIA CONG ACRYLIC'!#REF!="","",'GIA CONG ACRYLIC'!#REF!)</f>
        <v>#REF!</v>
      </c>
      <c r="G27" s="3" t="e">
        <f>IF('GIA CONG ACRYLIC'!#REF!="","",'GIA CONG ACRYLIC'!#REF!)</f>
        <v>#REF!</v>
      </c>
      <c r="H27" s="3" t="e">
        <f>IF('GIA CONG ACRYLIC'!#REF!="","",'GIA CONG ACRYLIC'!#REF!)</f>
        <v>#REF!</v>
      </c>
      <c r="I27" s="3" t="e">
        <f>IF('GIA CONG ACRYLIC'!#REF!="","",'GIA CONG ACRYLIC'!#REF!)</f>
        <v>#REF!</v>
      </c>
      <c r="J27" s="3" t="e">
        <f>IF('GIA CONG ACRYLIC'!#REF!="","",'GIA CONG ACRYLIC'!#REF!)</f>
        <v>#REF!</v>
      </c>
      <c r="K27" s="3" t="e">
        <f>IF('GIA CONG ACRYLIC'!#REF!="","",'GIA CONG ACRYLIC'!#REF!)</f>
        <v>#REF!</v>
      </c>
      <c r="L27" s="3" t="e">
        <f>IF('GIA CONG ACRYLIC'!#REF!="","",'GIA CONG ACRYLIC'!#REF!)</f>
        <v>#REF!</v>
      </c>
      <c r="M27" s="3" t="e">
        <f>IF('GIA CONG ACRYLIC'!#REF!="","",'GIA CONG ACRYLIC'!#REF!)</f>
        <v>#REF!</v>
      </c>
      <c r="N27" s="4" t="str">
        <f>'GIA CONG ACRYLIC'!$H$7</f>
        <v>L3287</v>
      </c>
      <c r="O27" s="3" t="e">
        <f>IF('GIA CONG ACRYLIC'!#REF!+'GIA CONG ACRYLIC'!#REF!="","",'GIA CONG ACRYLIC'!#REF!+'GIA CONG ACRYLIC'!#REF!)</f>
        <v>#REF!</v>
      </c>
      <c r="P27" s="4" t="e">
        <f>IF('LENH GIA CONG TAM'!#REF!="","",'LENH GIA CONG TAM'!#REF!)</f>
        <v>#REF!</v>
      </c>
      <c r="Q27" s="4" t="e">
        <f>IF('LENH GIA CONG TAM'!#REF!="","",'LENH GIA CONG TAM'!#REF!)</f>
        <v>#REF!</v>
      </c>
      <c r="R27" s="130">
        <f>'GIA CONG ACRYLIC'!$M$6</f>
        <v>46196.643055555556</v>
      </c>
      <c r="S27" s="4">
        <f>'GIA CONG ACRYLIC'!$M$7</f>
        <v>2</v>
      </c>
      <c r="T27" s="130">
        <f>'GIA CONG ACRYLIC'!$M$8</f>
        <v>46198.643055555556</v>
      </c>
    </row>
    <row r="28" spans="1:20" x14ac:dyDescent="0.25">
      <c r="A28" s="3" t="e">
        <f>IF('GIA CONG ACRYLIC'!#REF!="","",'GIA CONG ACRYLIC'!#REF!)</f>
        <v>#REF!</v>
      </c>
      <c r="B28" s="3" t="e">
        <f>IF('GIA CONG ACRYLIC'!#REF!="","",'GIA CONG ACRYLIC'!#REF!)</f>
        <v>#REF!</v>
      </c>
      <c r="C28" s="3" t="e">
        <f>IF('GIA CONG ACRYLIC'!#REF!="","",'GIA CONG ACRYLIC'!#REF!)</f>
        <v>#REF!</v>
      </c>
      <c r="D28" s="3" t="e">
        <f>IF('GIA CONG ACRYLIC'!#REF!="","",'GIA CONG ACRYLIC'!#REF!)</f>
        <v>#REF!</v>
      </c>
      <c r="E28" s="3" t="e">
        <f>IF('GIA CONG ACRYLIC'!#REF!="","",'GIA CONG ACRYLIC'!#REF!)</f>
        <v>#REF!</v>
      </c>
      <c r="F28" s="3" t="e">
        <f>IF('GIA CONG ACRYLIC'!#REF!="","",'GIA CONG ACRYLIC'!#REF!)</f>
        <v>#REF!</v>
      </c>
      <c r="G28" s="3" t="e">
        <f>IF('GIA CONG ACRYLIC'!#REF!="","",'GIA CONG ACRYLIC'!#REF!)</f>
        <v>#REF!</v>
      </c>
      <c r="H28" s="3" t="e">
        <f>IF('GIA CONG ACRYLIC'!#REF!="","",'GIA CONG ACRYLIC'!#REF!)</f>
        <v>#REF!</v>
      </c>
      <c r="I28" s="3" t="e">
        <f>IF('GIA CONG ACRYLIC'!#REF!="","",'GIA CONG ACRYLIC'!#REF!)</f>
        <v>#REF!</v>
      </c>
      <c r="J28" s="3" t="e">
        <f>IF('GIA CONG ACRYLIC'!#REF!="","",'GIA CONG ACRYLIC'!#REF!)</f>
        <v>#REF!</v>
      </c>
      <c r="K28" s="3" t="e">
        <f>IF('GIA CONG ACRYLIC'!#REF!="","",'GIA CONG ACRYLIC'!#REF!)</f>
        <v>#REF!</v>
      </c>
      <c r="L28" s="3" t="e">
        <f>IF('GIA CONG ACRYLIC'!#REF!="","",'GIA CONG ACRYLIC'!#REF!)</f>
        <v>#REF!</v>
      </c>
      <c r="M28" s="3" t="e">
        <f>IF('GIA CONG ACRYLIC'!#REF!="","",'GIA CONG ACRYLIC'!#REF!)</f>
        <v>#REF!</v>
      </c>
      <c r="N28" s="4" t="str">
        <f>'GIA CONG ACRYLIC'!$H$7</f>
        <v>L3287</v>
      </c>
      <c r="O28" s="3" t="e">
        <f>IF('GIA CONG ACRYLIC'!#REF!+'GIA CONG ACRYLIC'!#REF!="","",'GIA CONG ACRYLIC'!#REF!+'GIA CONG ACRYLIC'!#REF!)</f>
        <v>#REF!</v>
      </c>
      <c r="P28" s="4" t="e">
        <f>IF('LENH GIA CONG TAM'!#REF!="","",'LENH GIA CONG TAM'!#REF!)</f>
        <v>#REF!</v>
      </c>
      <c r="Q28" s="4" t="e">
        <f>IF('LENH GIA CONG TAM'!#REF!="","",'LENH GIA CONG TAM'!#REF!)</f>
        <v>#REF!</v>
      </c>
      <c r="R28" s="130">
        <f>'GIA CONG ACRYLIC'!$M$6</f>
        <v>46196.643055555556</v>
      </c>
      <c r="S28" s="4">
        <f>'GIA CONG ACRYLIC'!$M$7</f>
        <v>2</v>
      </c>
      <c r="T28" s="130">
        <f>'GIA CONG ACRYLIC'!$M$8</f>
        <v>46198.643055555556</v>
      </c>
    </row>
    <row r="29" spans="1:20" x14ac:dyDescent="0.25">
      <c r="A29" s="3" t="e">
        <f>IF('GIA CONG ACRYLIC'!#REF!="","",'GIA CONG ACRYLIC'!#REF!)</f>
        <v>#REF!</v>
      </c>
      <c r="B29" s="3" t="e">
        <f>IF('GIA CONG ACRYLIC'!#REF!="","",'GIA CONG ACRYLIC'!#REF!)</f>
        <v>#REF!</v>
      </c>
      <c r="C29" s="3" t="e">
        <f>IF('GIA CONG ACRYLIC'!#REF!="","",'GIA CONG ACRYLIC'!#REF!)</f>
        <v>#REF!</v>
      </c>
      <c r="D29" s="3" t="e">
        <f>IF('GIA CONG ACRYLIC'!#REF!="","",'GIA CONG ACRYLIC'!#REF!)</f>
        <v>#REF!</v>
      </c>
      <c r="E29" s="3" t="e">
        <f>IF('GIA CONG ACRYLIC'!#REF!="","",'GIA CONG ACRYLIC'!#REF!)</f>
        <v>#REF!</v>
      </c>
      <c r="F29" s="3" t="e">
        <f>IF('GIA CONG ACRYLIC'!#REF!="","",'GIA CONG ACRYLIC'!#REF!)</f>
        <v>#REF!</v>
      </c>
      <c r="G29" s="3" t="e">
        <f>IF('GIA CONG ACRYLIC'!#REF!="","",'GIA CONG ACRYLIC'!#REF!)</f>
        <v>#REF!</v>
      </c>
      <c r="H29" s="3" t="e">
        <f>IF('GIA CONG ACRYLIC'!#REF!="","",'GIA CONG ACRYLIC'!#REF!)</f>
        <v>#REF!</v>
      </c>
      <c r="I29" s="3" t="e">
        <f>IF('GIA CONG ACRYLIC'!#REF!="","",'GIA CONG ACRYLIC'!#REF!)</f>
        <v>#REF!</v>
      </c>
      <c r="J29" s="3" t="e">
        <f>IF('GIA CONG ACRYLIC'!#REF!="","",'GIA CONG ACRYLIC'!#REF!)</f>
        <v>#REF!</v>
      </c>
      <c r="K29" s="3" t="e">
        <f>IF('GIA CONG ACRYLIC'!#REF!="","",'GIA CONG ACRYLIC'!#REF!)</f>
        <v>#REF!</v>
      </c>
      <c r="L29" s="3" t="e">
        <f>IF('GIA CONG ACRYLIC'!#REF!="","",'GIA CONG ACRYLIC'!#REF!)</f>
        <v>#REF!</v>
      </c>
      <c r="M29" s="3" t="e">
        <f>IF('GIA CONG ACRYLIC'!#REF!="","",'GIA CONG ACRYLIC'!#REF!)</f>
        <v>#REF!</v>
      </c>
      <c r="N29" s="4" t="str">
        <f>'GIA CONG ACRYLIC'!$H$7</f>
        <v>L3287</v>
      </c>
      <c r="O29" s="3" t="e">
        <f>IF('GIA CONG ACRYLIC'!#REF!+'GIA CONG ACRYLIC'!#REF!="","",'GIA CONG ACRYLIC'!#REF!+'GIA CONG ACRYLIC'!#REF!)</f>
        <v>#REF!</v>
      </c>
      <c r="P29" s="4" t="e">
        <f>IF('LENH GIA CONG TAM'!#REF!="","",'LENH GIA CONG TAM'!#REF!)</f>
        <v>#REF!</v>
      </c>
      <c r="Q29" s="4" t="e">
        <f>IF('LENH GIA CONG TAM'!#REF!="","",'LENH GIA CONG TAM'!#REF!)</f>
        <v>#REF!</v>
      </c>
      <c r="R29" s="130">
        <f>'GIA CONG ACRYLIC'!$M$6</f>
        <v>46196.643055555556</v>
      </c>
      <c r="S29" s="4">
        <f>'GIA CONG ACRYLIC'!$M$7</f>
        <v>2</v>
      </c>
      <c r="T29" s="130">
        <f>'GIA CONG ACRYLIC'!$M$8</f>
        <v>46198.643055555556</v>
      </c>
    </row>
    <row r="30" spans="1:20" x14ac:dyDescent="0.25">
      <c r="A30" s="3" t="e">
        <f>IF('GIA CONG ACRYLIC'!#REF!="","",'GIA CONG ACRYLIC'!#REF!)</f>
        <v>#REF!</v>
      </c>
      <c r="B30" s="3" t="e">
        <f>IF('GIA CONG ACRYLIC'!#REF!="","",'GIA CONG ACRYLIC'!#REF!)</f>
        <v>#REF!</v>
      </c>
      <c r="C30" s="3" t="e">
        <f>IF('GIA CONG ACRYLIC'!#REF!="","",'GIA CONG ACRYLIC'!#REF!)</f>
        <v>#REF!</v>
      </c>
      <c r="D30" s="3" t="e">
        <f>IF('GIA CONG ACRYLIC'!#REF!="","",'GIA CONG ACRYLIC'!#REF!)</f>
        <v>#REF!</v>
      </c>
      <c r="E30" s="3" t="e">
        <f>IF('GIA CONG ACRYLIC'!#REF!="","",'GIA CONG ACRYLIC'!#REF!)</f>
        <v>#REF!</v>
      </c>
      <c r="F30" s="3" t="e">
        <f>IF('GIA CONG ACRYLIC'!#REF!="","",'GIA CONG ACRYLIC'!#REF!)</f>
        <v>#REF!</v>
      </c>
      <c r="G30" s="3" t="e">
        <f>IF('GIA CONG ACRYLIC'!#REF!="","",'GIA CONG ACRYLIC'!#REF!)</f>
        <v>#REF!</v>
      </c>
      <c r="H30" s="3" t="e">
        <f>IF('GIA CONG ACRYLIC'!#REF!="","",'GIA CONG ACRYLIC'!#REF!)</f>
        <v>#REF!</v>
      </c>
      <c r="I30" s="3" t="e">
        <f>IF('GIA CONG ACRYLIC'!#REF!="","",'GIA CONG ACRYLIC'!#REF!)</f>
        <v>#REF!</v>
      </c>
      <c r="J30" s="3" t="e">
        <f>IF('GIA CONG ACRYLIC'!#REF!="","",'GIA CONG ACRYLIC'!#REF!)</f>
        <v>#REF!</v>
      </c>
      <c r="K30" s="3" t="e">
        <f>IF('GIA CONG ACRYLIC'!#REF!="","",'GIA CONG ACRYLIC'!#REF!)</f>
        <v>#REF!</v>
      </c>
      <c r="L30" s="3" t="e">
        <f>IF('GIA CONG ACRYLIC'!#REF!="","",'GIA CONG ACRYLIC'!#REF!)</f>
        <v>#REF!</v>
      </c>
      <c r="M30" s="3" t="e">
        <f>IF('GIA CONG ACRYLIC'!#REF!="","",'GIA CONG ACRYLIC'!#REF!)</f>
        <v>#REF!</v>
      </c>
      <c r="N30" s="4" t="str">
        <f>'GIA CONG ACRYLIC'!$H$7</f>
        <v>L3287</v>
      </c>
      <c r="O30" s="3" t="e">
        <f>IF('GIA CONG ACRYLIC'!#REF!+'GIA CONG ACRYLIC'!#REF!="","",'GIA CONG ACRYLIC'!#REF!+'GIA CONG ACRYLIC'!#REF!)</f>
        <v>#REF!</v>
      </c>
      <c r="P30" s="4" t="e">
        <f>IF('LENH GIA CONG TAM'!#REF!="","",'LENH GIA CONG TAM'!#REF!)</f>
        <v>#REF!</v>
      </c>
      <c r="Q30" s="4" t="e">
        <f>IF('LENH GIA CONG TAM'!#REF!="","",'LENH GIA CONG TAM'!#REF!)</f>
        <v>#REF!</v>
      </c>
      <c r="R30" s="130">
        <f>'GIA CONG ACRYLIC'!$M$6</f>
        <v>46196.643055555556</v>
      </c>
      <c r="S30" s="4">
        <f>'GIA CONG ACRYLIC'!$M$7</f>
        <v>2</v>
      </c>
      <c r="T30" s="130">
        <f>'GIA CONG ACRYLIC'!$M$8</f>
        <v>46198.643055555556</v>
      </c>
    </row>
    <row r="31" spans="1:20" x14ac:dyDescent="0.25">
      <c r="A31" s="3" t="e">
        <f>IF('GIA CONG ACRYLIC'!#REF!="","",'GIA CONG ACRYLIC'!#REF!)</f>
        <v>#REF!</v>
      </c>
      <c r="B31" s="3" t="e">
        <f>IF('GIA CONG ACRYLIC'!#REF!="","",'GIA CONG ACRYLIC'!#REF!)</f>
        <v>#REF!</v>
      </c>
      <c r="C31" s="3" t="e">
        <f>IF('GIA CONG ACRYLIC'!#REF!="","",'GIA CONG ACRYLIC'!#REF!)</f>
        <v>#REF!</v>
      </c>
      <c r="D31" s="3" t="e">
        <f>IF('GIA CONG ACRYLIC'!#REF!="","",'GIA CONG ACRYLIC'!#REF!)</f>
        <v>#REF!</v>
      </c>
      <c r="E31" s="3" t="e">
        <f>IF('GIA CONG ACRYLIC'!#REF!="","",'GIA CONG ACRYLIC'!#REF!)</f>
        <v>#REF!</v>
      </c>
      <c r="F31" s="3" t="e">
        <f>IF('GIA CONG ACRYLIC'!#REF!="","",'GIA CONG ACRYLIC'!#REF!)</f>
        <v>#REF!</v>
      </c>
      <c r="G31" s="3" t="e">
        <f>IF('GIA CONG ACRYLIC'!#REF!="","",'GIA CONG ACRYLIC'!#REF!)</f>
        <v>#REF!</v>
      </c>
      <c r="H31" s="3" t="e">
        <f>IF('GIA CONG ACRYLIC'!#REF!="","",'GIA CONG ACRYLIC'!#REF!)</f>
        <v>#REF!</v>
      </c>
      <c r="I31" s="3" t="e">
        <f>IF('GIA CONG ACRYLIC'!#REF!="","",'GIA CONG ACRYLIC'!#REF!)</f>
        <v>#REF!</v>
      </c>
      <c r="J31" s="3" t="e">
        <f>IF('GIA CONG ACRYLIC'!#REF!="","",'GIA CONG ACRYLIC'!#REF!)</f>
        <v>#REF!</v>
      </c>
      <c r="K31" s="3" t="e">
        <f>IF('GIA CONG ACRYLIC'!#REF!="","",'GIA CONG ACRYLIC'!#REF!)</f>
        <v>#REF!</v>
      </c>
      <c r="L31" s="3" t="e">
        <f>IF('GIA CONG ACRYLIC'!#REF!="","",'GIA CONG ACRYLIC'!#REF!)</f>
        <v>#REF!</v>
      </c>
      <c r="M31" s="3" t="e">
        <f>IF('GIA CONG ACRYLIC'!#REF!="","",'GIA CONG ACRYLIC'!#REF!)</f>
        <v>#REF!</v>
      </c>
      <c r="N31" s="4" t="str">
        <f>'GIA CONG ACRYLIC'!$H$7</f>
        <v>L3287</v>
      </c>
      <c r="O31" s="3" t="e">
        <f>IF('GIA CONG ACRYLIC'!#REF!+'GIA CONG ACRYLIC'!#REF!="","",'GIA CONG ACRYLIC'!#REF!+'GIA CONG ACRYLIC'!#REF!)</f>
        <v>#REF!</v>
      </c>
      <c r="P31" s="4" t="e">
        <f>IF('LENH GIA CONG TAM'!#REF!="","",'LENH GIA CONG TAM'!#REF!)</f>
        <v>#REF!</v>
      </c>
      <c r="Q31" s="4" t="e">
        <f>IF('LENH GIA CONG TAM'!#REF!="","",'LENH GIA CONG TAM'!#REF!)</f>
        <v>#REF!</v>
      </c>
      <c r="R31" s="130">
        <f>'GIA CONG ACRYLIC'!$M$6</f>
        <v>46196.643055555556</v>
      </c>
      <c r="S31" s="4">
        <f>'GIA CONG ACRYLIC'!$M$7</f>
        <v>2</v>
      </c>
      <c r="T31" s="130">
        <f>'GIA CONG ACRYLIC'!$M$8</f>
        <v>46198.643055555556</v>
      </c>
    </row>
    <row r="32" spans="1:20" x14ac:dyDescent="0.25">
      <c r="A32" s="3" t="e">
        <f>IF('GIA CONG ACRYLIC'!#REF!="","",'GIA CONG ACRYLIC'!#REF!)</f>
        <v>#REF!</v>
      </c>
      <c r="B32" s="3" t="e">
        <f>IF('GIA CONG ACRYLIC'!#REF!="","",'GIA CONG ACRYLIC'!#REF!)</f>
        <v>#REF!</v>
      </c>
      <c r="C32" s="3" t="e">
        <f>IF('GIA CONG ACRYLIC'!#REF!="","",'GIA CONG ACRYLIC'!#REF!)</f>
        <v>#REF!</v>
      </c>
      <c r="D32" s="3" t="e">
        <f>IF('GIA CONG ACRYLIC'!#REF!="","",'GIA CONG ACRYLIC'!#REF!)</f>
        <v>#REF!</v>
      </c>
      <c r="E32" s="3" t="e">
        <f>IF('GIA CONG ACRYLIC'!#REF!="","",'GIA CONG ACRYLIC'!#REF!)</f>
        <v>#REF!</v>
      </c>
      <c r="F32" s="3" t="e">
        <f>IF('GIA CONG ACRYLIC'!#REF!="","",'GIA CONG ACRYLIC'!#REF!)</f>
        <v>#REF!</v>
      </c>
      <c r="G32" s="3" t="e">
        <f>IF('GIA CONG ACRYLIC'!#REF!="","",'GIA CONG ACRYLIC'!#REF!)</f>
        <v>#REF!</v>
      </c>
      <c r="H32" s="3" t="e">
        <f>IF('GIA CONG ACRYLIC'!#REF!="","",'GIA CONG ACRYLIC'!#REF!)</f>
        <v>#REF!</v>
      </c>
      <c r="I32" s="3" t="e">
        <f>IF('GIA CONG ACRYLIC'!#REF!="","",'GIA CONG ACRYLIC'!#REF!)</f>
        <v>#REF!</v>
      </c>
      <c r="J32" s="3" t="e">
        <f>IF('GIA CONG ACRYLIC'!#REF!="","",'GIA CONG ACRYLIC'!#REF!)</f>
        <v>#REF!</v>
      </c>
      <c r="K32" s="3" t="e">
        <f>IF('GIA CONG ACRYLIC'!#REF!="","",'GIA CONG ACRYLIC'!#REF!)</f>
        <v>#REF!</v>
      </c>
      <c r="L32" s="3" t="e">
        <f>IF('GIA CONG ACRYLIC'!#REF!="","",'GIA CONG ACRYLIC'!#REF!)</f>
        <v>#REF!</v>
      </c>
      <c r="M32" s="3" t="e">
        <f>IF('GIA CONG ACRYLIC'!#REF!="","",'GIA CONG ACRYLIC'!#REF!)</f>
        <v>#REF!</v>
      </c>
      <c r="N32" s="4" t="str">
        <f>'GIA CONG ACRYLIC'!$H$7</f>
        <v>L3287</v>
      </c>
      <c r="O32" s="3" t="e">
        <f>IF('GIA CONG ACRYLIC'!#REF!+'GIA CONG ACRYLIC'!#REF!="","",'GIA CONG ACRYLIC'!#REF!+'GIA CONG ACRYLIC'!#REF!)</f>
        <v>#REF!</v>
      </c>
      <c r="P32" s="4" t="e">
        <f>IF('LENH GIA CONG TAM'!#REF!="","",'LENH GIA CONG TAM'!#REF!)</f>
        <v>#REF!</v>
      </c>
      <c r="Q32" s="4" t="e">
        <f>IF('LENH GIA CONG TAM'!#REF!="","",'LENH GIA CONG TAM'!#REF!)</f>
        <v>#REF!</v>
      </c>
      <c r="R32" s="130">
        <f>'GIA CONG ACRYLIC'!$M$6</f>
        <v>46196.643055555556</v>
      </c>
      <c r="S32" s="4">
        <f>'GIA CONG ACRYLIC'!$M$7</f>
        <v>2</v>
      </c>
      <c r="T32" s="130">
        <f>'GIA CONG ACRYLIC'!$M$8</f>
        <v>46198.643055555556</v>
      </c>
    </row>
    <row r="33" spans="1:20" x14ac:dyDescent="0.25">
      <c r="A33" s="3" t="str">
        <f>IF('GIA CONG ACRYLIC'!A65="","",'GIA CONG ACRYLIC'!A65)</f>
        <v/>
      </c>
      <c r="B33" s="3" t="str">
        <f>IF('GIA CONG ACRYLIC'!B65="","",'GIA CONG ACRYLIC'!B65)</f>
        <v/>
      </c>
      <c r="C33" s="3" t="str">
        <f>IF('GIA CONG ACRYLIC'!C65="","",'GIA CONG ACRYLIC'!C65)</f>
        <v/>
      </c>
      <c r="D33" s="3" t="str">
        <f>IF('GIA CONG ACRYLIC'!D65="","",'GIA CONG ACRYLIC'!D65)</f>
        <v/>
      </c>
      <c r="E33" s="3" t="str">
        <f>IF('GIA CONG ACRYLIC'!E65="","",'GIA CONG ACRYLIC'!E65)</f>
        <v/>
      </c>
      <c r="F33" s="3">
        <f>IF('GIA CONG ACRYLIC'!F65="","",'GIA CONG ACRYLIC'!F65)</f>
        <v>50</v>
      </c>
      <c r="G33" s="3" t="str">
        <f>IF('GIA CONG ACRYLIC'!G65="","",'GIA CONG ACRYLIC'!G65)</f>
        <v/>
      </c>
      <c r="H33" s="3" t="str">
        <f>IF('GIA CONG ACRYLIC'!H65="","",'GIA CONG ACRYLIC'!H65)</f>
        <v/>
      </c>
      <c r="I33" s="3">
        <f>IF('GIA CONG ACRYLIC'!I65="","",'GIA CONG ACRYLIC'!I65)</f>
        <v>12.631213999999998</v>
      </c>
      <c r="J33" s="3">
        <f>IF('GIA CONG ACRYLIC'!J65="","",'GIA CONG ACRYLIC'!J65)</f>
        <v>4.1679999999999993</v>
      </c>
      <c r="K33" s="3" t="str">
        <f>IF('GIA CONG ACRYLIC'!K65="","",'GIA CONG ACRYLIC'!K65)</f>
        <v/>
      </c>
      <c r="L33" s="3" t="str">
        <f>IF('GIA CONG ACRYLIC'!L65="","",'GIA CONG ACRYLIC'!L65)</f>
        <v/>
      </c>
      <c r="M33" s="3" t="str">
        <f>IF('GIA CONG ACRYLIC'!M65="","",'GIA CONG ACRYLIC'!M65)</f>
        <v/>
      </c>
      <c r="N33" s="4" t="str">
        <f>'GIA CONG ACRYLIC'!$H$7</f>
        <v>L3287</v>
      </c>
      <c r="O33" s="3">
        <f>IF('GIA CONG ACRYLIC'!I65+'GIA CONG ACRYLIC'!J65="","",'GIA CONG ACRYLIC'!I65+'GIA CONG ACRYLIC'!J65)</f>
        <v>16.799213999999999</v>
      </c>
      <c r="P33" s="4">
        <f>IF('LENH GIA CONG TAM'!H21="","",'LENH GIA CONG TAM'!H21)</f>
        <v>1.228</v>
      </c>
      <c r="Q33" s="4">
        <f>IF('LENH GIA CONG TAM'!I21="","",'LENH GIA CONG TAM'!I21)</f>
        <v>0</v>
      </c>
      <c r="R33" s="130">
        <f>'GIA CONG ACRYLIC'!$M$6</f>
        <v>46196.643055555556</v>
      </c>
      <c r="S33" s="4">
        <f>'GIA CONG ACRYLIC'!$M$7</f>
        <v>2</v>
      </c>
      <c r="T33" s="130">
        <f>'GIA CONG ACRYLIC'!$M$8</f>
        <v>46198.643055555556</v>
      </c>
    </row>
    <row r="34" spans="1:20" x14ac:dyDescent="0.25">
      <c r="A34" s="3" t="e">
        <f>IF('GIA CONG ACRYLIC'!#REF!="","",'GIA CONG ACRYLIC'!#REF!)</f>
        <v>#REF!</v>
      </c>
      <c r="B34" s="3" t="e">
        <f>IF('GIA CONG ACRYLIC'!#REF!="","",'GIA CONG ACRYLIC'!#REF!)</f>
        <v>#REF!</v>
      </c>
      <c r="C34" s="3" t="e">
        <f>IF('GIA CONG ACRYLIC'!#REF!="","",'GIA CONG ACRYLIC'!#REF!)</f>
        <v>#REF!</v>
      </c>
      <c r="D34" s="3" t="e">
        <f>IF('GIA CONG ACRYLIC'!#REF!="","",'GIA CONG ACRYLIC'!#REF!)</f>
        <v>#REF!</v>
      </c>
      <c r="E34" s="3" t="e">
        <f>IF('GIA CONG ACRYLIC'!#REF!="","",'GIA CONG ACRYLIC'!#REF!)</f>
        <v>#REF!</v>
      </c>
      <c r="F34" s="3" t="e">
        <f>IF('GIA CONG ACRYLIC'!#REF!="","",'GIA CONG ACRYLIC'!#REF!)</f>
        <v>#REF!</v>
      </c>
      <c r="G34" s="3" t="e">
        <f>IF('GIA CONG ACRYLIC'!#REF!="","",'GIA CONG ACRYLIC'!#REF!)</f>
        <v>#REF!</v>
      </c>
      <c r="H34" s="3" t="e">
        <f>IF('GIA CONG ACRYLIC'!#REF!="","",'GIA CONG ACRYLIC'!#REF!)</f>
        <v>#REF!</v>
      </c>
      <c r="I34" s="3" t="e">
        <f>IF('GIA CONG ACRYLIC'!#REF!="","",'GIA CONG ACRYLIC'!#REF!)</f>
        <v>#REF!</v>
      </c>
      <c r="J34" s="3" t="e">
        <f>IF('GIA CONG ACRYLIC'!#REF!="","",'GIA CONG ACRYLIC'!#REF!)</f>
        <v>#REF!</v>
      </c>
      <c r="K34" s="3" t="e">
        <f>IF('GIA CONG ACRYLIC'!#REF!="","",'GIA CONG ACRYLIC'!#REF!)</f>
        <v>#REF!</v>
      </c>
      <c r="L34" s="3" t="e">
        <f>IF('GIA CONG ACRYLIC'!#REF!="","",'GIA CONG ACRYLIC'!#REF!)</f>
        <v>#REF!</v>
      </c>
      <c r="M34" s="3" t="e">
        <f>IF('GIA CONG ACRYLIC'!#REF!="","",'GIA CONG ACRYLIC'!#REF!)</f>
        <v>#REF!</v>
      </c>
      <c r="N34" s="4" t="str">
        <f>'GIA CONG ACRYLIC'!$H$7</f>
        <v>L3287</v>
      </c>
      <c r="O34" s="3" t="e">
        <f>IF('GIA CONG ACRYLIC'!#REF!+'GIA CONG ACRYLIC'!#REF!="","",'GIA CONG ACRYLIC'!#REF!+'GIA CONG ACRYLIC'!#REF!)</f>
        <v>#REF!</v>
      </c>
      <c r="P34" s="4" t="str">
        <f>IF('LENH GIA CONG TAM'!H66="","",'LENH GIA CONG TAM'!H66)</f>
        <v/>
      </c>
      <c r="Q34" s="4" t="str">
        <f>IF('LENH GIA CONG TAM'!I66="","",'LENH GIA CONG TAM'!I66)</f>
        <v/>
      </c>
      <c r="R34" s="130">
        <f>'GIA CONG ACRYLIC'!$M$6</f>
        <v>46196.643055555556</v>
      </c>
      <c r="S34" s="4">
        <f>'GIA CONG ACRYLIC'!$M$7</f>
        <v>2</v>
      </c>
      <c r="T34" s="130">
        <f>'GIA CONG ACRYLIC'!$M$8</f>
        <v>46198.643055555556</v>
      </c>
    </row>
    <row r="35" spans="1:20" x14ac:dyDescent="0.25">
      <c r="A35" s="3" t="str">
        <f>IF('GIA CONG ACRYLIC'!A66="","",'GIA CONG ACRYLIC'!A66)</f>
        <v/>
      </c>
      <c r="B35" s="3" t="str">
        <f>IF('GIA CONG ACRYLIC'!B66="","",'GIA CONG ACRYLIC'!B66)</f>
        <v/>
      </c>
      <c r="C35" s="3" t="str">
        <f>IF('GIA CONG ACRYLIC'!C66="","",'GIA CONG ACRYLIC'!C66)</f>
        <v/>
      </c>
      <c r="D35" s="3" t="str">
        <f>IF('GIA CONG ACRYLIC'!D66="","",'GIA CONG ACRYLIC'!D66)</f>
        <v/>
      </c>
      <c r="E35" s="3" t="str">
        <f>IF('GIA CONG ACRYLIC'!E66="","",'GIA CONG ACRYLIC'!E66)</f>
        <v/>
      </c>
      <c r="F35" s="3" t="str">
        <f>IF('GIA CONG ACRYLIC'!F66="","",'GIA CONG ACRYLIC'!F66)</f>
        <v/>
      </c>
      <c r="G35" s="3" t="str">
        <f>IF('GIA CONG ACRYLIC'!G66="","",'GIA CONG ACRYLIC'!G66)</f>
        <v/>
      </c>
      <c r="H35" s="3" t="str">
        <f>IF('GIA CONG ACRYLIC'!H66="","",'GIA CONG ACRYLIC'!H66)</f>
        <v/>
      </c>
      <c r="I35" s="3" t="str">
        <f>IF('GIA CONG ACRYLIC'!I66="","",'GIA CONG ACRYLIC'!I66)</f>
        <v/>
      </c>
      <c r="J35" s="3" t="str">
        <f>IF('GIA CONG ACRYLIC'!J66="","",'GIA CONG ACRYLIC'!J66)</f>
        <v/>
      </c>
      <c r="K35" s="3" t="str">
        <f>IF('GIA CONG ACRYLIC'!K66="","",'GIA CONG ACRYLIC'!K66)</f>
        <v>TỔNG TIỀN HÀNG:</v>
      </c>
      <c r="L35" s="3">
        <f>IF('GIA CONG ACRYLIC'!L66="","",'GIA CONG ACRYLIC'!L66)</f>
        <v>15354000</v>
      </c>
      <c r="M35" s="3" t="str">
        <f>IF('GIA CONG ACRYLIC'!M66="","",'GIA CONG ACRYLIC'!M66)</f>
        <v/>
      </c>
      <c r="N35" s="4" t="str">
        <f>'GIA CONG ACRYLIC'!$H$7</f>
        <v>L3287</v>
      </c>
      <c r="O35" s="3">
        <f>IF('GIA CONG ACRYLIC'!I66+'GIA CONG ACRYLIC'!J66="","",'GIA CONG ACRYLIC'!I66+'GIA CONG ACRYLIC'!J66)</f>
        <v>0</v>
      </c>
      <c r="P35" s="4" t="str">
        <f>IF('LENH GIA CONG TAM'!H67="","",'LENH GIA CONG TAM'!H67)</f>
        <v/>
      </c>
      <c r="Q35" s="4" t="str">
        <f>IF('LENH GIA CONG TAM'!I67="","",'LENH GIA CONG TAM'!I67)</f>
        <v/>
      </c>
      <c r="R35" s="130">
        <f>'GIA CONG ACRYLIC'!$M$6</f>
        <v>46196.643055555556</v>
      </c>
      <c r="S35" s="4">
        <f>'GIA CONG ACRYLIC'!$M$7</f>
        <v>2</v>
      </c>
      <c r="T35" s="130">
        <f>'GIA CONG ACRYLIC'!$M$8</f>
        <v>46198.643055555556</v>
      </c>
    </row>
    <row r="36" spans="1:20" x14ac:dyDescent="0.25">
      <c r="A36" s="3" t="str">
        <f>IF('GIA CONG ACRYLIC'!A69="","",'GIA CONG ACRYLIC'!A69)</f>
        <v>Lưu ý:</v>
      </c>
      <c r="B36" s="3" t="str">
        <f>IF('GIA CONG ACRYLIC'!B69="","",'GIA CONG ACRYLIC'!B69)</f>
        <v/>
      </c>
      <c r="C36" s="3" t="str">
        <f>IF('GIA CONG ACRYLIC'!C69="","",'GIA CONG ACRYLIC'!C69)</f>
        <v/>
      </c>
      <c r="D36" s="3" t="str">
        <f>IF('GIA CONG ACRYLIC'!D69="","",'GIA CONG ACRYLIC'!D69)</f>
        <v/>
      </c>
      <c r="E36" s="3" t="str">
        <f>IF('GIA CONG ACRYLIC'!E69="","",'GIA CONG ACRYLIC'!E69)</f>
        <v/>
      </c>
      <c r="F36" s="3" t="str">
        <f>IF('GIA CONG ACRYLIC'!F69="","",'GIA CONG ACRYLIC'!F69)</f>
        <v/>
      </c>
      <c r="G36" s="3" t="str">
        <f>IF('GIA CONG ACRYLIC'!G69="","",'GIA CONG ACRYLIC'!G69)</f>
        <v/>
      </c>
      <c r="H36" s="3" t="str">
        <f>IF('GIA CONG ACRYLIC'!H69="","",'GIA CONG ACRYLIC'!H69)</f>
        <v/>
      </c>
      <c r="I36" s="3" t="str">
        <f>IF('GIA CONG ACRYLIC'!I69="","",'GIA CONG ACRYLIC'!I69)</f>
        <v/>
      </c>
      <c r="J36" s="3" t="str">
        <f>IF('GIA CONG ACRYLIC'!J69="","",'GIA CONG ACRYLIC'!J69)</f>
        <v/>
      </c>
      <c r="K36" s="3" t="str">
        <f>IF('GIA CONG ACRYLIC'!K69="","",'GIA CONG ACRYLIC'!K69)</f>
        <v/>
      </c>
      <c r="L36" s="3" t="str">
        <f>IF('GIA CONG ACRYLIC'!L69="","",'GIA CONG ACRYLIC'!L69)</f>
        <v/>
      </c>
      <c r="M36" s="3" t="str">
        <f>IF('GIA CONG ACRYLIC'!M69="","",'GIA CONG ACRYLIC'!M69)</f>
        <v/>
      </c>
      <c r="N36" s="4" t="str">
        <f>'GIA CONG ACRYLIC'!$H$7</f>
        <v>L3287</v>
      </c>
      <c r="O36" s="3">
        <f>IF('GIA CONG ACRYLIC'!I69+'GIA CONG ACRYLIC'!J69="","",'GIA CONG ACRYLIC'!I69+'GIA CONG ACRYLIC'!J69)</f>
        <v>0</v>
      </c>
      <c r="P36" s="4">
        <f>IF('LENH GIA CONG TAM'!H24="","",'LENH GIA CONG TAM'!H24)</f>
        <v>1.7810000000000001</v>
      </c>
      <c r="Q36" s="4">
        <f>IF('LENH GIA CONG TAM'!I24="","",'LENH GIA CONG TAM'!I24)</f>
        <v>0.315</v>
      </c>
      <c r="R36" s="130">
        <f>'GIA CONG ACRYLIC'!$M$6</f>
        <v>46196.643055555556</v>
      </c>
      <c r="S36" s="4">
        <f>'GIA CONG ACRYLIC'!$M$7</f>
        <v>2</v>
      </c>
      <c r="T36" s="130">
        <f>'GIA CONG ACRYLIC'!$M$8</f>
        <v>46198.643055555556</v>
      </c>
    </row>
    <row r="37" spans="1:20" x14ac:dyDescent="0.25">
      <c r="A37" s="3" t="str">
        <f>IF('GIA CONG ACRYLIC'!A70="","",'GIA CONG ACRYLIC'!A70)</f>
        <v/>
      </c>
      <c r="B37" s="3" t="str">
        <f>IF('GIA CONG ACRYLIC'!B70="","",'GIA CONG ACRYLIC'!B70)</f>
        <v/>
      </c>
      <c r="C37" s="3" t="str">
        <f>IF('GIA CONG ACRYLIC'!C70="","",'GIA CONG ACRYLIC'!C70)</f>
        <v>+ Khách hàng phải kiểm tra và xác nhận đã nhận đầy đủ số lượng, tình trạng bên ngoài của hàng như hàng không bị xước hoặc hư hỏng.</v>
      </c>
      <c r="D37" s="3" t="str">
        <f>IF('GIA CONG ACRYLIC'!D70="","",'GIA CONG ACRYLIC'!D70)</f>
        <v/>
      </c>
      <c r="E37" s="3" t="str">
        <f>IF('GIA CONG ACRYLIC'!E70="","",'GIA CONG ACRYLIC'!E70)</f>
        <v/>
      </c>
      <c r="F37" s="3" t="str">
        <f>IF('GIA CONG ACRYLIC'!F70="","",'GIA CONG ACRYLIC'!F70)</f>
        <v/>
      </c>
      <c r="G37" s="3" t="str">
        <f>IF('GIA CONG ACRYLIC'!G70="","",'GIA CONG ACRYLIC'!G70)</f>
        <v/>
      </c>
      <c r="H37" s="3" t="str">
        <f>IF('GIA CONG ACRYLIC'!H70="","",'GIA CONG ACRYLIC'!H70)</f>
        <v/>
      </c>
      <c r="I37" s="3" t="str">
        <f>IF('GIA CONG ACRYLIC'!I70="","",'GIA CONG ACRYLIC'!I70)</f>
        <v/>
      </c>
      <c r="J37" s="3" t="str">
        <f>IF('GIA CONG ACRYLIC'!J70="","",'GIA CONG ACRYLIC'!J70)</f>
        <v/>
      </c>
      <c r="K37" s="3" t="str">
        <f>IF('GIA CONG ACRYLIC'!K70="","",'GIA CONG ACRYLIC'!K70)</f>
        <v/>
      </c>
      <c r="L37" s="3" t="str">
        <f>IF('GIA CONG ACRYLIC'!L70="","",'GIA CONG ACRYLIC'!L70)</f>
        <v/>
      </c>
      <c r="M37" s="3" t="str">
        <f>IF('GIA CONG ACRYLIC'!M70="","",'GIA CONG ACRYLIC'!M70)</f>
        <v/>
      </c>
      <c r="N37" s="4" t="str">
        <f>'GIA CONG ACRYLIC'!$H$7</f>
        <v>L3287</v>
      </c>
      <c r="O37" s="3">
        <f>IF('GIA CONG ACRYLIC'!I70+'GIA CONG ACRYLIC'!J70="","",'GIA CONG ACRYLIC'!I70+'GIA CONG ACRYLIC'!J70)</f>
        <v>0</v>
      </c>
      <c r="P37" s="4">
        <f>IF('LENH GIA CONG TAM'!H25="","",'LENH GIA CONG TAM'!H25)</f>
        <v>3.1840000000000002</v>
      </c>
      <c r="Q37" s="4">
        <f>IF('LENH GIA CONG TAM'!I25="","",'LENH GIA CONG TAM'!I25)</f>
        <v>0</v>
      </c>
      <c r="R37" s="130">
        <f>'GIA CONG ACRYLIC'!$M$6</f>
        <v>46196.643055555556</v>
      </c>
      <c r="S37" s="4">
        <f>'GIA CONG ACRYLIC'!$M$7</f>
        <v>2</v>
      </c>
      <c r="T37" s="130">
        <f>'GIA CONG ACRYLIC'!$M$8</f>
        <v>46198.643055555556</v>
      </c>
    </row>
    <row r="38" spans="1:20" x14ac:dyDescent="0.25">
      <c r="A38" s="3" t="str">
        <f>IF('GIA CONG ACRYLIC'!A71="","",'GIA CONG ACRYLIC'!A71)</f>
        <v/>
      </c>
      <c r="B38" s="3" t="str">
        <f>IF('GIA CONG ACRYLIC'!B71="","",'GIA CONG ACRYLIC'!B71)</f>
        <v/>
      </c>
      <c r="C38" s="3" t="str">
        <f>IF('GIA CONG ACRYLIC'!C71="","",'GIA CONG ACRYLIC'!C71)</f>
        <v>+ Nếu khách hàng nhận hàng mà không kiểm tra hoặc bỏ qua bước kiểm tra và ký nhận thì bên cung cấp hàng không chịu trách nhiệm về việc hư hỏng hay thiếu sót hàng tính từ thời điểm giao xong hàng.</v>
      </c>
      <c r="D38" s="3" t="str">
        <f>IF('GIA CONG ACRYLIC'!D71="","",'GIA CONG ACRYLIC'!D71)</f>
        <v/>
      </c>
      <c r="E38" s="3" t="str">
        <f>IF('GIA CONG ACRYLIC'!E71="","",'GIA CONG ACRYLIC'!E71)</f>
        <v/>
      </c>
      <c r="F38" s="3" t="str">
        <f>IF('GIA CONG ACRYLIC'!F71="","",'GIA CONG ACRYLIC'!F71)</f>
        <v/>
      </c>
      <c r="G38" s="3" t="str">
        <f>IF('GIA CONG ACRYLIC'!G71="","",'GIA CONG ACRYLIC'!G71)</f>
        <v/>
      </c>
      <c r="H38" s="3" t="str">
        <f>IF('GIA CONG ACRYLIC'!H71="","",'GIA CONG ACRYLIC'!H71)</f>
        <v/>
      </c>
      <c r="I38" s="3" t="str">
        <f>IF('GIA CONG ACRYLIC'!I71="","",'GIA CONG ACRYLIC'!I71)</f>
        <v/>
      </c>
      <c r="J38" s="3" t="str">
        <f>IF('GIA CONG ACRYLIC'!J71="","",'GIA CONG ACRYLIC'!J71)</f>
        <v/>
      </c>
      <c r="K38" s="3" t="str">
        <f>IF('GIA CONG ACRYLIC'!K71="","",'GIA CONG ACRYLIC'!K71)</f>
        <v/>
      </c>
      <c r="L38" s="3" t="str">
        <f>IF('GIA CONG ACRYLIC'!L71="","",'GIA CONG ACRYLIC'!L71)</f>
        <v/>
      </c>
      <c r="M38" s="3" t="str">
        <f>IF('GIA CONG ACRYLIC'!M71="","",'GIA CONG ACRYLIC'!M71)</f>
        <v/>
      </c>
      <c r="N38" s="4" t="str">
        <f>'GIA CONG ACRYLIC'!$H$7</f>
        <v>L3287</v>
      </c>
      <c r="O38" s="3">
        <f>IF('GIA CONG ACRYLIC'!I71+'GIA CONG ACRYLIC'!J71="","",'GIA CONG ACRYLIC'!I71+'GIA CONG ACRYLIC'!J71)</f>
        <v>0</v>
      </c>
      <c r="P38" s="4">
        <f>IF('LENH GIA CONG TAM'!H26="","",'LENH GIA CONG TAM'!H26)</f>
        <v>2.87</v>
      </c>
      <c r="Q38" s="4">
        <f>IF('LENH GIA CONG TAM'!I26="","",'LENH GIA CONG TAM'!I26)</f>
        <v>0</v>
      </c>
      <c r="R38" s="130">
        <f>'GIA CONG ACRYLIC'!$M$6</f>
        <v>46196.643055555556</v>
      </c>
      <c r="S38" s="4">
        <f>'GIA CONG ACRYLIC'!$M$7</f>
        <v>2</v>
      </c>
      <c r="T38" s="130">
        <f>'GIA CONG ACRYLIC'!$M$8</f>
        <v>46198.643055555556</v>
      </c>
    </row>
    <row r="39" spans="1:20" x14ac:dyDescent="0.25">
      <c r="A39" s="3" t="str">
        <f>IF('GIA CONG ACRYLIC'!A72="","",'GIA CONG ACRYLIC'!A72)</f>
        <v/>
      </c>
      <c r="B39" s="3" t="str">
        <f>IF('GIA CONG ACRYLIC'!B72="","",'GIA CONG ACRYLIC'!B72)</f>
        <v/>
      </c>
      <c r="C39" s="3" t="str">
        <f>IF('GIA CONG ACRYLIC'!C72="","",'GIA CONG ACRYLIC'!C72)</f>
        <v/>
      </c>
      <c r="D39" s="3" t="str">
        <f>IF('GIA CONG ACRYLIC'!D72="","",'GIA CONG ACRYLIC'!D72)</f>
        <v/>
      </c>
      <c r="E39" s="3" t="str">
        <f>IF('GIA CONG ACRYLIC'!E72="","",'GIA CONG ACRYLIC'!E72)</f>
        <v/>
      </c>
      <c r="F39" s="3" t="str">
        <f>IF('GIA CONG ACRYLIC'!F72="","",'GIA CONG ACRYLIC'!F72)</f>
        <v/>
      </c>
      <c r="G39" s="3" t="str">
        <f>IF('GIA CONG ACRYLIC'!G72="","",'GIA CONG ACRYLIC'!G72)</f>
        <v/>
      </c>
      <c r="H39" s="3" t="str">
        <f>IF('GIA CONG ACRYLIC'!H72="","",'GIA CONG ACRYLIC'!H72)</f>
        <v/>
      </c>
      <c r="I39" s="3" t="str">
        <f>IF('GIA CONG ACRYLIC'!I72="","",'GIA CONG ACRYLIC'!I72)</f>
        <v/>
      </c>
      <c r="J39" s="3" t="str">
        <f>IF('GIA CONG ACRYLIC'!J72="","",'GIA CONG ACRYLIC'!J72)</f>
        <v/>
      </c>
      <c r="K39" s="3" t="str">
        <f>IF('GIA CONG ACRYLIC'!K72="","",'GIA CONG ACRYLIC'!K72)</f>
        <v/>
      </c>
      <c r="L39" s="3" t="str">
        <f>IF('GIA CONG ACRYLIC'!L72="","",'GIA CONG ACRYLIC'!L72)</f>
        <v/>
      </c>
      <c r="M39" s="3" t="str">
        <f>IF('GIA CONG ACRYLIC'!M72="","",'GIA CONG ACRYLIC'!M72)</f>
        <v/>
      </c>
      <c r="N39" s="4" t="str">
        <f>'GIA CONG ACRYLIC'!$H$7</f>
        <v>L3287</v>
      </c>
      <c r="O39" s="3">
        <f>IF('GIA CONG ACRYLIC'!I72+'GIA CONG ACRYLIC'!J72="","",'GIA CONG ACRYLIC'!I72+'GIA CONG ACRYLIC'!J72)</f>
        <v>0</v>
      </c>
      <c r="P39" s="4">
        <f>IF('LENH GIA CONG TAM'!H27="","",'LENH GIA CONG TAM'!H27)</f>
        <v>1.4889999999999999</v>
      </c>
      <c r="Q39" s="4">
        <f>IF('LENH GIA CONG TAM'!I27="","",'LENH GIA CONG TAM'!I27)</f>
        <v>0.78100000000000003</v>
      </c>
      <c r="R39" s="130">
        <f>'GIA CONG ACRYLIC'!$M$6</f>
        <v>46196.643055555556</v>
      </c>
      <c r="S39" s="4">
        <f>'GIA CONG ACRYLIC'!$M$7</f>
        <v>2</v>
      </c>
      <c r="T39" s="130">
        <f>'GIA CONG ACRYLIC'!$M$8</f>
        <v>46198.643055555556</v>
      </c>
    </row>
    <row r="40" spans="1:20" x14ac:dyDescent="0.25">
      <c r="A40" s="3" t="str">
        <f>IF('GIA CONG ACRYLIC'!A73="","",'GIA CONG ACRYLIC'!A73)</f>
        <v/>
      </c>
      <c r="B40" s="3" t="str">
        <f>IF('GIA CONG ACRYLIC'!B73="","",'GIA CONG ACRYLIC'!B73)</f>
        <v/>
      </c>
      <c r="C40" s="3" t="str">
        <f>IF('GIA CONG ACRYLIC'!C73="","",'GIA CONG ACRYLIC'!C73)</f>
        <v>XÁC NHẬN BÊN MUA HÀNG</v>
      </c>
      <c r="D40" s="3" t="str">
        <f>IF('GIA CONG ACRYLIC'!D73="","",'GIA CONG ACRYLIC'!D73)</f>
        <v/>
      </c>
      <c r="E40" s="3" t="str">
        <f>IF('GIA CONG ACRYLIC'!E73="","",'GIA CONG ACRYLIC'!E73)</f>
        <v/>
      </c>
      <c r="F40" s="3" t="str">
        <f>IF('GIA CONG ACRYLIC'!F73="","",'GIA CONG ACRYLIC'!F73)</f>
        <v/>
      </c>
      <c r="G40" s="3" t="str">
        <f>IF('GIA CONG ACRYLIC'!G73="","",'GIA CONG ACRYLIC'!G73)</f>
        <v>NGƯỜI CHÀO GIÁ</v>
      </c>
      <c r="H40" s="3" t="str">
        <f>IF('GIA CONG ACRYLIC'!H73="","",'GIA CONG ACRYLIC'!H73)</f>
        <v/>
      </c>
      <c r="I40" s="3" t="str">
        <f>IF('GIA CONG ACRYLIC'!I73="","",'GIA CONG ACRYLIC'!I73)</f>
        <v/>
      </c>
      <c r="J40" s="3" t="str">
        <f>IF('GIA CONG ACRYLIC'!J73="","",'GIA CONG ACRYLIC'!J73)</f>
        <v/>
      </c>
      <c r="K40" s="3" t="str">
        <f>IF('GIA CONG ACRYLIC'!K73="","",'GIA CONG ACRYLIC'!K73)</f>
        <v>KẾ TOÁN XÁC NHẬN</v>
      </c>
      <c r="L40" s="3" t="str">
        <f>IF('GIA CONG ACRYLIC'!L73="","",'GIA CONG ACRYLIC'!L73)</f>
        <v/>
      </c>
      <c r="M40" s="3" t="str">
        <f>IF('GIA CONG ACRYLIC'!M73="","",'GIA CONG ACRYLIC'!M73)</f>
        <v/>
      </c>
      <c r="N40" s="4" t="str">
        <f>'GIA CONG ACRYLIC'!$H$7</f>
        <v>L3287</v>
      </c>
      <c r="O40" s="3">
        <f>IF('GIA CONG ACRYLIC'!I73+'GIA CONG ACRYLIC'!J73="","",'GIA CONG ACRYLIC'!I73+'GIA CONG ACRYLIC'!J73)</f>
        <v>0</v>
      </c>
      <c r="P40" s="4">
        <f>IF('LENH GIA CONG TAM'!H28="","",'LENH GIA CONG TAM'!H28)</f>
        <v>1.4889999999999999</v>
      </c>
      <c r="Q40" s="4">
        <f>IF('LENH GIA CONG TAM'!I28="","",'LENH GIA CONG TAM'!I28)</f>
        <v>0.78100000000000003</v>
      </c>
      <c r="R40" s="130">
        <f>'GIA CONG ACRYLIC'!$M$6</f>
        <v>46196.643055555556</v>
      </c>
      <c r="S40" s="4">
        <f>'GIA CONG ACRYLIC'!$M$7</f>
        <v>2</v>
      </c>
      <c r="T40" s="130">
        <f>'GIA CONG ACRYLIC'!$M$8</f>
        <v>46198.643055555556</v>
      </c>
    </row>
    <row r="41" spans="1:20" x14ac:dyDescent="0.25">
      <c r="A41" s="3" t="str">
        <f>IF('GIA CONG ACRYLIC'!A74="","",'GIA CONG ACRYLIC'!A74)</f>
        <v/>
      </c>
      <c r="B41" s="3" t="str">
        <f>IF('GIA CONG ACRYLIC'!B74="","",'GIA CONG ACRYLIC'!B74)</f>
        <v>Ngày………….đã nhận đủ số lượng và đã kiểm tra hàng không bị xước hoặc hư hỏng.</v>
      </c>
      <c r="C41" s="3" t="str">
        <f>IF('GIA CONG ACRYLIC'!C74="","",'GIA CONG ACRYLIC'!C74)</f>
        <v/>
      </c>
      <c r="D41" s="3" t="str">
        <f>IF('GIA CONG ACRYLIC'!D74="","",'GIA CONG ACRYLIC'!D74)</f>
        <v/>
      </c>
      <c r="E41" s="3" t="str">
        <f>IF('GIA CONG ACRYLIC'!E74="","",'GIA CONG ACRYLIC'!E74)</f>
        <v/>
      </c>
      <c r="F41" s="3" t="str">
        <f>IF('GIA CONG ACRYLIC'!F74="","",'GIA CONG ACRYLIC'!F74)</f>
        <v/>
      </c>
      <c r="G41" s="3" t="str">
        <f>IF('GIA CONG ACRYLIC'!G74="","",'GIA CONG ACRYLIC'!G74)</f>
        <v>(Ký, ghi rõ họ tên)</v>
      </c>
      <c r="H41" s="3" t="str">
        <f>IF('GIA CONG ACRYLIC'!H74="","",'GIA CONG ACRYLIC'!H74)</f>
        <v/>
      </c>
      <c r="I41" s="3" t="str">
        <f>IF('GIA CONG ACRYLIC'!I74="","",'GIA CONG ACRYLIC'!I74)</f>
        <v/>
      </c>
      <c r="J41" s="3" t="str">
        <f>IF('GIA CONG ACRYLIC'!J74="","",'GIA CONG ACRYLIC'!J74)</f>
        <v/>
      </c>
      <c r="K41" s="3" t="str">
        <f>IF('GIA CONG ACRYLIC'!K74="","",'GIA CONG ACRYLIC'!K74)</f>
        <v>(Ký, ghi rõ họ tên)</v>
      </c>
      <c r="L41" s="3" t="str">
        <f>IF('GIA CONG ACRYLIC'!L74="","",'GIA CONG ACRYLIC'!L74)</f>
        <v/>
      </c>
      <c r="M41" s="3" t="str">
        <f>IF('GIA CONG ACRYLIC'!M74="","",'GIA CONG ACRYLIC'!M74)</f>
        <v/>
      </c>
      <c r="N41" s="4" t="str">
        <f>'GIA CONG ACRYLIC'!$H$7</f>
        <v>L3287</v>
      </c>
      <c r="O41" s="3">
        <f>IF('GIA CONG ACRYLIC'!I74+'GIA CONG ACRYLIC'!J74="","",'GIA CONG ACRYLIC'!I74+'GIA CONG ACRYLIC'!J74)</f>
        <v>0</v>
      </c>
      <c r="P41" s="4">
        <f>IF('LENH GIA CONG TAM'!H29="","",'LENH GIA CONG TAM'!H29)</f>
        <v>1.8430000000000002</v>
      </c>
      <c r="Q41" s="4">
        <f>IF('LENH GIA CONG TAM'!I29="","",'LENH GIA CONG TAM'!I29)</f>
        <v>0.377</v>
      </c>
      <c r="R41" s="130">
        <f>'GIA CONG ACRYLIC'!$M$6</f>
        <v>46196.643055555556</v>
      </c>
      <c r="S41" s="4">
        <f>'GIA CONG ACRYLIC'!$M$7</f>
        <v>2</v>
      </c>
      <c r="T41" s="130">
        <f>'GIA CONG ACRYLIC'!$M$8</f>
        <v>46198.643055555556</v>
      </c>
    </row>
    <row r="42" spans="1:20" x14ac:dyDescent="0.25">
      <c r="A42" s="3" t="str">
        <f>IF('GIA CONG ACRYLIC'!A75="","",'GIA CONG ACRYLIC'!A75)</f>
        <v/>
      </c>
      <c r="B42" s="3" t="str">
        <f>IF('GIA CONG ACRYLIC'!B75="","",'GIA CONG ACRYLIC'!B75)</f>
        <v/>
      </c>
      <c r="C42" s="3" t="str">
        <f>IF('GIA CONG ACRYLIC'!C75="","",'GIA CONG ACRYLIC'!C75)</f>
        <v>(Ký, ghi rõ họ tên)</v>
      </c>
      <c r="D42" s="3" t="str">
        <f>IF('GIA CONG ACRYLIC'!D75="","",'GIA CONG ACRYLIC'!D75)</f>
        <v/>
      </c>
      <c r="E42" s="3" t="str">
        <f>IF('GIA CONG ACRYLIC'!E75="","",'GIA CONG ACRYLIC'!E75)</f>
        <v/>
      </c>
      <c r="F42" s="3" t="str">
        <f>IF('GIA CONG ACRYLIC'!F75="","",'GIA CONG ACRYLIC'!F75)</f>
        <v/>
      </c>
      <c r="G42" s="3" t="str">
        <f>IF('GIA CONG ACRYLIC'!G75="","",'GIA CONG ACRYLIC'!G75)</f>
        <v/>
      </c>
      <c r="H42" s="3" t="str">
        <f>IF('GIA CONG ACRYLIC'!H75="","",'GIA CONG ACRYLIC'!H75)</f>
        <v/>
      </c>
      <c r="I42" s="3" t="str">
        <f>IF('GIA CONG ACRYLIC'!I75="","",'GIA CONG ACRYLIC'!I75)</f>
        <v/>
      </c>
      <c r="J42" s="3" t="str">
        <f>IF('GIA CONG ACRYLIC'!J75="","",'GIA CONG ACRYLIC'!J75)</f>
        <v/>
      </c>
      <c r="K42" s="3" t="str">
        <f>IF('GIA CONG ACRYLIC'!K75="","",'GIA CONG ACRYLIC'!K75)</f>
        <v/>
      </c>
      <c r="L42" s="3" t="str">
        <f>IF('GIA CONG ACRYLIC'!L75="","",'GIA CONG ACRYLIC'!L75)</f>
        <v/>
      </c>
      <c r="M42" s="3" t="str">
        <f>IF('GIA CONG ACRYLIC'!M75="","",'GIA CONG ACRYLIC'!M75)</f>
        <v/>
      </c>
      <c r="N42" s="4" t="str">
        <f>'GIA CONG ACRYLIC'!$H$7</f>
        <v>L3287</v>
      </c>
      <c r="O42" s="3">
        <f>IF('GIA CONG ACRYLIC'!I75+'GIA CONG ACRYLIC'!J75="","",'GIA CONG ACRYLIC'!I75+'GIA CONG ACRYLIC'!J75)</f>
        <v>0</v>
      </c>
      <c r="P42" s="4">
        <f>IF('LENH GIA CONG TAM'!H30="","",'LENH GIA CONG TAM'!H30)</f>
        <v>1.7970000000000002</v>
      </c>
      <c r="Q42" s="4">
        <f>IF('LENH GIA CONG TAM'!I30="","",'LENH GIA CONG TAM'!I30)</f>
        <v>0.33100000000000002</v>
      </c>
      <c r="R42" s="130">
        <f>'GIA CONG ACRYLIC'!$M$6</f>
        <v>46196.643055555556</v>
      </c>
      <c r="S42" s="4">
        <f>'GIA CONG ACRYLIC'!$M$7</f>
        <v>2</v>
      </c>
      <c r="T42" s="130">
        <f>'GIA CONG ACRYLIC'!$M$8</f>
        <v>46198.643055555556</v>
      </c>
    </row>
    <row r="43" spans="1:20" x14ac:dyDescent="0.25">
      <c r="A43" s="3" t="str">
        <f>IF('GIA CONG ACRYLIC'!A76="","",'GIA CONG ACRYLIC'!A76)</f>
        <v/>
      </c>
      <c r="B43" s="3" t="str">
        <f>IF('GIA CONG ACRYLIC'!B76="","",'GIA CONG ACRYLIC'!B76)</f>
        <v/>
      </c>
      <c r="C43" s="3" t="str">
        <f>IF('GIA CONG ACRYLIC'!C76="","",'GIA CONG ACRYLIC'!C76)</f>
        <v/>
      </c>
      <c r="D43" s="3" t="str">
        <f>IF('GIA CONG ACRYLIC'!D76="","",'GIA CONG ACRYLIC'!D76)</f>
        <v/>
      </c>
      <c r="E43" s="3" t="str">
        <f>IF('GIA CONG ACRYLIC'!E76="","",'GIA CONG ACRYLIC'!E76)</f>
        <v/>
      </c>
      <c r="F43" s="3" t="str">
        <f>IF('GIA CONG ACRYLIC'!F76="","",'GIA CONG ACRYLIC'!F76)</f>
        <v/>
      </c>
      <c r="G43" s="3" t="str">
        <f>IF('GIA CONG ACRYLIC'!G76="","",'GIA CONG ACRYLIC'!G76)</f>
        <v/>
      </c>
      <c r="H43" s="3" t="str">
        <f>IF('GIA CONG ACRYLIC'!H76="","",'GIA CONG ACRYLIC'!H76)</f>
        <v/>
      </c>
      <c r="I43" s="3" t="str">
        <f>IF('GIA CONG ACRYLIC'!I76="","",'GIA CONG ACRYLIC'!I76)</f>
        <v/>
      </c>
      <c r="J43" s="3" t="str">
        <f>IF('GIA CONG ACRYLIC'!J76="","",'GIA CONG ACRYLIC'!J76)</f>
        <v/>
      </c>
      <c r="K43" s="3" t="str">
        <f>IF('GIA CONG ACRYLIC'!K76="","",'GIA CONG ACRYLIC'!K76)</f>
        <v/>
      </c>
      <c r="L43" s="3" t="str">
        <f>IF('GIA CONG ACRYLIC'!L76="","",'GIA CONG ACRYLIC'!L76)</f>
        <v/>
      </c>
      <c r="M43" s="3" t="str">
        <f>IF('GIA CONG ACRYLIC'!M76="","",'GIA CONG ACRYLIC'!M76)</f>
        <v/>
      </c>
      <c r="N43" s="4" t="str">
        <f>'GIA CONG ACRYLIC'!$H$7</f>
        <v>L3287</v>
      </c>
      <c r="O43" s="3">
        <f>IF('GIA CONG ACRYLIC'!I76+'GIA CONG ACRYLIC'!J76="","",'GIA CONG ACRYLIC'!I76+'GIA CONG ACRYLIC'!J76)</f>
        <v>0</v>
      </c>
      <c r="P43" s="4">
        <f>IF('LENH GIA CONG TAM'!H31="","",'LENH GIA CONG TAM'!H31)</f>
        <v>1.57</v>
      </c>
      <c r="Q43" s="4">
        <f>IF('LENH GIA CONG TAM'!I31="","",'LENH GIA CONG TAM'!I31)</f>
        <v>0</v>
      </c>
      <c r="R43" s="130">
        <f>'GIA CONG ACRYLIC'!$M$6</f>
        <v>46196.643055555556</v>
      </c>
      <c r="S43" s="4">
        <f>'GIA CONG ACRYLIC'!$M$7</f>
        <v>2</v>
      </c>
      <c r="T43" s="130">
        <f>'GIA CONG ACRYLIC'!$M$8</f>
        <v>46198.643055555556</v>
      </c>
    </row>
    <row r="44" spans="1:20" x14ac:dyDescent="0.25">
      <c r="A44" s="3">
        <f>IF('GIA CONG ACRYLIC'!A77="","",'GIA CONG ACRYLIC'!A77)</f>
        <v>1</v>
      </c>
      <c r="B44" s="3" t="str">
        <f>IF('GIA CONG ACRYLIC'!B77="","",'GIA CONG ACRYLIC'!B77)</f>
        <v/>
      </c>
      <c r="C44" s="3" t="str">
        <f>IF('GIA CONG ACRYLIC'!C77="","",'GIA CONG ACRYLIC'!C77)</f>
        <v>Đơn giá trên chưa bao gồm VAT. Đúng sai ±1 mm.</v>
      </c>
      <c r="D44" s="3" t="str">
        <f>IF('GIA CONG ACRYLIC'!D77="","",'GIA CONG ACRYLIC'!D77)</f>
        <v/>
      </c>
      <c r="E44" s="3" t="str">
        <f>IF('GIA CONG ACRYLIC'!E77="","",'GIA CONG ACRYLIC'!E77)</f>
        <v/>
      </c>
      <c r="F44" s="3" t="str">
        <f>IF('GIA CONG ACRYLIC'!F77="","",'GIA CONG ACRYLIC'!F77)</f>
        <v/>
      </c>
      <c r="G44" s="3" t="str">
        <f>IF('GIA CONG ACRYLIC'!G77="","",'GIA CONG ACRYLIC'!G77)</f>
        <v/>
      </c>
      <c r="H44" s="3" t="str">
        <f>IF('GIA CONG ACRYLIC'!H77="","",'GIA CONG ACRYLIC'!H77)</f>
        <v/>
      </c>
      <c r="I44" s="3" t="str">
        <f>IF('GIA CONG ACRYLIC'!I77="","",'GIA CONG ACRYLIC'!I77)</f>
        <v/>
      </c>
      <c r="J44" s="3" t="str">
        <f>IF('GIA CONG ACRYLIC'!J77="","",'GIA CONG ACRYLIC'!J77)</f>
        <v/>
      </c>
      <c r="K44" s="3" t="str">
        <f>IF('GIA CONG ACRYLIC'!K77="","",'GIA CONG ACRYLIC'!K77)</f>
        <v/>
      </c>
      <c r="L44" s="3" t="str">
        <f>IF('GIA CONG ACRYLIC'!L77="","",'GIA CONG ACRYLIC'!L77)</f>
        <v/>
      </c>
      <c r="M44" s="3" t="str">
        <f>IF('GIA CONG ACRYLIC'!M77="","",'GIA CONG ACRYLIC'!M77)</f>
        <v/>
      </c>
      <c r="N44" s="4" t="str">
        <f>'GIA CONG ACRYLIC'!$H$7</f>
        <v>L3287</v>
      </c>
      <c r="O44" s="3">
        <f>IF('GIA CONG ACRYLIC'!I77+'GIA CONG ACRYLIC'!J77="","",'GIA CONG ACRYLIC'!I77+'GIA CONG ACRYLIC'!J77)</f>
        <v>0</v>
      </c>
      <c r="P44" s="4">
        <f>IF('LENH GIA CONG TAM'!H32="","",'LENH GIA CONG TAM'!H32)</f>
        <v>3.3940000000000001</v>
      </c>
      <c r="Q44" s="4">
        <f>IF('LENH GIA CONG TAM'!I32="","",'LENH GIA CONG TAM'!I32)</f>
        <v>0</v>
      </c>
      <c r="R44" s="130">
        <f>'GIA CONG ACRYLIC'!$M$6</f>
        <v>46196.643055555556</v>
      </c>
      <c r="S44" s="4">
        <f>'GIA CONG ACRYLIC'!$M$7</f>
        <v>2</v>
      </c>
      <c r="T44" s="130">
        <f>'GIA CONG ACRYLIC'!$M$8</f>
        <v>46198.643055555556</v>
      </c>
    </row>
    <row r="45" spans="1:20" x14ac:dyDescent="0.25">
      <c r="A45" s="3">
        <f>IF('GIA CONG ACRYLIC'!A78="","",'GIA CONG ACRYLIC'!A78)</f>
        <v>2</v>
      </c>
      <c r="B45" s="3" t="str">
        <f>IF('GIA CONG ACRYLIC'!B78="","",'GIA CONG ACRYLIC'!B78)</f>
        <v/>
      </c>
      <c r="C45" s="3" t="str">
        <f>IF('GIA CONG ACRYLIC'!C78="","",'GIA CONG ACRYLIC'!C78)</f>
        <v xml:space="preserve">Ứng trước 50% tiền đơn hàng gia công, thanh toán 50% còn lại trước khi lấy hàng tại kho, giao hàng tại nhà máy bên bán sau 2 đến 3 ngày. </v>
      </c>
      <c r="D45" s="3" t="str">
        <f>IF('GIA CONG ACRYLIC'!D78="","",'GIA CONG ACRYLIC'!D78)</f>
        <v/>
      </c>
      <c r="E45" s="3" t="str">
        <f>IF('GIA CONG ACRYLIC'!E78="","",'GIA CONG ACRYLIC'!E78)</f>
        <v/>
      </c>
      <c r="F45" s="3" t="str">
        <f>IF('GIA CONG ACRYLIC'!F78="","",'GIA CONG ACRYLIC'!F78)</f>
        <v/>
      </c>
      <c r="G45" s="3" t="str">
        <f>IF('GIA CONG ACRYLIC'!G78="","",'GIA CONG ACRYLIC'!G78)</f>
        <v/>
      </c>
      <c r="H45" s="3" t="str">
        <f>IF('GIA CONG ACRYLIC'!H78="","",'GIA CONG ACRYLIC'!H78)</f>
        <v/>
      </c>
      <c r="I45" s="3" t="str">
        <f>IF('GIA CONG ACRYLIC'!I78="","",'GIA CONG ACRYLIC'!I78)</f>
        <v/>
      </c>
      <c r="J45" s="3" t="str">
        <f>IF('GIA CONG ACRYLIC'!J78="","",'GIA CONG ACRYLIC'!J78)</f>
        <v/>
      </c>
      <c r="K45" s="3" t="str">
        <f>IF('GIA CONG ACRYLIC'!K78="","",'GIA CONG ACRYLIC'!K78)</f>
        <v/>
      </c>
      <c r="L45" s="3" t="str">
        <f>IF('GIA CONG ACRYLIC'!L78="","",'GIA CONG ACRYLIC'!L78)</f>
        <v/>
      </c>
      <c r="M45" s="3" t="str">
        <f>IF('GIA CONG ACRYLIC'!M78="","",'GIA CONG ACRYLIC'!M78)</f>
        <v/>
      </c>
      <c r="N45" s="4" t="str">
        <f>'GIA CONG ACRYLIC'!$H$7</f>
        <v>L3287</v>
      </c>
      <c r="O45" s="3">
        <f>IF('GIA CONG ACRYLIC'!I78+'GIA CONG ACRYLIC'!J78="","",'GIA CONG ACRYLIC'!I78+'GIA CONG ACRYLIC'!J78)</f>
        <v>0</v>
      </c>
      <c r="P45" s="4">
        <f>IF('LENH GIA CONG TAM'!H33="","",'LENH GIA CONG TAM'!H33)</f>
        <v>74.240000000000009</v>
      </c>
      <c r="Q45" s="4">
        <f>IF('LENH GIA CONG TAM'!I33="","",'LENH GIA CONG TAM'!I33)</f>
        <v>4.07</v>
      </c>
      <c r="R45" s="130">
        <f>'GIA CONG ACRYLIC'!$M$6</f>
        <v>46196.643055555556</v>
      </c>
      <c r="S45" s="4">
        <f>'GIA CONG ACRYLIC'!$M$7</f>
        <v>2</v>
      </c>
      <c r="T45" s="130">
        <f>'GIA CONG ACRYLIC'!$M$8</f>
        <v>46198.643055555556</v>
      </c>
    </row>
    <row r="46" spans="1:20" x14ac:dyDescent="0.25">
      <c r="A46" s="3">
        <f>IF('GIA CONG ACRYLIC'!A79="","",'GIA CONG ACRYLIC'!A79)</f>
        <v>3</v>
      </c>
      <c r="B46" s="3" t="str">
        <f>IF('GIA CONG ACRYLIC'!B79="","",'GIA CONG ACRYLIC'!B79)</f>
        <v/>
      </c>
      <c r="C46" s="3" t="str">
        <f>IF('GIA CONG ACRYLIC'!C79="","",'GIA CONG ACRYLIC'!C79)</f>
        <v>Khi mua tấm Quý khách vui lòng thanh toán 100% tiền hàng trước khi chuyển hàng ra khỏi kho bên bán.</v>
      </c>
      <c r="D46" s="3" t="str">
        <f>IF('GIA CONG ACRYLIC'!D79="","",'GIA CONG ACRYLIC'!D79)</f>
        <v/>
      </c>
      <c r="E46" s="3" t="str">
        <f>IF('GIA CONG ACRYLIC'!E79="","",'GIA CONG ACRYLIC'!E79)</f>
        <v/>
      </c>
      <c r="F46" s="3" t="str">
        <f>IF('GIA CONG ACRYLIC'!F79="","",'GIA CONG ACRYLIC'!F79)</f>
        <v/>
      </c>
      <c r="G46" s="3" t="str">
        <f>IF('GIA CONG ACRYLIC'!G79="","",'GIA CONG ACRYLIC'!G79)</f>
        <v/>
      </c>
      <c r="H46" s="3" t="str">
        <f>IF('GIA CONG ACRYLIC'!H79="","",'GIA CONG ACRYLIC'!H79)</f>
        <v/>
      </c>
      <c r="I46" s="3" t="str">
        <f>IF('GIA CONG ACRYLIC'!I79="","",'GIA CONG ACRYLIC'!I79)</f>
        <v/>
      </c>
      <c r="J46" s="3" t="str">
        <f>IF('GIA CONG ACRYLIC'!J79="","",'GIA CONG ACRYLIC'!J79)</f>
        <v/>
      </c>
      <c r="K46" s="3" t="str">
        <f>IF('GIA CONG ACRYLIC'!K79="","",'GIA CONG ACRYLIC'!K79)</f>
        <v/>
      </c>
      <c r="L46" s="3" t="str">
        <f>IF('GIA CONG ACRYLIC'!L79="","",'GIA CONG ACRYLIC'!L79)</f>
        <v/>
      </c>
      <c r="M46" s="3" t="str">
        <f>IF('GIA CONG ACRYLIC'!M79="","",'GIA CONG ACRYLIC'!M79)</f>
        <v/>
      </c>
      <c r="N46" s="4" t="str">
        <f>'GIA CONG ACRYLIC'!$H$7</f>
        <v>L3287</v>
      </c>
      <c r="O46" s="3">
        <f>IF('GIA CONG ACRYLIC'!I79+'GIA CONG ACRYLIC'!J79="","",'GIA CONG ACRYLIC'!I79+'GIA CONG ACRYLIC'!J79)</f>
        <v>0</v>
      </c>
      <c r="P46" s="4">
        <f>IF('LENH GIA CONG TAM'!H34="","",'LENH GIA CONG TAM'!H34)</f>
        <v>1.7</v>
      </c>
      <c r="Q46" s="4">
        <f>IF('LENH GIA CONG TAM'!I34="","",'LENH GIA CONG TAM'!I34)</f>
        <v>0</v>
      </c>
      <c r="R46" s="130">
        <f>'GIA CONG ACRYLIC'!$M$6</f>
        <v>46196.643055555556</v>
      </c>
      <c r="S46" s="4">
        <f>'GIA CONG ACRYLIC'!$M$7</f>
        <v>2</v>
      </c>
      <c r="T46" s="130">
        <f>'GIA CONG ACRYLIC'!$M$8</f>
        <v>46198.643055555556</v>
      </c>
    </row>
    <row r="47" spans="1:20" x14ac:dyDescent="0.25">
      <c r="A47" s="3">
        <f>IF('GIA CONG ACRYLIC'!A80="","",'GIA CONG ACRYLIC'!A80)</f>
        <v>4</v>
      </c>
      <c r="B47" s="3" t="str">
        <f>IF('GIA CONG ACRYLIC'!B80="","",'GIA CONG ACRYLIC'!B80)</f>
        <v/>
      </c>
      <c r="C47" s="3" t="str">
        <f>IF('GIA CONG ACRYLIC'!C80="","",'GIA CONG ACRYLIC'!C80)</f>
        <v>Quý khách có thể thanh toán bằng tiền mặt hoặc chuyển khoản vào một trong các tài khoản sau:</v>
      </c>
      <c r="D47" s="3" t="str">
        <f>IF('GIA CONG ACRYLIC'!D80="","",'GIA CONG ACRYLIC'!D80)</f>
        <v/>
      </c>
      <c r="E47" s="3" t="str">
        <f>IF('GIA CONG ACRYLIC'!E80="","",'GIA CONG ACRYLIC'!E80)</f>
        <v/>
      </c>
      <c r="F47" s="3" t="str">
        <f>IF('GIA CONG ACRYLIC'!F80="","",'GIA CONG ACRYLIC'!F80)</f>
        <v/>
      </c>
      <c r="G47" s="3" t="str">
        <f>IF('GIA CONG ACRYLIC'!G80="","",'GIA CONG ACRYLIC'!G80)</f>
        <v/>
      </c>
      <c r="H47" s="3" t="str">
        <f>IF('GIA CONG ACRYLIC'!H80="","",'GIA CONG ACRYLIC'!H80)</f>
        <v/>
      </c>
      <c r="I47" s="3" t="str">
        <f>IF('GIA CONG ACRYLIC'!I80="","",'GIA CONG ACRYLIC'!I80)</f>
        <v/>
      </c>
      <c r="J47" s="3" t="str">
        <f>IF('GIA CONG ACRYLIC'!J80="","",'GIA CONG ACRYLIC'!J80)</f>
        <v/>
      </c>
      <c r="K47" s="3" t="str">
        <f>IF('GIA CONG ACRYLIC'!K80="","",'GIA CONG ACRYLIC'!K80)</f>
        <v/>
      </c>
      <c r="L47" s="3" t="str">
        <f>IF('GIA CONG ACRYLIC'!L80="","",'GIA CONG ACRYLIC'!L80)</f>
        <v/>
      </c>
      <c r="M47" s="3" t="str">
        <f>IF('GIA CONG ACRYLIC'!M80="","",'GIA CONG ACRYLIC'!M80)</f>
        <v/>
      </c>
      <c r="N47" s="4" t="str">
        <f>'GIA CONG ACRYLIC'!$H$7</f>
        <v>L3287</v>
      </c>
      <c r="O47" s="3">
        <f>IF('GIA CONG ACRYLIC'!I80+'GIA CONG ACRYLIC'!J80="","",'GIA CONG ACRYLIC'!I80+'GIA CONG ACRYLIC'!J80)</f>
        <v>0</v>
      </c>
      <c r="P47" s="4">
        <f>IF('LENH GIA CONG TAM'!H35="","",'LENH GIA CONG TAM'!H35)</f>
        <v>2.3159999999999998</v>
      </c>
      <c r="Q47" s="4">
        <f>IF('LENH GIA CONG TAM'!I35="","",'LENH GIA CONG TAM'!I35)</f>
        <v>0</v>
      </c>
      <c r="R47" s="130">
        <f>'GIA CONG ACRYLIC'!$M$6</f>
        <v>46196.643055555556</v>
      </c>
      <c r="S47" s="4">
        <f>'GIA CONG ACRYLIC'!$M$7</f>
        <v>2</v>
      </c>
      <c r="T47" s="130">
        <f>'GIA CONG ACRYLIC'!$M$8</f>
        <v>46198.643055555556</v>
      </c>
    </row>
    <row r="48" spans="1:20" x14ac:dyDescent="0.25">
      <c r="A48" s="3">
        <f>IF('GIA CONG ACRYLIC'!A81="","",'GIA CONG ACRYLIC'!A81)</f>
        <v>5</v>
      </c>
      <c r="B48" s="3" t="str">
        <f>IF('GIA CONG ACRYLIC'!B81="","",'GIA CONG ACRYLIC'!B81)</f>
        <v/>
      </c>
      <c r="C48" s="3" t="str">
        <f>IF('GIA CONG ACRYLIC'!C81="","",'GIA CONG ACRYLIC'!C81)</f>
        <v>Bảo hành cong vênh, bong tróc 12 tháng, bảo trì vĩnh viễn. Không bảo hành mối và ngập nước.</v>
      </c>
      <c r="D48" s="3" t="str">
        <f>IF('GIA CONG ACRYLIC'!D81="","",'GIA CONG ACRYLIC'!D81)</f>
        <v/>
      </c>
      <c r="E48" s="3" t="str">
        <f>IF('GIA CONG ACRYLIC'!E81="","",'GIA CONG ACRYLIC'!E81)</f>
        <v/>
      </c>
      <c r="F48" s="3" t="str">
        <f>IF('GIA CONG ACRYLIC'!F81="","",'GIA CONG ACRYLIC'!F81)</f>
        <v/>
      </c>
      <c r="G48" s="3" t="str">
        <f>IF('GIA CONG ACRYLIC'!G81="","",'GIA CONG ACRYLIC'!G81)</f>
        <v/>
      </c>
      <c r="H48" s="3" t="str">
        <f>IF('GIA CONG ACRYLIC'!H81="","",'GIA CONG ACRYLIC'!H81)</f>
        <v/>
      </c>
      <c r="I48" s="3" t="str">
        <f>IF('GIA CONG ACRYLIC'!I81="","",'GIA CONG ACRYLIC'!I81)</f>
        <v/>
      </c>
      <c r="J48" s="3" t="str">
        <f>IF('GIA CONG ACRYLIC'!J81="","",'GIA CONG ACRYLIC'!J81)</f>
        <v/>
      </c>
      <c r="K48" s="3" t="str">
        <f>IF('GIA CONG ACRYLIC'!K81="","",'GIA CONG ACRYLIC'!K81)</f>
        <v/>
      </c>
      <c r="L48" s="3" t="str">
        <f>IF('GIA CONG ACRYLIC'!L81="","",'GIA CONG ACRYLIC'!L81)</f>
        <v/>
      </c>
      <c r="M48" s="3" t="str">
        <f>IF('GIA CONG ACRYLIC'!M81="","",'GIA CONG ACRYLIC'!M81)</f>
        <v/>
      </c>
      <c r="N48" s="4" t="str">
        <f>'GIA CONG ACRYLIC'!$H$7</f>
        <v>L3287</v>
      </c>
      <c r="O48" s="3">
        <f>IF('GIA CONG ACRYLIC'!I81+'GIA CONG ACRYLIC'!J81="","",'GIA CONG ACRYLIC'!I81+'GIA CONG ACRYLIC'!J81)</f>
        <v>0</v>
      </c>
      <c r="P48" s="4">
        <f>IF('LENH GIA CONG TAM'!H36="","",'LENH GIA CONG TAM'!H36)</f>
        <v>1.544</v>
      </c>
      <c r="Q48" s="4">
        <f>IF('LENH GIA CONG TAM'!I36="","",'LENH GIA CONG TAM'!I36)</f>
        <v>0</v>
      </c>
      <c r="R48" s="130">
        <f>'GIA CONG ACRYLIC'!$M$6</f>
        <v>46196.643055555556</v>
      </c>
      <c r="S48" s="4">
        <f>'GIA CONG ACRYLIC'!$M$7</f>
        <v>2</v>
      </c>
      <c r="T48" s="130">
        <f>'GIA CONG ACRYLIC'!$M$8</f>
        <v>46198.643055555556</v>
      </c>
    </row>
    <row r="49" spans="1:20" x14ac:dyDescent="0.25">
      <c r="A49" s="3" t="str">
        <f>IF('GIA CONG ACRYLIC'!A82="","",'GIA CONG ACRYLIC'!A82)</f>
        <v/>
      </c>
      <c r="B49" s="3" t="str">
        <f>IF('GIA CONG ACRYLIC'!B82="","",'GIA CONG ACRYLIC'!B82)</f>
        <v/>
      </c>
      <c r="C49" s="3" t="str">
        <f>IF('GIA CONG ACRYLIC'!C82="","",'GIA CONG ACRYLIC'!C82)</f>
        <v/>
      </c>
      <c r="D49" s="3" t="str">
        <f>IF('GIA CONG ACRYLIC'!D82="","",'GIA CONG ACRYLIC'!D82)</f>
        <v/>
      </c>
      <c r="E49" s="3" t="str">
        <f>IF('GIA CONG ACRYLIC'!E82="","",'GIA CONG ACRYLIC'!E82)</f>
        <v/>
      </c>
      <c r="F49" s="3" t="str">
        <f>IF('GIA CONG ACRYLIC'!F82="","",'GIA CONG ACRYLIC'!F82)</f>
        <v/>
      </c>
      <c r="G49" s="3" t="str">
        <f>IF('GIA CONG ACRYLIC'!G82="","",'GIA CONG ACRYLIC'!G82)</f>
        <v/>
      </c>
      <c r="H49" s="3" t="str">
        <f>IF('GIA CONG ACRYLIC'!H82="","",'GIA CONG ACRYLIC'!H82)</f>
        <v/>
      </c>
      <c r="I49" s="3" t="str">
        <f>IF('GIA CONG ACRYLIC'!I82="","",'GIA CONG ACRYLIC'!I82)</f>
        <v/>
      </c>
      <c r="J49" s="3" t="str">
        <f>IF('GIA CONG ACRYLIC'!J82="","",'GIA CONG ACRYLIC'!J82)</f>
        <v/>
      </c>
      <c r="K49" s="3" t="str">
        <f>IF('GIA CONG ACRYLIC'!K82="","",'GIA CONG ACRYLIC'!K82)</f>
        <v/>
      </c>
      <c r="L49" s="3" t="str">
        <f>IF('GIA CONG ACRYLIC'!L82="","",'GIA CONG ACRYLIC'!L82)</f>
        <v/>
      </c>
      <c r="M49" s="3" t="str">
        <f>IF('GIA CONG ACRYLIC'!M82="","",'GIA CONG ACRYLIC'!M82)</f>
        <v/>
      </c>
      <c r="N49" s="4" t="str">
        <f>'GIA CONG ACRYLIC'!$H$7</f>
        <v>L3287</v>
      </c>
      <c r="O49" s="3">
        <f>IF('GIA CONG ACRYLIC'!I82+'GIA CONG ACRYLIC'!J82="","",'GIA CONG ACRYLIC'!I82+'GIA CONG ACRYLIC'!J82)</f>
        <v>0</v>
      </c>
      <c r="P49" s="4">
        <f>IF('LENH GIA CONG TAM'!H37="","",'LENH GIA CONG TAM'!H37)</f>
        <v>1.51</v>
      </c>
      <c r="Q49" s="4">
        <f>IF('LENH GIA CONG TAM'!I37="","",'LENH GIA CONG TAM'!I37)</f>
        <v>0</v>
      </c>
      <c r="R49" s="130">
        <f>'GIA CONG ACRYLIC'!$M$6</f>
        <v>46196.643055555556</v>
      </c>
      <c r="S49" s="4">
        <f>'GIA CONG ACRYLIC'!$M$7</f>
        <v>2</v>
      </c>
      <c r="T49" s="130">
        <f>'GIA CONG ACRYLIC'!$M$8</f>
        <v>46198.643055555556</v>
      </c>
    </row>
    <row r="50" spans="1:20" x14ac:dyDescent="0.25">
      <c r="A50" s="3" t="str">
        <f>IF('GIA CONG ACRYLIC'!A83="","",'GIA CONG ACRYLIC'!A83)</f>
        <v/>
      </c>
      <c r="B50" s="3" t="str">
        <f>IF('GIA CONG ACRYLIC'!B83="","",'GIA CONG ACRYLIC'!B83)</f>
        <v/>
      </c>
      <c r="C50" s="3" t="str">
        <f>IF('GIA CONG ACRYLIC'!C83="","",'GIA CONG ACRYLIC'!C83)</f>
        <v/>
      </c>
      <c r="D50" s="3" t="str">
        <f>IF('GIA CONG ACRYLIC'!D83="","",'GIA CONG ACRYLIC'!D83)</f>
        <v/>
      </c>
      <c r="E50" s="3" t="str">
        <f>IF('GIA CONG ACRYLIC'!E83="","",'GIA CONG ACRYLIC'!E83)</f>
        <v/>
      </c>
      <c r="F50" s="3" t="str">
        <f>IF('GIA CONG ACRYLIC'!F83="","",'GIA CONG ACRYLIC'!F83)</f>
        <v/>
      </c>
      <c r="G50" s="3" t="str">
        <f>IF('GIA CONG ACRYLIC'!G83="","",'GIA CONG ACRYLIC'!G83)</f>
        <v/>
      </c>
      <c r="H50" s="3" t="str">
        <f>IF('GIA CONG ACRYLIC'!H83="","",'GIA CONG ACRYLIC'!H83)</f>
        <v/>
      </c>
      <c r="I50" s="3" t="str">
        <f>IF('GIA CONG ACRYLIC'!I83="","",'GIA CONG ACRYLIC'!I83)</f>
        <v/>
      </c>
      <c r="J50" s="3" t="str">
        <f>IF('GIA CONG ACRYLIC'!J83="","",'GIA CONG ACRYLIC'!J83)</f>
        <v/>
      </c>
      <c r="K50" s="3" t="str">
        <f>IF('GIA CONG ACRYLIC'!K83="","",'GIA CONG ACRYLIC'!K83)</f>
        <v/>
      </c>
      <c r="L50" s="3" t="str">
        <f>IF('GIA CONG ACRYLIC'!L83="","",'GIA CONG ACRYLIC'!L83)</f>
        <v/>
      </c>
      <c r="M50" s="3" t="str">
        <f>IF('GIA CONG ACRYLIC'!M83="","",'GIA CONG ACRYLIC'!M83)</f>
        <v/>
      </c>
      <c r="N50" s="4" t="str">
        <f>'GIA CONG ACRYLIC'!$H$7</f>
        <v>L3287</v>
      </c>
      <c r="O50" s="3">
        <f>IF('GIA CONG ACRYLIC'!I83+'GIA CONG ACRYLIC'!J83="","",'GIA CONG ACRYLIC'!I83+'GIA CONG ACRYLIC'!J83)</f>
        <v>0</v>
      </c>
      <c r="P50" s="4">
        <f>IF('LENH GIA CONG TAM'!H38="","",'LENH GIA CONG TAM'!H38)</f>
        <v>1.734</v>
      </c>
      <c r="Q50" s="4">
        <f>IF('LENH GIA CONG TAM'!I38="","",'LENH GIA CONG TAM'!I38)</f>
        <v>0</v>
      </c>
      <c r="R50" s="130">
        <f>'GIA CONG ACRYLIC'!$M$6</f>
        <v>46196.643055555556</v>
      </c>
      <c r="S50" s="4">
        <f>'GIA CONG ACRYLIC'!$M$7</f>
        <v>2</v>
      </c>
      <c r="T50" s="130">
        <f>'GIA CONG ACRYLIC'!$M$8</f>
        <v>46198.643055555556</v>
      </c>
    </row>
    <row r="51" spans="1:20" x14ac:dyDescent="0.25">
      <c r="A51" s="3" t="str">
        <f>IF('GIA CONG ACRYLIC'!A84="","",'GIA CONG ACRYLIC'!A84)</f>
        <v/>
      </c>
      <c r="B51" s="3" t="str">
        <f>IF('GIA CONG ACRYLIC'!B84="","",'GIA CONG ACRYLIC'!B84)</f>
        <v/>
      </c>
      <c r="C51" s="3" t="str">
        <f>IF('GIA CONG ACRYLIC'!C84="","",'GIA CONG ACRYLIC'!C84)</f>
        <v/>
      </c>
      <c r="D51" s="3" t="str">
        <f>IF('GIA CONG ACRYLIC'!D84="","",'GIA CONG ACRYLIC'!D84)</f>
        <v/>
      </c>
      <c r="E51" s="3" t="str">
        <f>IF('GIA CONG ACRYLIC'!E84="","",'GIA CONG ACRYLIC'!E84)</f>
        <v/>
      </c>
      <c r="F51" s="3" t="str">
        <f>IF('GIA CONG ACRYLIC'!F84="","",'GIA CONG ACRYLIC'!F84)</f>
        <v/>
      </c>
      <c r="G51" s="3" t="str">
        <f>IF('GIA CONG ACRYLIC'!G84="","",'GIA CONG ACRYLIC'!G84)</f>
        <v/>
      </c>
      <c r="H51" s="3" t="str">
        <f>IF('GIA CONG ACRYLIC'!H84="","",'GIA CONG ACRYLIC'!H84)</f>
        <v/>
      </c>
      <c r="I51" s="3" t="str">
        <f>IF('GIA CONG ACRYLIC'!I84="","",'GIA CONG ACRYLIC'!I84)</f>
        <v/>
      </c>
      <c r="J51" s="3" t="str">
        <f>IF('GIA CONG ACRYLIC'!J84="","",'GIA CONG ACRYLIC'!J84)</f>
        <v/>
      </c>
      <c r="K51" s="3" t="str">
        <f>IF('GIA CONG ACRYLIC'!K84="","",'GIA CONG ACRYLIC'!K84)</f>
        <v/>
      </c>
      <c r="L51" s="3" t="str">
        <f>IF('GIA CONG ACRYLIC'!L84="","",'GIA CONG ACRYLIC'!L84)</f>
        <v/>
      </c>
      <c r="M51" s="3" t="str">
        <f>IF('GIA CONG ACRYLIC'!M84="","",'GIA CONG ACRYLIC'!M84)</f>
        <v/>
      </c>
      <c r="N51" s="4" t="str">
        <f>'GIA CONG ACRYLIC'!$H$7</f>
        <v>L3287</v>
      </c>
      <c r="O51" s="3">
        <f>IF('GIA CONG ACRYLIC'!I84+'GIA CONG ACRYLIC'!J84="","",'GIA CONG ACRYLIC'!I84+'GIA CONG ACRYLIC'!J84)</f>
        <v>0</v>
      </c>
      <c r="P51" s="4">
        <f>IF('LENH GIA CONG TAM'!H39="","",'LENH GIA CONG TAM'!H39)</f>
        <v>4.33</v>
      </c>
      <c r="Q51" s="4">
        <f>IF('LENH GIA CONG TAM'!I39="","",'LENH GIA CONG TAM'!I39)</f>
        <v>0</v>
      </c>
      <c r="R51" s="130">
        <f>'GIA CONG ACRYLIC'!$M$6</f>
        <v>46196.643055555556</v>
      </c>
      <c r="S51" s="4">
        <f>'GIA CONG ACRYLIC'!$M$7</f>
        <v>2</v>
      </c>
      <c r="T51" s="130">
        <f>'GIA CONG ACRYLIC'!$M$8</f>
        <v>46198.643055555556</v>
      </c>
    </row>
    <row r="52" spans="1:20" x14ac:dyDescent="0.25">
      <c r="A52" s="3" t="str">
        <f>IF('GIA CONG ACRYLIC'!A85="","",'GIA CONG ACRYLIC'!A85)</f>
        <v/>
      </c>
      <c r="B52" s="3" t="str">
        <f>IF('GIA CONG ACRYLIC'!B85="","",'GIA CONG ACRYLIC'!B85)</f>
        <v/>
      </c>
      <c r="C52" s="3" t="str">
        <f>IF('GIA CONG ACRYLIC'!C85="","",'GIA CONG ACRYLIC'!C85)</f>
        <v/>
      </c>
      <c r="D52" s="3" t="str">
        <f>IF('GIA CONG ACRYLIC'!D85="","",'GIA CONG ACRYLIC'!D85)</f>
        <v/>
      </c>
      <c r="E52" s="3" t="str">
        <f>IF('GIA CONG ACRYLIC'!E85="","",'GIA CONG ACRYLIC'!E85)</f>
        <v/>
      </c>
      <c r="F52" s="3" t="str">
        <f>IF('GIA CONG ACRYLIC'!F85="","",'GIA CONG ACRYLIC'!F85)</f>
        <v/>
      </c>
      <c r="G52" s="3" t="str">
        <f>IF('GIA CONG ACRYLIC'!G85="","",'GIA CONG ACRYLIC'!G85)</f>
        <v/>
      </c>
      <c r="H52" s="3" t="str">
        <f>IF('GIA CONG ACRYLIC'!H85="","",'GIA CONG ACRYLIC'!H85)</f>
        <v/>
      </c>
      <c r="I52" s="3" t="str">
        <f>IF('GIA CONG ACRYLIC'!I85="","",'GIA CONG ACRYLIC'!I85)</f>
        <v/>
      </c>
      <c r="J52" s="3" t="str">
        <f>IF('GIA CONG ACRYLIC'!J85="","",'GIA CONG ACRYLIC'!J85)</f>
        <v/>
      </c>
      <c r="K52" s="3" t="str">
        <f>IF('GIA CONG ACRYLIC'!K85="","",'GIA CONG ACRYLIC'!K85)</f>
        <v/>
      </c>
      <c r="L52" s="3" t="str">
        <f>IF('GIA CONG ACRYLIC'!L85="","",'GIA CONG ACRYLIC'!L85)</f>
        <v/>
      </c>
      <c r="M52" s="3" t="str">
        <f>IF('GIA CONG ACRYLIC'!M85="","",'GIA CONG ACRYLIC'!M85)</f>
        <v/>
      </c>
      <c r="N52" s="4" t="str">
        <f>'GIA CONG ACRYLIC'!$H$7</f>
        <v>L3287</v>
      </c>
      <c r="O52" s="3">
        <f>IF('GIA CONG ACRYLIC'!I85+'GIA CONG ACRYLIC'!J85="","",'GIA CONG ACRYLIC'!I85+'GIA CONG ACRYLIC'!J85)</f>
        <v>0</v>
      </c>
      <c r="P52" s="4">
        <f>IF('LENH GIA CONG TAM'!H40="","",'LENH GIA CONG TAM'!H40)</f>
        <v>4.83</v>
      </c>
      <c r="Q52" s="4">
        <f>IF('LENH GIA CONG TAM'!I40="","",'LENH GIA CONG TAM'!I40)</f>
        <v>0</v>
      </c>
      <c r="R52" s="130">
        <f>'GIA CONG ACRYLIC'!$M$6</f>
        <v>46196.643055555556</v>
      </c>
      <c r="S52" s="4">
        <f>'GIA CONG ACRYLIC'!$M$7</f>
        <v>2</v>
      </c>
      <c r="T52" s="130">
        <f>'GIA CONG ACRYLIC'!$M$8</f>
        <v>46198.643055555556</v>
      </c>
    </row>
    <row r="53" spans="1:20" x14ac:dyDescent="0.25">
      <c r="A53" s="3" t="str">
        <f>IF('GIA CONG ACRYLIC'!A86="","",'GIA CONG ACRYLIC'!A86)</f>
        <v/>
      </c>
      <c r="B53" s="3" t="str">
        <f>IF('GIA CONG ACRYLIC'!B86="","",'GIA CONG ACRYLIC'!B86)</f>
        <v/>
      </c>
      <c r="C53" s="3" t="str">
        <f>IF('GIA CONG ACRYLIC'!C86="","",'GIA CONG ACRYLIC'!C86)</f>
        <v/>
      </c>
      <c r="D53" s="3" t="str">
        <f>IF('GIA CONG ACRYLIC'!D86="","",'GIA CONG ACRYLIC'!D86)</f>
        <v/>
      </c>
      <c r="E53" s="3" t="str">
        <f>IF('GIA CONG ACRYLIC'!E86="","",'GIA CONG ACRYLIC'!E86)</f>
        <v/>
      </c>
      <c r="F53" s="3" t="str">
        <f>IF('GIA CONG ACRYLIC'!F86="","",'GIA CONG ACRYLIC'!F86)</f>
        <v/>
      </c>
      <c r="G53" s="3" t="str">
        <f>IF('GIA CONG ACRYLIC'!G86="","",'GIA CONG ACRYLIC'!G86)</f>
        <v/>
      </c>
      <c r="H53" s="3" t="str">
        <f>IF('GIA CONG ACRYLIC'!H86="","",'GIA CONG ACRYLIC'!H86)</f>
        <v/>
      </c>
      <c r="I53" s="3" t="str">
        <f>IF('GIA CONG ACRYLIC'!I86="","",'GIA CONG ACRYLIC'!I86)</f>
        <v/>
      </c>
      <c r="J53" s="3" t="str">
        <f>IF('GIA CONG ACRYLIC'!J86="","",'GIA CONG ACRYLIC'!J86)</f>
        <v/>
      </c>
      <c r="K53" s="3" t="str">
        <f>IF('GIA CONG ACRYLIC'!K86="","",'GIA CONG ACRYLIC'!K86)</f>
        <v/>
      </c>
      <c r="L53" s="3" t="str">
        <f>IF('GIA CONG ACRYLIC'!L86="","",'GIA CONG ACRYLIC'!L86)</f>
        <v/>
      </c>
      <c r="M53" s="3" t="str">
        <f>IF('GIA CONG ACRYLIC'!M86="","",'GIA CONG ACRYLIC'!M86)</f>
        <v/>
      </c>
      <c r="N53" s="4" t="str">
        <f>'GIA CONG ACRYLIC'!$H$7</f>
        <v>L3287</v>
      </c>
      <c r="O53" s="3">
        <f>IF('GIA CONG ACRYLIC'!I86+'GIA CONG ACRYLIC'!J86="","",'GIA CONG ACRYLIC'!I86+'GIA CONG ACRYLIC'!J86)</f>
        <v>0</v>
      </c>
      <c r="P53" s="4">
        <f>IF('LENH GIA CONG TAM'!H41="","",'LENH GIA CONG TAM'!H41)</f>
        <v>3.2120000000000002</v>
      </c>
      <c r="Q53" s="4">
        <f>IF('LENH GIA CONG TAM'!I41="","",'LENH GIA CONG TAM'!I41)</f>
        <v>0</v>
      </c>
      <c r="R53" s="130">
        <f>'GIA CONG ACRYLIC'!$M$6</f>
        <v>46196.643055555556</v>
      </c>
      <c r="S53" s="4">
        <f>'GIA CONG ACRYLIC'!$M$7</f>
        <v>2</v>
      </c>
      <c r="T53" s="130">
        <f>'GIA CONG ACRYLIC'!$M$8</f>
        <v>46198.643055555556</v>
      </c>
    </row>
    <row r="54" spans="1:20" x14ac:dyDescent="0.25">
      <c r="A54" s="3" t="str">
        <f>IF('GIA CONG ACRYLIC'!A87="","",'GIA CONG ACRYLIC'!A87)</f>
        <v/>
      </c>
      <c r="B54" s="3" t="str">
        <f>IF('GIA CONG ACRYLIC'!B87="","",'GIA CONG ACRYLIC'!B87)</f>
        <v/>
      </c>
      <c r="C54" s="3" t="str">
        <f>IF('GIA CONG ACRYLIC'!C87="","",'GIA CONG ACRYLIC'!C87)</f>
        <v/>
      </c>
      <c r="D54" s="3" t="str">
        <f>IF('GIA CONG ACRYLIC'!D87="","",'GIA CONG ACRYLIC'!D87)</f>
        <v/>
      </c>
      <c r="E54" s="3" t="str">
        <f>IF('GIA CONG ACRYLIC'!E87="","",'GIA CONG ACRYLIC'!E87)</f>
        <v/>
      </c>
      <c r="F54" s="3" t="str">
        <f>IF('GIA CONG ACRYLIC'!F87="","",'GIA CONG ACRYLIC'!F87)</f>
        <v/>
      </c>
      <c r="G54" s="3" t="str">
        <f>IF('GIA CONG ACRYLIC'!G87="","",'GIA CONG ACRYLIC'!G87)</f>
        <v/>
      </c>
      <c r="H54" s="3" t="str">
        <f>IF('GIA CONG ACRYLIC'!H87="","",'GIA CONG ACRYLIC'!H87)</f>
        <v/>
      </c>
      <c r="I54" s="3" t="str">
        <f>IF('GIA CONG ACRYLIC'!I87="","",'GIA CONG ACRYLIC'!I87)</f>
        <v/>
      </c>
      <c r="J54" s="3" t="str">
        <f>IF('GIA CONG ACRYLIC'!J87="","",'GIA CONG ACRYLIC'!J87)</f>
        <v/>
      </c>
      <c r="K54" s="3" t="str">
        <f>IF('GIA CONG ACRYLIC'!K87="","",'GIA CONG ACRYLIC'!K87)</f>
        <v/>
      </c>
      <c r="L54" s="3" t="str">
        <f>IF('GIA CONG ACRYLIC'!L87="","",'GIA CONG ACRYLIC'!L87)</f>
        <v/>
      </c>
      <c r="M54" s="3" t="str">
        <f>IF('GIA CONG ACRYLIC'!M87="","",'GIA CONG ACRYLIC'!M87)</f>
        <v/>
      </c>
      <c r="N54" s="4" t="str">
        <f>'GIA CONG ACRYLIC'!$H$7</f>
        <v>L3287</v>
      </c>
      <c r="O54" s="3">
        <f>IF('GIA CONG ACRYLIC'!I87+'GIA CONG ACRYLIC'!J87="","",'GIA CONG ACRYLIC'!I87+'GIA CONG ACRYLIC'!J87)</f>
        <v>0</v>
      </c>
      <c r="P54" s="4" t="e">
        <f>IF('LENH GIA CONG TAM'!#REF!="","",'LENH GIA CONG TAM'!#REF!)</f>
        <v>#REF!</v>
      </c>
      <c r="Q54" s="4" t="e">
        <f>IF('LENH GIA CONG TAM'!#REF!="","",'LENH GIA CONG TAM'!#REF!)</f>
        <v>#REF!</v>
      </c>
      <c r="R54" s="130">
        <f>'GIA CONG ACRYLIC'!$M$6</f>
        <v>46196.643055555556</v>
      </c>
      <c r="S54" s="4">
        <f>'GIA CONG ACRYLIC'!$M$7</f>
        <v>2</v>
      </c>
      <c r="T54" s="130">
        <f>'GIA CONG ACRYLIC'!$M$8</f>
        <v>46198.643055555556</v>
      </c>
    </row>
    <row r="55" spans="1:20" x14ac:dyDescent="0.25">
      <c r="A55" s="3" t="str">
        <f>IF('GIA CONG ACRYLIC'!A88="","",'GIA CONG ACRYLIC'!A88)</f>
        <v/>
      </c>
      <c r="B55" s="3" t="str">
        <f>IF('GIA CONG ACRYLIC'!B88="","",'GIA CONG ACRYLIC'!B88)</f>
        <v/>
      </c>
      <c r="C55" s="3" t="str">
        <f>IF('GIA CONG ACRYLIC'!C88="","",'GIA CONG ACRYLIC'!C88)</f>
        <v/>
      </c>
      <c r="D55" s="3" t="str">
        <f>IF('GIA CONG ACRYLIC'!D88="","",'GIA CONG ACRYLIC'!D88)</f>
        <v/>
      </c>
      <c r="E55" s="3" t="str">
        <f>IF('GIA CONG ACRYLIC'!E88="","",'GIA CONG ACRYLIC'!E88)</f>
        <v/>
      </c>
      <c r="F55" s="3" t="str">
        <f>IF('GIA CONG ACRYLIC'!F88="","",'GIA CONG ACRYLIC'!F88)</f>
        <v/>
      </c>
      <c r="G55" s="3" t="str">
        <f>IF('GIA CONG ACRYLIC'!G88="","",'GIA CONG ACRYLIC'!G88)</f>
        <v/>
      </c>
      <c r="H55" s="3" t="str">
        <f>IF('GIA CONG ACRYLIC'!H88="","",'GIA CONG ACRYLIC'!H88)</f>
        <v/>
      </c>
      <c r="I55" s="3" t="str">
        <f>IF('GIA CONG ACRYLIC'!I88="","",'GIA CONG ACRYLIC'!I88)</f>
        <v/>
      </c>
      <c r="J55" s="3" t="str">
        <f>IF('GIA CONG ACRYLIC'!J88="","",'GIA CONG ACRYLIC'!J88)</f>
        <v/>
      </c>
      <c r="K55" s="3" t="str">
        <f>IF('GIA CONG ACRYLIC'!K88="","",'GIA CONG ACRYLIC'!K88)</f>
        <v/>
      </c>
      <c r="L55" s="3" t="str">
        <f>IF('GIA CONG ACRYLIC'!L88="","",'GIA CONG ACRYLIC'!L88)</f>
        <v/>
      </c>
      <c r="M55" s="3" t="str">
        <f>IF('GIA CONG ACRYLIC'!M88="","",'GIA CONG ACRYLIC'!M88)</f>
        <v/>
      </c>
      <c r="N55" s="4" t="str">
        <f>'GIA CONG ACRYLIC'!$H$7</f>
        <v>L3287</v>
      </c>
      <c r="O55" s="3">
        <f>IF('GIA CONG ACRYLIC'!I88+'GIA CONG ACRYLIC'!J88="","",'GIA CONG ACRYLIC'!I88+'GIA CONG ACRYLIC'!J88)</f>
        <v>0</v>
      </c>
      <c r="P55" s="4" t="e">
        <f>IF('LENH GIA CONG TAM'!#REF!="","",'LENH GIA CONG TAM'!#REF!)</f>
        <v>#REF!</v>
      </c>
      <c r="Q55" s="4" t="e">
        <f>IF('LENH GIA CONG TAM'!#REF!="","",'LENH GIA CONG TAM'!#REF!)</f>
        <v>#REF!</v>
      </c>
      <c r="R55" s="130">
        <f>'GIA CONG ACRYLIC'!$M$6</f>
        <v>46196.643055555556</v>
      </c>
      <c r="S55" s="4">
        <f>'GIA CONG ACRYLIC'!$M$7</f>
        <v>2</v>
      </c>
      <c r="T55" s="130">
        <f>'GIA CONG ACRYLIC'!$M$8</f>
        <v>46198.643055555556</v>
      </c>
    </row>
    <row r="56" spans="1:20" x14ac:dyDescent="0.25">
      <c r="A56" s="3" t="str">
        <f>IF('GIA CONG ACRYLIC'!A89="","",'GIA CONG ACRYLIC'!A89)</f>
        <v/>
      </c>
      <c r="B56" s="3" t="str">
        <f>IF('GIA CONG ACRYLIC'!B89="","",'GIA CONG ACRYLIC'!B89)</f>
        <v/>
      </c>
      <c r="C56" s="3" t="str">
        <f>IF('GIA CONG ACRYLIC'!C89="","",'GIA CONG ACRYLIC'!C89)</f>
        <v/>
      </c>
      <c r="D56" s="3" t="str">
        <f>IF('GIA CONG ACRYLIC'!D89="","",'GIA CONG ACRYLIC'!D89)</f>
        <v/>
      </c>
      <c r="E56" s="3" t="str">
        <f>IF('GIA CONG ACRYLIC'!E89="","",'GIA CONG ACRYLIC'!E89)</f>
        <v/>
      </c>
      <c r="F56" s="3" t="str">
        <f>IF('GIA CONG ACRYLIC'!F89="","",'GIA CONG ACRYLIC'!F89)</f>
        <v/>
      </c>
      <c r="G56" s="3" t="str">
        <f>IF('GIA CONG ACRYLIC'!G89="","",'GIA CONG ACRYLIC'!G89)</f>
        <v/>
      </c>
      <c r="H56" s="3" t="str">
        <f>IF('GIA CONG ACRYLIC'!H89="","",'GIA CONG ACRYLIC'!H89)</f>
        <v/>
      </c>
      <c r="I56" s="3" t="str">
        <f>IF('GIA CONG ACRYLIC'!I89="","",'GIA CONG ACRYLIC'!I89)</f>
        <v/>
      </c>
      <c r="J56" s="3" t="str">
        <f>IF('GIA CONG ACRYLIC'!J89="","",'GIA CONG ACRYLIC'!J89)</f>
        <v/>
      </c>
      <c r="K56" s="3" t="str">
        <f>IF('GIA CONG ACRYLIC'!K89="","",'GIA CONG ACRYLIC'!K89)</f>
        <v/>
      </c>
      <c r="L56" s="3" t="str">
        <f>IF('GIA CONG ACRYLIC'!L89="","",'GIA CONG ACRYLIC'!L89)</f>
        <v/>
      </c>
      <c r="M56" s="3" t="str">
        <f>IF('GIA CONG ACRYLIC'!M89="","",'GIA CONG ACRYLIC'!M89)</f>
        <v/>
      </c>
      <c r="N56" s="4" t="str">
        <f>'GIA CONG ACRYLIC'!$H$7</f>
        <v>L3287</v>
      </c>
      <c r="O56" s="3">
        <f>IF('GIA CONG ACRYLIC'!I89+'GIA CONG ACRYLIC'!J89="","",'GIA CONG ACRYLIC'!I89+'GIA CONG ACRYLIC'!J89)</f>
        <v>0</v>
      </c>
      <c r="P56" s="4" t="e">
        <f>IF('LENH GIA CONG TAM'!#REF!="","",'LENH GIA CONG TAM'!#REF!)</f>
        <v>#REF!</v>
      </c>
      <c r="Q56" s="4" t="e">
        <f>IF('LENH GIA CONG TAM'!#REF!="","",'LENH GIA CONG TAM'!#REF!)</f>
        <v>#REF!</v>
      </c>
      <c r="R56" s="130">
        <f>'GIA CONG ACRYLIC'!$M$6</f>
        <v>46196.643055555556</v>
      </c>
      <c r="S56" s="4">
        <f>'GIA CONG ACRYLIC'!$M$7</f>
        <v>2</v>
      </c>
      <c r="T56" s="130">
        <f>'GIA CONG ACRYLIC'!$M$8</f>
        <v>46198.643055555556</v>
      </c>
    </row>
    <row r="57" spans="1:20" x14ac:dyDescent="0.25">
      <c r="A57" s="3" t="str">
        <f>IF('GIA CONG ACRYLIC'!A90="","",'GIA CONG ACRYLIC'!A90)</f>
        <v/>
      </c>
      <c r="B57" s="3" t="str">
        <f>IF('GIA CONG ACRYLIC'!B90="","",'GIA CONG ACRYLIC'!B90)</f>
        <v/>
      </c>
      <c r="C57" s="3" t="str">
        <f>IF('GIA CONG ACRYLIC'!C90="","",'GIA CONG ACRYLIC'!C90)</f>
        <v/>
      </c>
      <c r="D57" s="3" t="str">
        <f>IF('GIA CONG ACRYLIC'!D90="","",'GIA CONG ACRYLIC'!D90)</f>
        <v/>
      </c>
      <c r="E57" s="3" t="str">
        <f>IF('GIA CONG ACRYLIC'!E90="","",'GIA CONG ACRYLIC'!E90)</f>
        <v/>
      </c>
      <c r="F57" s="3" t="str">
        <f>IF('GIA CONG ACRYLIC'!F90="","",'GIA CONG ACRYLIC'!F90)</f>
        <v/>
      </c>
      <c r="G57" s="3" t="str">
        <f>IF('GIA CONG ACRYLIC'!G90="","",'GIA CONG ACRYLIC'!G90)</f>
        <v/>
      </c>
      <c r="H57" s="3" t="str">
        <f>IF('GIA CONG ACRYLIC'!H90="","",'GIA CONG ACRYLIC'!H90)</f>
        <v/>
      </c>
      <c r="I57" s="3" t="str">
        <f>IF('GIA CONG ACRYLIC'!I90="","",'GIA CONG ACRYLIC'!I90)</f>
        <v/>
      </c>
      <c r="J57" s="3" t="str">
        <f>IF('GIA CONG ACRYLIC'!J90="","",'GIA CONG ACRYLIC'!J90)</f>
        <v/>
      </c>
      <c r="K57" s="3" t="str">
        <f>IF('GIA CONG ACRYLIC'!K90="","",'GIA CONG ACRYLIC'!K90)</f>
        <v/>
      </c>
      <c r="L57" s="3" t="str">
        <f>IF('GIA CONG ACRYLIC'!L90="","",'GIA CONG ACRYLIC'!L90)</f>
        <v/>
      </c>
      <c r="M57" s="3" t="str">
        <f>IF('GIA CONG ACRYLIC'!M90="","",'GIA CONG ACRYLIC'!M90)</f>
        <v/>
      </c>
      <c r="N57" s="4" t="str">
        <f>'GIA CONG ACRYLIC'!$H$7</f>
        <v>L3287</v>
      </c>
      <c r="O57" s="3">
        <f>IF('GIA CONG ACRYLIC'!I90+'GIA CONG ACRYLIC'!J90="","",'GIA CONG ACRYLIC'!I90+'GIA CONG ACRYLIC'!J90)</f>
        <v>0</v>
      </c>
      <c r="P57" s="4" t="e">
        <f>IF('LENH GIA CONG TAM'!#REF!="","",'LENH GIA CONG TAM'!#REF!)</f>
        <v>#REF!</v>
      </c>
      <c r="Q57" s="4" t="e">
        <f>IF('LENH GIA CONG TAM'!#REF!="","",'LENH GIA CONG TAM'!#REF!)</f>
        <v>#REF!</v>
      </c>
      <c r="R57" s="130">
        <f>'GIA CONG ACRYLIC'!$M$6</f>
        <v>46196.643055555556</v>
      </c>
      <c r="S57" s="4">
        <f>'GIA CONG ACRYLIC'!$M$7</f>
        <v>2</v>
      </c>
      <c r="T57" s="130">
        <f>'GIA CONG ACRYLIC'!$M$8</f>
        <v>46198.643055555556</v>
      </c>
    </row>
    <row r="58" spans="1:20" x14ac:dyDescent="0.25">
      <c r="A58" s="3" t="str">
        <f>IF('GIA CONG ACRYLIC'!A91="","",'GIA CONG ACRYLIC'!A91)</f>
        <v/>
      </c>
      <c r="B58" s="3" t="str">
        <f>IF('GIA CONG ACRYLIC'!B91="","",'GIA CONG ACRYLIC'!B91)</f>
        <v/>
      </c>
      <c r="C58" s="3" t="str">
        <f>IF('GIA CONG ACRYLIC'!C91="","",'GIA CONG ACRYLIC'!C91)</f>
        <v/>
      </c>
      <c r="D58" s="3" t="str">
        <f>IF('GIA CONG ACRYLIC'!D91="","",'GIA CONG ACRYLIC'!D91)</f>
        <v/>
      </c>
      <c r="E58" s="3" t="str">
        <f>IF('GIA CONG ACRYLIC'!E91="","",'GIA CONG ACRYLIC'!E91)</f>
        <v/>
      </c>
      <c r="F58" s="3" t="str">
        <f>IF('GIA CONG ACRYLIC'!F91="","",'GIA CONG ACRYLIC'!F91)</f>
        <v/>
      </c>
      <c r="G58" s="3" t="str">
        <f>IF('GIA CONG ACRYLIC'!G91="","",'GIA CONG ACRYLIC'!G91)</f>
        <v/>
      </c>
      <c r="H58" s="3" t="str">
        <f>IF('GIA CONG ACRYLIC'!H91="","",'GIA CONG ACRYLIC'!H91)</f>
        <v/>
      </c>
      <c r="I58" s="3" t="str">
        <f>IF('GIA CONG ACRYLIC'!I91="","",'GIA CONG ACRYLIC'!I91)</f>
        <v/>
      </c>
      <c r="J58" s="3" t="str">
        <f>IF('GIA CONG ACRYLIC'!J91="","",'GIA CONG ACRYLIC'!J91)</f>
        <v/>
      </c>
      <c r="K58" s="3" t="str">
        <f>IF('GIA CONG ACRYLIC'!K91="","",'GIA CONG ACRYLIC'!K91)</f>
        <v/>
      </c>
      <c r="L58" s="3" t="str">
        <f>IF('GIA CONG ACRYLIC'!L91="","",'GIA CONG ACRYLIC'!L91)</f>
        <v/>
      </c>
      <c r="M58" s="3" t="str">
        <f>IF('GIA CONG ACRYLIC'!M91="","",'GIA CONG ACRYLIC'!M91)</f>
        <v/>
      </c>
      <c r="N58" s="4" t="str">
        <f>'GIA CONG ACRYLIC'!$H$7</f>
        <v>L3287</v>
      </c>
      <c r="O58" s="3">
        <f>IF('GIA CONG ACRYLIC'!I91+'GIA CONG ACRYLIC'!J91="","",'GIA CONG ACRYLIC'!I91+'GIA CONG ACRYLIC'!J91)</f>
        <v>0</v>
      </c>
      <c r="P58" s="4" t="e">
        <f>IF('LENH GIA CONG TAM'!#REF!="","",'LENH GIA CONG TAM'!#REF!)</f>
        <v>#REF!</v>
      </c>
      <c r="Q58" s="4" t="e">
        <f>IF('LENH GIA CONG TAM'!#REF!="","",'LENH GIA CONG TAM'!#REF!)</f>
        <v>#REF!</v>
      </c>
      <c r="R58" s="130">
        <f>'GIA CONG ACRYLIC'!$M$6</f>
        <v>46196.643055555556</v>
      </c>
      <c r="S58" s="4">
        <f>'GIA CONG ACRYLIC'!$M$7</f>
        <v>2</v>
      </c>
      <c r="T58" s="130">
        <f>'GIA CONG ACRYLIC'!$M$8</f>
        <v>46198.643055555556</v>
      </c>
    </row>
    <row r="59" spans="1:20" x14ac:dyDescent="0.25">
      <c r="A59" s="3" t="str">
        <f>IF('GIA CONG ACRYLIC'!A92="","",'GIA CONG ACRYLIC'!A92)</f>
        <v/>
      </c>
      <c r="B59" s="3" t="str">
        <f>IF('GIA CONG ACRYLIC'!B92="","",'GIA CONG ACRYLIC'!B92)</f>
        <v/>
      </c>
      <c r="C59" s="3" t="str">
        <f>IF('GIA CONG ACRYLIC'!C92="","",'GIA CONG ACRYLIC'!C92)</f>
        <v/>
      </c>
      <c r="D59" s="3" t="str">
        <f>IF('GIA CONG ACRYLIC'!D92="","",'GIA CONG ACRYLIC'!D92)</f>
        <v/>
      </c>
      <c r="E59" s="3" t="str">
        <f>IF('GIA CONG ACRYLIC'!E92="","",'GIA CONG ACRYLIC'!E92)</f>
        <v/>
      </c>
      <c r="F59" s="3" t="str">
        <f>IF('GIA CONG ACRYLIC'!F92="","",'GIA CONG ACRYLIC'!F92)</f>
        <v/>
      </c>
      <c r="G59" s="3" t="str">
        <f>IF('GIA CONG ACRYLIC'!G92="","",'GIA CONG ACRYLIC'!G92)</f>
        <v/>
      </c>
      <c r="H59" s="3" t="str">
        <f>IF('GIA CONG ACRYLIC'!H92="","",'GIA CONG ACRYLIC'!H92)</f>
        <v/>
      </c>
      <c r="I59" s="3" t="str">
        <f>IF('GIA CONG ACRYLIC'!I92="","",'GIA CONG ACRYLIC'!I92)</f>
        <v/>
      </c>
      <c r="J59" s="3" t="str">
        <f>IF('GIA CONG ACRYLIC'!J92="","",'GIA CONG ACRYLIC'!J92)</f>
        <v/>
      </c>
      <c r="K59" s="3" t="str">
        <f>IF('GIA CONG ACRYLIC'!K92="","",'GIA CONG ACRYLIC'!K92)</f>
        <v/>
      </c>
      <c r="L59" s="3" t="str">
        <f>IF('GIA CONG ACRYLIC'!L92="","",'GIA CONG ACRYLIC'!L92)</f>
        <v/>
      </c>
      <c r="M59" s="3" t="str">
        <f>IF('GIA CONG ACRYLIC'!M92="","",'GIA CONG ACRYLIC'!M92)</f>
        <v/>
      </c>
      <c r="N59" s="4" t="str">
        <f>'GIA CONG ACRYLIC'!$H$7</f>
        <v>L3287</v>
      </c>
      <c r="O59" s="3">
        <f>IF('GIA CONG ACRYLIC'!I92+'GIA CONG ACRYLIC'!J92="","",'GIA CONG ACRYLIC'!I92+'GIA CONG ACRYLIC'!J92)</f>
        <v>0</v>
      </c>
      <c r="P59" s="4" t="e">
        <f>IF('LENH GIA CONG TAM'!#REF!="","",'LENH GIA CONG TAM'!#REF!)</f>
        <v>#REF!</v>
      </c>
      <c r="Q59" s="4" t="e">
        <f>IF('LENH GIA CONG TAM'!#REF!="","",'LENH GIA CONG TAM'!#REF!)</f>
        <v>#REF!</v>
      </c>
      <c r="R59" s="130">
        <f>'GIA CONG ACRYLIC'!$M$6</f>
        <v>46196.643055555556</v>
      </c>
      <c r="S59" s="4">
        <f>'GIA CONG ACRYLIC'!$M$7</f>
        <v>2</v>
      </c>
      <c r="T59" s="130">
        <f>'GIA CONG ACRYLIC'!$M$8</f>
        <v>46198.643055555556</v>
      </c>
    </row>
    <row r="60" spans="1:20" x14ac:dyDescent="0.25">
      <c r="A60" s="3" t="str">
        <f>IF('GIA CONG ACRYLIC'!A93="","",'GIA CONG ACRYLIC'!A93)</f>
        <v/>
      </c>
      <c r="B60" s="3" t="str">
        <f>IF('GIA CONG ACRYLIC'!B93="","",'GIA CONG ACRYLIC'!B93)</f>
        <v/>
      </c>
      <c r="C60" s="3" t="str">
        <f>IF('GIA CONG ACRYLIC'!C93="","",'GIA CONG ACRYLIC'!C93)</f>
        <v/>
      </c>
      <c r="D60" s="3" t="str">
        <f>IF('GIA CONG ACRYLIC'!D93="","",'GIA CONG ACRYLIC'!D93)</f>
        <v/>
      </c>
      <c r="E60" s="3" t="str">
        <f>IF('GIA CONG ACRYLIC'!E93="","",'GIA CONG ACRYLIC'!E93)</f>
        <v/>
      </c>
      <c r="F60" s="3" t="str">
        <f>IF('GIA CONG ACRYLIC'!F93="","",'GIA CONG ACRYLIC'!F93)</f>
        <v/>
      </c>
      <c r="G60" s="3" t="str">
        <f>IF('GIA CONG ACRYLIC'!G93="","",'GIA CONG ACRYLIC'!G93)</f>
        <v/>
      </c>
      <c r="H60" s="3" t="str">
        <f>IF('GIA CONG ACRYLIC'!H93="","",'GIA CONG ACRYLIC'!H93)</f>
        <v/>
      </c>
      <c r="I60" s="3" t="str">
        <f>IF('GIA CONG ACRYLIC'!I93="","",'GIA CONG ACRYLIC'!I93)</f>
        <v/>
      </c>
      <c r="J60" s="3" t="str">
        <f>IF('GIA CONG ACRYLIC'!J93="","",'GIA CONG ACRYLIC'!J93)</f>
        <v/>
      </c>
      <c r="K60" s="3" t="str">
        <f>IF('GIA CONG ACRYLIC'!K93="","",'GIA CONG ACRYLIC'!K93)</f>
        <v/>
      </c>
      <c r="L60" s="3" t="str">
        <f>IF('GIA CONG ACRYLIC'!L93="","",'GIA CONG ACRYLIC'!L93)</f>
        <v/>
      </c>
      <c r="M60" s="3" t="str">
        <f>IF('GIA CONG ACRYLIC'!M93="","",'GIA CONG ACRYLIC'!M93)</f>
        <v/>
      </c>
      <c r="N60" s="4" t="str">
        <f>'GIA CONG ACRYLIC'!$H$7</f>
        <v>L3287</v>
      </c>
      <c r="O60" s="3">
        <f>IF('GIA CONG ACRYLIC'!I93+'GIA CONG ACRYLIC'!J93="","",'GIA CONG ACRYLIC'!I93+'GIA CONG ACRYLIC'!J93)</f>
        <v>0</v>
      </c>
      <c r="P60" s="4" t="e">
        <f>IF('LENH GIA CONG TAM'!#REF!="","",'LENH GIA CONG TAM'!#REF!)</f>
        <v>#REF!</v>
      </c>
      <c r="Q60" s="4" t="e">
        <f>IF('LENH GIA CONG TAM'!#REF!="","",'LENH GIA CONG TAM'!#REF!)</f>
        <v>#REF!</v>
      </c>
      <c r="R60" s="130">
        <f>'GIA CONG ACRYLIC'!$M$6</f>
        <v>46196.643055555556</v>
      </c>
      <c r="S60" s="4">
        <f>'GIA CONG ACRYLIC'!$M$7</f>
        <v>2</v>
      </c>
      <c r="T60" s="130">
        <f>'GIA CONG ACRYLIC'!$M$8</f>
        <v>46198.643055555556</v>
      </c>
    </row>
    <row r="61" spans="1:20" x14ac:dyDescent="0.25">
      <c r="A61" s="3" t="str">
        <f>IF('GIA CONG ACRYLIC'!A94="","",'GIA CONG ACRYLIC'!A94)</f>
        <v/>
      </c>
      <c r="B61" s="3" t="str">
        <f>IF('GIA CONG ACRYLIC'!B94="","",'GIA CONG ACRYLIC'!B94)</f>
        <v/>
      </c>
      <c r="C61" s="3" t="str">
        <f>IF('GIA CONG ACRYLIC'!C94="","",'GIA CONG ACRYLIC'!C94)</f>
        <v/>
      </c>
      <c r="D61" s="3" t="str">
        <f>IF('GIA CONG ACRYLIC'!D94="","",'GIA CONG ACRYLIC'!D94)</f>
        <v/>
      </c>
      <c r="E61" s="3" t="str">
        <f>IF('GIA CONG ACRYLIC'!E94="","",'GIA CONG ACRYLIC'!E94)</f>
        <v/>
      </c>
      <c r="F61" s="3" t="str">
        <f>IF('GIA CONG ACRYLIC'!F94="","",'GIA CONG ACRYLIC'!F94)</f>
        <v/>
      </c>
      <c r="G61" s="3" t="str">
        <f>IF('GIA CONG ACRYLIC'!G94="","",'GIA CONG ACRYLIC'!G94)</f>
        <v/>
      </c>
      <c r="H61" s="3" t="str">
        <f>IF('GIA CONG ACRYLIC'!H94="","",'GIA CONG ACRYLIC'!H94)</f>
        <v/>
      </c>
      <c r="I61" s="3" t="str">
        <f>IF('GIA CONG ACRYLIC'!I94="","",'GIA CONG ACRYLIC'!I94)</f>
        <v/>
      </c>
      <c r="J61" s="3" t="str">
        <f>IF('GIA CONG ACRYLIC'!J94="","",'GIA CONG ACRYLIC'!J94)</f>
        <v/>
      </c>
      <c r="K61" s="3" t="str">
        <f>IF('GIA CONG ACRYLIC'!K94="","",'GIA CONG ACRYLIC'!K94)</f>
        <v/>
      </c>
      <c r="L61" s="3" t="str">
        <f>IF('GIA CONG ACRYLIC'!L94="","",'GIA CONG ACRYLIC'!L94)</f>
        <v/>
      </c>
      <c r="M61" s="3" t="str">
        <f>IF('GIA CONG ACRYLIC'!M94="","",'GIA CONG ACRYLIC'!M94)</f>
        <v/>
      </c>
      <c r="N61" s="4" t="str">
        <f>'GIA CONG ACRYLIC'!$H$7</f>
        <v>L3287</v>
      </c>
      <c r="O61" s="3">
        <f>IF('GIA CONG ACRYLIC'!I94+'GIA CONG ACRYLIC'!J94="","",'GIA CONG ACRYLIC'!I94+'GIA CONG ACRYLIC'!J94)</f>
        <v>0</v>
      </c>
      <c r="P61" s="4" t="e">
        <f>IF('LENH GIA CONG TAM'!#REF!="","",'LENH GIA CONG TAM'!#REF!)</f>
        <v>#REF!</v>
      </c>
      <c r="Q61" s="4" t="e">
        <f>IF('LENH GIA CONG TAM'!#REF!="","",'LENH GIA CONG TAM'!#REF!)</f>
        <v>#REF!</v>
      </c>
      <c r="R61" s="130">
        <f>'GIA CONG ACRYLIC'!$M$6</f>
        <v>46196.643055555556</v>
      </c>
      <c r="S61" s="4">
        <f>'GIA CONG ACRYLIC'!$M$7</f>
        <v>2</v>
      </c>
      <c r="T61" s="130">
        <f>'GIA CONG ACRYLIC'!$M$8</f>
        <v>46198.643055555556</v>
      </c>
    </row>
    <row r="62" spans="1:20" x14ac:dyDescent="0.25">
      <c r="A62" s="3" t="str">
        <f>IF('GIA CONG ACRYLIC'!A95="","",'GIA CONG ACRYLIC'!A95)</f>
        <v/>
      </c>
      <c r="B62" s="3" t="str">
        <f>IF('GIA CONG ACRYLIC'!B95="","",'GIA CONG ACRYLIC'!B95)</f>
        <v/>
      </c>
      <c r="C62" s="3" t="str">
        <f>IF('GIA CONG ACRYLIC'!C95="","",'GIA CONG ACRYLIC'!C95)</f>
        <v/>
      </c>
      <c r="D62" s="3" t="str">
        <f>IF('GIA CONG ACRYLIC'!D95="","",'GIA CONG ACRYLIC'!D95)</f>
        <v/>
      </c>
      <c r="E62" s="3" t="str">
        <f>IF('GIA CONG ACRYLIC'!E95="","",'GIA CONG ACRYLIC'!E95)</f>
        <v/>
      </c>
      <c r="F62" s="3" t="str">
        <f>IF('GIA CONG ACRYLIC'!F95="","",'GIA CONG ACRYLIC'!F95)</f>
        <v/>
      </c>
      <c r="G62" s="3" t="str">
        <f>IF('GIA CONG ACRYLIC'!G95="","",'GIA CONG ACRYLIC'!G95)</f>
        <v/>
      </c>
      <c r="H62" s="3" t="str">
        <f>IF('GIA CONG ACRYLIC'!H95="","",'GIA CONG ACRYLIC'!H95)</f>
        <v/>
      </c>
      <c r="I62" s="3" t="str">
        <f>IF('GIA CONG ACRYLIC'!I95="","",'GIA CONG ACRYLIC'!I95)</f>
        <v/>
      </c>
      <c r="J62" s="3" t="str">
        <f>IF('GIA CONG ACRYLIC'!J95="","",'GIA CONG ACRYLIC'!J95)</f>
        <v/>
      </c>
      <c r="K62" s="3" t="str">
        <f>IF('GIA CONG ACRYLIC'!K95="","",'GIA CONG ACRYLIC'!K95)</f>
        <v/>
      </c>
      <c r="L62" s="3" t="str">
        <f>IF('GIA CONG ACRYLIC'!L95="","",'GIA CONG ACRYLIC'!L95)</f>
        <v/>
      </c>
      <c r="M62" s="3" t="str">
        <f>IF('GIA CONG ACRYLIC'!M95="","",'GIA CONG ACRYLIC'!M95)</f>
        <v/>
      </c>
      <c r="N62" s="4" t="str">
        <f>'GIA CONG ACRYLIC'!$H$7</f>
        <v>L3287</v>
      </c>
      <c r="O62" s="3">
        <f>IF('GIA CONG ACRYLIC'!I95+'GIA CONG ACRYLIC'!J95="","",'GIA CONG ACRYLIC'!I95+'GIA CONG ACRYLIC'!J95)</f>
        <v>0</v>
      </c>
      <c r="P62" s="4" t="e">
        <f>IF('LENH GIA CONG TAM'!#REF!="","",'LENH GIA CONG TAM'!#REF!)</f>
        <v>#REF!</v>
      </c>
      <c r="Q62" s="4" t="e">
        <f>IF('LENH GIA CONG TAM'!#REF!="","",'LENH GIA CONG TAM'!#REF!)</f>
        <v>#REF!</v>
      </c>
      <c r="R62" s="130">
        <f>'GIA CONG ACRYLIC'!$M$6</f>
        <v>46196.643055555556</v>
      </c>
      <c r="S62" s="4">
        <f>'GIA CONG ACRYLIC'!$M$7</f>
        <v>2</v>
      </c>
      <c r="T62" s="130">
        <f>'GIA CONG ACRYLIC'!$M$8</f>
        <v>46198.643055555556</v>
      </c>
    </row>
    <row r="63" spans="1:20" x14ac:dyDescent="0.25">
      <c r="A63" s="3" t="str">
        <f>IF('GIA CONG ACRYLIC'!A96="","",'GIA CONG ACRYLIC'!A96)</f>
        <v/>
      </c>
      <c r="B63" s="3" t="str">
        <f>IF('GIA CONG ACRYLIC'!B96="","",'GIA CONG ACRYLIC'!B96)</f>
        <v/>
      </c>
      <c r="C63" s="3" t="str">
        <f>IF('GIA CONG ACRYLIC'!C96="","",'GIA CONG ACRYLIC'!C96)</f>
        <v/>
      </c>
      <c r="D63" s="3" t="str">
        <f>IF('GIA CONG ACRYLIC'!D96="","",'GIA CONG ACRYLIC'!D96)</f>
        <v/>
      </c>
      <c r="E63" s="3" t="str">
        <f>IF('GIA CONG ACRYLIC'!E96="","",'GIA CONG ACRYLIC'!E96)</f>
        <v/>
      </c>
      <c r="F63" s="3" t="str">
        <f>IF('GIA CONG ACRYLIC'!F96="","",'GIA CONG ACRYLIC'!F96)</f>
        <v/>
      </c>
      <c r="G63" s="3" t="str">
        <f>IF('GIA CONG ACRYLIC'!G96="","",'GIA CONG ACRYLIC'!G96)</f>
        <v/>
      </c>
      <c r="H63" s="3" t="str">
        <f>IF('GIA CONG ACRYLIC'!H96="","",'GIA CONG ACRYLIC'!H96)</f>
        <v/>
      </c>
      <c r="I63" s="3" t="str">
        <f>IF('GIA CONG ACRYLIC'!I96="","",'GIA CONG ACRYLIC'!I96)</f>
        <v/>
      </c>
      <c r="J63" s="3" t="str">
        <f>IF('GIA CONG ACRYLIC'!J96="","",'GIA CONG ACRYLIC'!J96)</f>
        <v/>
      </c>
      <c r="K63" s="3" t="str">
        <f>IF('GIA CONG ACRYLIC'!K96="","",'GIA CONG ACRYLIC'!K96)</f>
        <v/>
      </c>
      <c r="L63" s="3" t="str">
        <f>IF('GIA CONG ACRYLIC'!L96="","",'GIA CONG ACRYLIC'!L96)</f>
        <v/>
      </c>
      <c r="M63" s="3" t="str">
        <f>IF('GIA CONG ACRYLIC'!M96="","",'GIA CONG ACRYLIC'!M96)</f>
        <v/>
      </c>
      <c r="N63" s="4" t="str">
        <f>'GIA CONG ACRYLIC'!$H$7</f>
        <v>L3287</v>
      </c>
      <c r="O63" s="3">
        <f>IF('GIA CONG ACRYLIC'!I96+'GIA CONG ACRYLIC'!J96="","",'GIA CONG ACRYLIC'!I96+'GIA CONG ACRYLIC'!J96)</f>
        <v>0</v>
      </c>
      <c r="P63" s="4" t="e">
        <f>IF('LENH GIA CONG TAM'!#REF!="","",'LENH GIA CONG TAM'!#REF!)</f>
        <v>#REF!</v>
      </c>
      <c r="Q63" s="4" t="e">
        <f>IF('LENH GIA CONG TAM'!#REF!="","",'LENH GIA CONG TAM'!#REF!)</f>
        <v>#REF!</v>
      </c>
      <c r="R63" s="130">
        <f>'GIA CONG ACRYLIC'!$M$6</f>
        <v>46196.643055555556</v>
      </c>
      <c r="S63" s="4">
        <f>'GIA CONG ACRYLIC'!$M$7</f>
        <v>2</v>
      </c>
      <c r="T63" s="130">
        <f>'GIA CONG ACRYLIC'!$M$8</f>
        <v>46198.643055555556</v>
      </c>
    </row>
    <row r="64" spans="1:20" x14ac:dyDescent="0.25">
      <c r="A64" s="3" t="str">
        <f>IF('GIA CONG ACRYLIC'!A97="","",'GIA CONG ACRYLIC'!A97)</f>
        <v/>
      </c>
      <c r="B64" s="3" t="str">
        <f>IF('GIA CONG ACRYLIC'!B97="","",'GIA CONG ACRYLIC'!B97)</f>
        <v/>
      </c>
      <c r="C64" s="3" t="str">
        <f>IF('GIA CONG ACRYLIC'!C97="","",'GIA CONG ACRYLIC'!C97)</f>
        <v/>
      </c>
      <c r="D64" s="3" t="str">
        <f>IF('GIA CONG ACRYLIC'!D97="","",'GIA CONG ACRYLIC'!D97)</f>
        <v/>
      </c>
      <c r="E64" s="3" t="str">
        <f>IF('GIA CONG ACRYLIC'!E97="","",'GIA CONG ACRYLIC'!E97)</f>
        <v/>
      </c>
      <c r="F64" s="3" t="str">
        <f>IF('GIA CONG ACRYLIC'!F97="","",'GIA CONG ACRYLIC'!F97)</f>
        <v/>
      </c>
      <c r="G64" s="3" t="str">
        <f>IF('GIA CONG ACRYLIC'!G97="","",'GIA CONG ACRYLIC'!G97)</f>
        <v/>
      </c>
      <c r="H64" s="3" t="str">
        <f>IF('GIA CONG ACRYLIC'!H97="","",'GIA CONG ACRYLIC'!H97)</f>
        <v/>
      </c>
      <c r="I64" s="3" t="str">
        <f>IF('GIA CONG ACRYLIC'!I97="","",'GIA CONG ACRYLIC'!I97)</f>
        <v/>
      </c>
      <c r="J64" s="3" t="str">
        <f>IF('GIA CONG ACRYLIC'!J97="","",'GIA CONG ACRYLIC'!J97)</f>
        <v/>
      </c>
      <c r="K64" s="3" t="str">
        <f>IF('GIA CONG ACRYLIC'!K97="","",'GIA CONG ACRYLIC'!K97)</f>
        <v/>
      </c>
      <c r="L64" s="3" t="str">
        <f>IF('GIA CONG ACRYLIC'!L97="","",'GIA CONG ACRYLIC'!L97)</f>
        <v/>
      </c>
      <c r="M64" s="3" t="str">
        <f>IF('GIA CONG ACRYLIC'!M97="","",'GIA CONG ACRYLIC'!M97)</f>
        <v/>
      </c>
      <c r="N64" s="4" t="str">
        <f>'GIA CONG ACRYLIC'!$H$7</f>
        <v>L3287</v>
      </c>
      <c r="O64" s="3">
        <f>IF('GIA CONG ACRYLIC'!I97+'GIA CONG ACRYLIC'!J97="","",'GIA CONG ACRYLIC'!I97+'GIA CONG ACRYLIC'!J97)</f>
        <v>0</v>
      </c>
      <c r="P64" s="4" t="e">
        <f>IF('LENH GIA CONG TAM'!#REF!="","",'LENH GIA CONG TAM'!#REF!)</f>
        <v>#REF!</v>
      </c>
      <c r="Q64" s="4" t="e">
        <f>IF('LENH GIA CONG TAM'!#REF!="","",'LENH GIA CONG TAM'!#REF!)</f>
        <v>#REF!</v>
      </c>
      <c r="R64" s="130">
        <f>'GIA CONG ACRYLIC'!$M$6</f>
        <v>46196.643055555556</v>
      </c>
      <c r="S64" s="4">
        <f>'GIA CONG ACRYLIC'!$M$7</f>
        <v>2</v>
      </c>
      <c r="T64" s="130">
        <f>'GIA CONG ACRYLIC'!$M$8</f>
        <v>46198.643055555556</v>
      </c>
    </row>
    <row r="65" spans="1:20" x14ac:dyDescent="0.25">
      <c r="A65" s="3" t="str">
        <f>IF('GIA CONG ACRYLIC'!A98="","",'GIA CONG ACRYLIC'!A98)</f>
        <v/>
      </c>
      <c r="B65" s="3" t="str">
        <f>IF('GIA CONG ACRYLIC'!B98="","",'GIA CONG ACRYLIC'!B98)</f>
        <v/>
      </c>
      <c r="C65" s="3" t="str">
        <f>IF('GIA CONG ACRYLIC'!C98="","",'GIA CONG ACRYLIC'!C98)</f>
        <v/>
      </c>
      <c r="D65" s="3" t="str">
        <f>IF('GIA CONG ACRYLIC'!D98="","",'GIA CONG ACRYLIC'!D98)</f>
        <v/>
      </c>
      <c r="E65" s="3" t="str">
        <f>IF('GIA CONG ACRYLIC'!E98="","",'GIA CONG ACRYLIC'!E98)</f>
        <v/>
      </c>
      <c r="F65" s="3" t="str">
        <f>IF('GIA CONG ACRYLIC'!F98="","",'GIA CONG ACRYLIC'!F98)</f>
        <v/>
      </c>
      <c r="G65" s="3" t="str">
        <f>IF('GIA CONG ACRYLIC'!G98="","",'GIA CONG ACRYLIC'!G98)</f>
        <v/>
      </c>
      <c r="H65" s="3" t="str">
        <f>IF('GIA CONG ACRYLIC'!H98="","",'GIA CONG ACRYLIC'!H98)</f>
        <v/>
      </c>
      <c r="I65" s="3" t="str">
        <f>IF('GIA CONG ACRYLIC'!I98="","",'GIA CONG ACRYLIC'!I98)</f>
        <v/>
      </c>
      <c r="J65" s="3" t="str">
        <f>IF('GIA CONG ACRYLIC'!J98="","",'GIA CONG ACRYLIC'!J98)</f>
        <v/>
      </c>
      <c r="K65" s="3" t="str">
        <f>IF('GIA CONG ACRYLIC'!K98="","",'GIA CONG ACRYLIC'!K98)</f>
        <v/>
      </c>
      <c r="L65" s="3" t="str">
        <f>IF('GIA CONG ACRYLIC'!L98="","",'GIA CONG ACRYLIC'!L98)</f>
        <v/>
      </c>
      <c r="M65" s="3" t="str">
        <f>IF('GIA CONG ACRYLIC'!M98="","",'GIA CONG ACRYLIC'!M98)</f>
        <v/>
      </c>
      <c r="N65" s="4" t="str">
        <f>'GIA CONG ACRYLIC'!$H$7</f>
        <v>L3287</v>
      </c>
      <c r="O65" s="3">
        <f>IF('GIA CONG ACRYLIC'!I98+'GIA CONG ACRYLIC'!J98="","",'GIA CONG ACRYLIC'!I98+'GIA CONG ACRYLIC'!J98)</f>
        <v>0</v>
      </c>
      <c r="P65" s="4" t="e">
        <f>IF('LENH GIA CONG TAM'!#REF!="","",'LENH GIA CONG TAM'!#REF!)</f>
        <v>#REF!</v>
      </c>
      <c r="Q65" s="4" t="e">
        <f>IF('LENH GIA CONG TAM'!#REF!="","",'LENH GIA CONG TAM'!#REF!)</f>
        <v>#REF!</v>
      </c>
      <c r="R65" s="130">
        <f>'GIA CONG ACRYLIC'!$M$6</f>
        <v>46196.643055555556</v>
      </c>
      <c r="S65" s="4">
        <f>'GIA CONG ACRYLIC'!$M$7</f>
        <v>2</v>
      </c>
      <c r="T65" s="130">
        <f>'GIA CONG ACRYLIC'!$M$8</f>
        <v>46198.643055555556</v>
      </c>
    </row>
    <row r="66" spans="1:20" x14ac:dyDescent="0.25">
      <c r="A66" s="3" t="str">
        <f>IF('GIA CONG ACRYLIC'!A99="","",'GIA CONG ACRYLIC'!A99)</f>
        <v/>
      </c>
      <c r="B66" s="3" t="str">
        <f>IF('GIA CONG ACRYLIC'!B99="","",'GIA CONG ACRYLIC'!B99)</f>
        <v/>
      </c>
      <c r="C66" s="3" t="str">
        <f>IF('GIA CONG ACRYLIC'!C99="","",'GIA CONG ACRYLIC'!C99)</f>
        <v/>
      </c>
      <c r="D66" s="3" t="str">
        <f>IF('GIA CONG ACRYLIC'!D99="","",'GIA CONG ACRYLIC'!D99)</f>
        <v/>
      </c>
      <c r="E66" s="3" t="str">
        <f>IF('GIA CONG ACRYLIC'!E99="","",'GIA CONG ACRYLIC'!E99)</f>
        <v/>
      </c>
      <c r="F66" s="3" t="str">
        <f>IF('GIA CONG ACRYLIC'!F99="","",'GIA CONG ACRYLIC'!F99)</f>
        <v/>
      </c>
      <c r="G66" s="3" t="str">
        <f>IF('GIA CONG ACRYLIC'!G99="","",'GIA CONG ACRYLIC'!G99)</f>
        <v/>
      </c>
      <c r="H66" s="3" t="str">
        <f>IF('GIA CONG ACRYLIC'!H99="","",'GIA CONG ACRYLIC'!H99)</f>
        <v/>
      </c>
      <c r="I66" s="3" t="str">
        <f>IF('GIA CONG ACRYLIC'!I99="","",'GIA CONG ACRYLIC'!I99)</f>
        <v/>
      </c>
      <c r="J66" s="3" t="str">
        <f>IF('GIA CONG ACRYLIC'!J99="","",'GIA CONG ACRYLIC'!J99)</f>
        <v/>
      </c>
      <c r="K66" s="3" t="str">
        <f>IF('GIA CONG ACRYLIC'!K99="","",'GIA CONG ACRYLIC'!K99)</f>
        <v/>
      </c>
      <c r="L66" s="3" t="str">
        <f>IF('GIA CONG ACRYLIC'!L99="","",'GIA CONG ACRYLIC'!L99)</f>
        <v/>
      </c>
      <c r="M66" s="3" t="str">
        <f>IF('GIA CONG ACRYLIC'!M99="","",'GIA CONG ACRYLIC'!M99)</f>
        <v/>
      </c>
      <c r="N66" s="4" t="str">
        <f>'GIA CONG ACRYLIC'!$H$7</f>
        <v>L3287</v>
      </c>
      <c r="O66" s="3">
        <f>IF('GIA CONG ACRYLIC'!I99+'GIA CONG ACRYLIC'!J99="","",'GIA CONG ACRYLIC'!I99+'GIA CONG ACRYLIC'!J99)</f>
        <v>0</v>
      </c>
      <c r="P66" s="4" t="e">
        <f>IF('LENH GIA CONG TAM'!#REF!="","",'LENH GIA CONG TAM'!#REF!)</f>
        <v>#REF!</v>
      </c>
      <c r="Q66" s="4" t="e">
        <f>IF('LENH GIA CONG TAM'!#REF!="","",'LENH GIA CONG TAM'!#REF!)</f>
        <v>#REF!</v>
      </c>
      <c r="R66" s="130">
        <f>'GIA CONG ACRYLIC'!$M$6</f>
        <v>46196.643055555556</v>
      </c>
      <c r="S66" s="4">
        <f>'GIA CONG ACRYLIC'!$M$7</f>
        <v>2</v>
      </c>
      <c r="T66" s="130">
        <f>'GIA CONG ACRYLIC'!$M$8</f>
        <v>46198.643055555556</v>
      </c>
    </row>
    <row r="67" spans="1:20" x14ac:dyDescent="0.25">
      <c r="A67" s="3" t="str">
        <f>IF('GIA CONG ACRYLIC'!A100="","",'GIA CONG ACRYLIC'!A100)</f>
        <v/>
      </c>
      <c r="B67" s="3" t="str">
        <f>IF('GIA CONG ACRYLIC'!B100="","",'GIA CONG ACRYLIC'!B100)</f>
        <v/>
      </c>
      <c r="C67" s="3" t="str">
        <f>IF('GIA CONG ACRYLIC'!C100="","",'GIA CONG ACRYLIC'!C100)</f>
        <v/>
      </c>
      <c r="D67" s="3" t="str">
        <f>IF('GIA CONG ACRYLIC'!D100="","",'GIA CONG ACRYLIC'!D100)</f>
        <v/>
      </c>
      <c r="E67" s="3" t="str">
        <f>IF('GIA CONG ACRYLIC'!E100="","",'GIA CONG ACRYLIC'!E100)</f>
        <v/>
      </c>
      <c r="F67" s="3" t="str">
        <f>IF('GIA CONG ACRYLIC'!F100="","",'GIA CONG ACRYLIC'!F100)</f>
        <v/>
      </c>
      <c r="G67" s="3" t="str">
        <f>IF('GIA CONG ACRYLIC'!G100="","",'GIA CONG ACRYLIC'!G100)</f>
        <v/>
      </c>
      <c r="H67" s="3" t="str">
        <f>IF('GIA CONG ACRYLIC'!H100="","",'GIA CONG ACRYLIC'!H100)</f>
        <v/>
      </c>
      <c r="I67" s="3" t="str">
        <f>IF('GIA CONG ACRYLIC'!I100="","",'GIA CONG ACRYLIC'!I100)</f>
        <v/>
      </c>
      <c r="J67" s="3" t="str">
        <f>IF('GIA CONG ACRYLIC'!J100="","",'GIA CONG ACRYLIC'!J100)</f>
        <v/>
      </c>
      <c r="K67" s="3" t="str">
        <f>IF('GIA CONG ACRYLIC'!K100="","",'GIA CONG ACRYLIC'!K100)</f>
        <v/>
      </c>
      <c r="L67" s="3" t="str">
        <f>IF('GIA CONG ACRYLIC'!L100="","",'GIA CONG ACRYLIC'!L100)</f>
        <v/>
      </c>
      <c r="M67" s="3" t="str">
        <f>IF('GIA CONG ACRYLIC'!M100="","",'GIA CONG ACRYLIC'!M100)</f>
        <v/>
      </c>
      <c r="N67" s="4" t="str">
        <f>'GIA CONG ACRYLIC'!$H$7</f>
        <v>L3287</v>
      </c>
      <c r="O67" s="3">
        <f>IF('GIA CONG ACRYLIC'!I100+'GIA CONG ACRYLIC'!J100="","",'GIA CONG ACRYLIC'!I100+'GIA CONG ACRYLIC'!J100)</f>
        <v>0</v>
      </c>
      <c r="P67" s="4">
        <f>IF('LENH GIA CONG TAM'!H42="","",'LENH GIA CONG TAM'!H42)</f>
        <v>3.2120000000000002</v>
      </c>
      <c r="Q67" s="4">
        <f>IF('LENH GIA CONG TAM'!I42="","",'LENH GIA CONG TAM'!I42)</f>
        <v>0</v>
      </c>
      <c r="R67" s="130">
        <f>'GIA CONG ACRYLIC'!$M$6</f>
        <v>46196.643055555556</v>
      </c>
      <c r="S67" s="4">
        <f>'GIA CONG ACRYLIC'!$M$7</f>
        <v>2</v>
      </c>
      <c r="T67" s="130">
        <f>'GIA CONG ACRYLIC'!$M$8</f>
        <v>46198.643055555556</v>
      </c>
    </row>
    <row r="68" spans="1:20" x14ac:dyDescent="0.25">
      <c r="A68" s="3" t="str">
        <f>IF('GIA CONG ACRYLIC'!A101="","",'GIA CONG ACRYLIC'!A101)</f>
        <v/>
      </c>
      <c r="B68" s="3" t="str">
        <f>IF('GIA CONG ACRYLIC'!B101="","",'GIA CONG ACRYLIC'!B101)</f>
        <v/>
      </c>
      <c r="C68" s="3" t="str">
        <f>IF('GIA CONG ACRYLIC'!C101="","",'GIA CONG ACRYLIC'!C101)</f>
        <v/>
      </c>
      <c r="D68" s="3" t="str">
        <f>IF('GIA CONG ACRYLIC'!D101="","",'GIA CONG ACRYLIC'!D101)</f>
        <v/>
      </c>
      <c r="E68" s="3" t="str">
        <f>IF('GIA CONG ACRYLIC'!E101="","",'GIA CONG ACRYLIC'!E101)</f>
        <v/>
      </c>
      <c r="F68" s="3" t="str">
        <f>IF('GIA CONG ACRYLIC'!F101="","",'GIA CONG ACRYLIC'!F101)</f>
        <v/>
      </c>
      <c r="G68" s="3" t="str">
        <f>IF('GIA CONG ACRYLIC'!G101="","",'GIA CONG ACRYLIC'!G101)</f>
        <v/>
      </c>
      <c r="H68" s="3" t="str">
        <f>IF('GIA CONG ACRYLIC'!H101="","",'GIA CONG ACRYLIC'!H101)</f>
        <v/>
      </c>
      <c r="I68" s="3" t="str">
        <f>IF('GIA CONG ACRYLIC'!I101="","",'GIA CONG ACRYLIC'!I101)</f>
        <v/>
      </c>
      <c r="J68" s="3" t="str">
        <f>IF('GIA CONG ACRYLIC'!J101="","",'GIA CONG ACRYLIC'!J101)</f>
        <v/>
      </c>
      <c r="K68" s="3" t="str">
        <f>IF('GIA CONG ACRYLIC'!K101="","",'GIA CONG ACRYLIC'!K101)</f>
        <v/>
      </c>
      <c r="L68" s="3" t="str">
        <f>IF('GIA CONG ACRYLIC'!L101="","",'GIA CONG ACRYLIC'!L101)</f>
        <v/>
      </c>
      <c r="M68" s="3" t="str">
        <f>IF('GIA CONG ACRYLIC'!M101="","",'GIA CONG ACRYLIC'!M101)</f>
        <v/>
      </c>
      <c r="N68" s="4" t="str">
        <f>'GIA CONG ACRYLIC'!$H$7</f>
        <v>L3287</v>
      </c>
      <c r="O68" s="3">
        <f>IF('GIA CONG ACRYLIC'!I101+'GIA CONG ACRYLIC'!J101="","",'GIA CONG ACRYLIC'!I101+'GIA CONG ACRYLIC'!J101)</f>
        <v>0</v>
      </c>
      <c r="P68" s="4" t="e">
        <f>IF('LENH GIA CONG TAM'!#REF!="","",'LENH GIA CONG TAM'!#REF!)</f>
        <v>#REF!</v>
      </c>
      <c r="Q68" s="4" t="e">
        <f>IF('LENH GIA CONG TAM'!#REF!="","",'LENH GIA CONG TAM'!#REF!)</f>
        <v>#REF!</v>
      </c>
      <c r="R68" s="130">
        <f>'GIA CONG ACRYLIC'!$M$6</f>
        <v>46196.643055555556</v>
      </c>
      <c r="S68" s="4">
        <f>'GIA CONG ACRYLIC'!$M$7</f>
        <v>2</v>
      </c>
      <c r="T68" s="130">
        <f>'GIA CONG ACRYLIC'!$M$8</f>
        <v>46198.643055555556</v>
      </c>
    </row>
    <row r="69" spans="1:20" x14ac:dyDescent="0.25">
      <c r="A69" s="3" t="str">
        <f>IF('GIA CONG ACRYLIC'!A102="","",'GIA CONG ACRYLIC'!A102)</f>
        <v/>
      </c>
      <c r="B69" s="3" t="str">
        <f>IF('GIA CONG ACRYLIC'!B102="","",'GIA CONG ACRYLIC'!B102)</f>
        <v/>
      </c>
      <c r="C69" s="3" t="str">
        <f>IF('GIA CONG ACRYLIC'!C102="","",'GIA CONG ACRYLIC'!C102)</f>
        <v/>
      </c>
      <c r="D69" s="3" t="str">
        <f>IF('GIA CONG ACRYLIC'!D102="","",'GIA CONG ACRYLIC'!D102)</f>
        <v/>
      </c>
      <c r="E69" s="3" t="str">
        <f>IF('GIA CONG ACRYLIC'!E102="","",'GIA CONG ACRYLIC'!E102)</f>
        <v/>
      </c>
      <c r="F69" s="3" t="str">
        <f>IF('GIA CONG ACRYLIC'!F102="","",'GIA CONG ACRYLIC'!F102)</f>
        <v/>
      </c>
      <c r="G69" s="3" t="str">
        <f>IF('GIA CONG ACRYLIC'!G102="","",'GIA CONG ACRYLIC'!G102)</f>
        <v/>
      </c>
      <c r="H69" s="3" t="str">
        <f>IF('GIA CONG ACRYLIC'!H102="","",'GIA CONG ACRYLIC'!H102)</f>
        <v/>
      </c>
      <c r="I69" s="3" t="str">
        <f>IF('GIA CONG ACRYLIC'!I102="","",'GIA CONG ACRYLIC'!I102)</f>
        <v/>
      </c>
      <c r="J69" s="3" t="str">
        <f>IF('GIA CONG ACRYLIC'!J102="","",'GIA CONG ACRYLIC'!J102)</f>
        <v/>
      </c>
      <c r="K69" s="3" t="str">
        <f>IF('GIA CONG ACRYLIC'!K102="","",'GIA CONG ACRYLIC'!K102)</f>
        <v/>
      </c>
      <c r="L69" s="3" t="str">
        <f>IF('GIA CONG ACRYLIC'!L102="","",'GIA CONG ACRYLIC'!L102)</f>
        <v/>
      </c>
      <c r="M69" s="3" t="str">
        <f>IF('GIA CONG ACRYLIC'!M102="","",'GIA CONG ACRYLIC'!M102)</f>
        <v/>
      </c>
      <c r="N69" s="4" t="str">
        <f>'GIA CONG ACRYLIC'!$H$7</f>
        <v>L3287</v>
      </c>
      <c r="O69" s="3">
        <f>IF('GIA CONG ACRYLIC'!I102+'GIA CONG ACRYLIC'!J102="","",'GIA CONG ACRYLIC'!I102+'GIA CONG ACRYLIC'!J102)</f>
        <v>0</v>
      </c>
      <c r="P69" s="4" t="e">
        <f>IF('LENH GIA CONG TAM'!#REF!="","",'LENH GIA CONG TAM'!#REF!)</f>
        <v>#REF!</v>
      </c>
      <c r="Q69" s="4" t="e">
        <f>IF('LENH GIA CONG TAM'!#REF!="","",'LENH GIA CONG TAM'!#REF!)</f>
        <v>#REF!</v>
      </c>
      <c r="R69" s="130">
        <f>'GIA CONG ACRYLIC'!$M$6</f>
        <v>46196.643055555556</v>
      </c>
      <c r="S69" s="4">
        <f>'GIA CONG ACRYLIC'!$M$7</f>
        <v>2</v>
      </c>
      <c r="T69" s="130">
        <f>'GIA CONG ACRYLIC'!$M$8</f>
        <v>46198.643055555556</v>
      </c>
    </row>
    <row r="70" spans="1:20" x14ac:dyDescent="0.25">
      <c r="A70" s="3" t="str">
        <f>IF('GIA CONG ACRYLIC'!A103="","",'GIA CONG ACRYLIC'!A103)</f>
        <v/>
      </c>
      <c r="B70" s="3" t="str">
        <f>IF('GIA CONG ACRYLIC'!B103="","",'GIA CONG ACRYLIC'!B103)</f>
        <v/>
      </c>
      <c r="C70" s="3" t="str">
        <f>IF('GIA CONG ACRYLIC'!C103="","",'GIA CONG ACRYLIC'!C103)</f>
        <v/>
      </c>
      <c r="D70" s="3" t="str">
        <f>IF('GIA CONG ACRYLIC'!D103="","",'GIA CONG ACRYLIC'!D103)</f>
        <v/>
      </c>
      <c r="E70" s="3" t="str">
        <f>IF('GIA CONG ACRYLIC'!E103="","",'GIA CONG ACRYLIC'!E103)</f>
        <v/>
      </c>
      <c r="F70" s="3" t="str">
        <f>IF('GIA CONG ACRYLIC'!F103="","",'GIA CONG ACRYLIC'!F103)</f>
        <v/>
      </c>
      <c r="G70" s="3" t="str">
        <f>IF('GIA CONG ACRYLIC'!G103="","",'GIA CONG ACRYLIC'!G103)</f>
        <v/>
      </c>
      <c r="H70" s="3" t="str">
        <f>IF('GIA CONG ACRYLIC'!H103="","",'GIA CONG ACRYLIC'!H103)</f>
        <v/>
      </c>
      <c r="I70" s="3" t="str">
        <f>IF('GIA CONG ACRYLIC'!I103="","",'GIA CONG ACRYLIC'!I103)</f>
        <v/>
      </c>
      <c r="J70" s="3" t="str">
        <f>IF('GIA CONG ACRYLIC'!J103="","",'GIA CONG ACRYLIC'!J103)</f>
        <v/>
      </c>
      <c r="K70" s="3" t="str">
        <f>IF('GIA CONG ACRYLIC'!K103="","",'GIA CONG ACRYLIC'!K103)</f>
        <v/>
      </c>
      <c r="L70" s="3" t="str">
        <f>IF('GIA CONG ACRYLIC'!L103="","",'GIA CONG ACRYLIC'!L103)</f>
        <v/>
      </c>
      <c r="M70" s="3" t="str">
        <f>IF('GIA CONG ACRYLIC'!M103="","",'GIA CONG ACRYLIC'!M103)</f>
        <v/>
      </c>
      <c r="N70" s="4" t="str">
        <f>'GIA CONG ACRYLIC'!$H$7</f>
        <v>L3287</v>
      </c>
      <c r="O70" s="3">
        <f>IF('GIA CONG ACRYLIC'!I103+'GIA CONG ACRYLIC'!J103="","",'GIA CONG ACRYLIC'!I103+'GIA CONG ACRYLIC'!J103)</f>
        <v>0</v>
      </c>
      <c r="P70" s="4">
        <f>IF('LENH GIA CONG TAM'!H45="","",'LENH GIA CONG TAM'!H45)</f>
        <v>2.3719999999999999</v>
      </c>
      <c r="Q70" s="4">
        <f>IF('LENH GIA CONG TAM'!I45="","",'LENH GIA CONG TAM'!I45)</f>
        <v>0</v>
      </c>
      <c r="R70" s="130">
        <f>'GIA CONG ACRYLIC'!$M$6</f>
        <v>46196.643055555556</v>
      </c>
      <c r="S70" s="4">
        <f>'GIA CONG ACRYLIC'!$M$7</f>
        <v>2</v>
      </c>
      <c r="T70" s="130">
        <f>'GIA CONG ACRYLIC'!$M$8</f>
        <v>46198.643055555556</v>
      </c>
    </row>
    <row r="71" spans="1:20" x14ac:dyDescent="0.25">
      <c r="A71" s="3" t="str">
        <f>IF('GIA CONG ACRYLIC'!A104="","",'GIA CONG ACRYLIC'!A104)</f>
        <v/>
      </c>
      <c r="B71" s="3" t="str">
        <f>IF('GIA CONG ACRYLIC'!B104="","",'GIA CONG ACRYLIC'!B104)</f>
        <v/>
      </c>
      <c r="C71" s="3" t="str">
        <f>IF('GIA CONG ACRYLIC'!C104="","",'GIA CONG ACRYLIC'!C104)</f>
        <v/>
      </c>
      <c r="D71" s="3" t="str">
        <f>IF('GIA CONG ACRYLIC'!D104="","",'GIA CONG ACRYLIC'!D104)</f>
        <v/>
      </c>
      <c r="E71" s="3" t="str">
        <f>IF('GIA CONG ACRYLIC'!E104="","",'GIA CONG ACRYLIC'!E104)</f>
        <v/>
      </c>
      <c r="F71" s="3" t="str">
        <f>IF('GIA CONG ACRYLIC'!F104="","",'GIA CONG ACRYLIC'!F104)</f>
        <v/>
      </c>
      <c r="G71" s="3" t="str">
        <f>IF('GIA CONG ACRYLIC'!G104="","",'GIA CONG ACRYLIC'!G104)</f>
        <v/>
      </c>
      <c r="H71" s="3" t="str">
        <f>IF('GIA CONG ACRYLIC'!H104="","",'GIA CONG ACRYLIC'!H104)</f>
        <v/>
      </c>
      <c r="I71" s="3" t="str">
        <f>IF('GIA CONG ACRYLIC'!I104="","",'GIA CONG ACRYLIC'!I104)</f>
        <v/>
      </c>
      <c r="J71" s="3" t="str">
        <f>IF('GIA CONG ACRYLIC'!J104="","",'GIA CONG ACRYLIC'!J104)</f>
        <v/>
      </c>
      <c r="K71" s="3" t="str">
        <f>IF('GIA CONG ACRYLIC'!K104="","",'GIA CONG ACRYLIC'!K104)</f>
        <v/>
      </c>
      <c r="L71" s="3" t="str">
        <f>IF('GIA CONG ACRYLIC'!L104="","",'GIA CONG ACRYLIC'!L104)</f>
        <v/>
      </c>
      <c r="M71" s="3" t="str">
        <f>IF('GIA CONG ACRYLIC'!M104="","",'GIA CONG ACRYLIC'!M104)</f>
        <v/>
      </c>
      <c r="N71" s="4" t="str">
        <f>'GIA CONG ACRYLIC'!$H$7</f>
        <v>L3287</v>
      </c>
      <c r="O71" s="3">
        <f>IF('GIA CONG ACRYLIC'!I104+'GIA CONG ACRYLIC'!J104="","",'GIA CONG ACRYLIC'!I104+'GIA CONG ACRYLIC'!J104)</f>
        <v>0</v>
      </c>
      <c r="P71" s="4">
        <f>IF('LENH GIA CONG TAM'!H46="","",'LENH GIA CONG TAM'!H46)</f>
        <v>2.1819999999999999</v>
      </c>
      <c r="Q71" s="4">
        <f>IF('LENH GIA CONG TAM'!I46="","",'LENH GIA CONG TAM'!I46)</f>
        <v>0</v>
      </c>
      <c r="R71" s="130">
        <f>'GIA CONG ACRYLIC'!$M$6</f>
        <v>46196.643055555556</v>
      </c>
      <c r="S71" s="4">
        <f>'GIA CONG ACRYLIC'!$M$7</f>
        <v>2</v>
      </c>
      <c r="T71" s="130">
        <f>'GIA CONG ACRYLIC'!$M$8</f>
        <v>46198.643055555556</v>
      </c>
    </row>
    <row r="72" spans="1:20" x14ac:dyDescent="0.25">
      <c r="A72" s="3" t="str">
        <f>IF('GIA CONG ACRYLIC'!A105="","",'GIA CONG ACRYLIC'!A105)</f>
        <v/>
      </c>
      <c r="B72" s="3" t="str">
        <f>IF('GIA CONG ACRYLIC'!B105="","",'GIA CONG ACRYLIC'!B105)</f>
        <v/>
      </c>
      <c r="C72" s="3" t="str">
        <f>IF('GIA CONG ACRYLIC'!C105="","",'GIA CONG ACRYLIC'!C105)</f>
        <v/>
      </c>
      <c r="D72" s="3" t="str">
        <f>IF('GIA CONG ACRYLIC'!D105="","",'GIA CONG ACRYLIC'!D105)</f>
        <v/>
      </c>
      <c r="E72" s="3" t="str">
        <f>IF('GIA CONG ACRYLIC'!E105="","",'GIA CONG ACRYLIC'!E105)</f>
        <v/>
      </c>
      <c r="F72" s="3" t="str">
        <f>IF('GIA CONG ACRYLIC'!F105="","",'GIA CONG ACRYLIC'!F105)</f>
        <v/>
      </c>
      <c r="G72" s="3" t="str">
        <f>IF('GIA CONG ACRYLIC'!G105="","",'GIA CONG ACRYLIC'!G105)</f>
        <v/>
      </c>
      <c r="H72" s="3" t="str">
        <f>IF('GIA CONG ACRYLIC'!H105="","",'GIA CONG ACRYLIC'!H105)</f>
        <v/>
      </c>
      <c r="I72" s="3" t="str">
        <f>IF('GIA CONG ACRYLIC'!I105="","",'GIA CONG ACRYLIC'!I105)</f>
        <v/>
      </c>
      <c r="J72" s="3" t="str">
        <f>IF('GIA CONG ACRYLIC'!J105="","",'GIA CONG ACRYLIC'!J105)</f>
        <v/>
      </c>
      <c r="K72" s="3" t="str">
        <f>IF('GIA CONG ACRYLIC'!K105="","",'GIA CONG ACRYLIC'!K105)</f>
        <v/>
      </c>
      <c r="L72" s="3" t="str">
        <f>IF('GIA CONG ACRYLIC'!L105="","",'GIA CONG ACRYLIC'!L105)</f>
        <v/>
      </c>
      <c r="M72" s="3" t="str">
        <f>IF('GIA CONG ACRYLIC'!M105="","",'GIA CONG ACRYLIC'!M105)</f>
        <v/>
      </c>
      <c r="N72" s="4" t="str">
        <f>'GIA CONG ACRYLIC'!$H$7</f>
        <v>L3287</v>
      </c>
      <c r="O72" s="3">
        <f>IF('GIA CONG ACRYLIC'!I105+'GIA CONG ACRYLIC'!J105="","",'GIA CONG ACRYLIC'!I105+'GIA CONG ACRYLIC'!J105)</f>
        <v>0</v>
      </c>
      <c r="P72" s="4">
        <f>IF('LENH GIA CONG TAM'!H47="","",'LENH GIA CONG TAM'!H47)</f>
        <v>2.2799999999999998</v>
      </c>
      <c r="Q72" s="4">
        <f>IF('LENH GIA CONG TAM'!I47="","",'LENH GIA CONG TAM'!I47)</f>
        <v>0</v>
      </c>
      <c r="R72" s="130">
        <f>'GIA CONG ACRYLIC'!$M$6</f>
        <v>46196.643055555556</v>
      </c>
      <c r="S72" s="4">
        <f>'GIA CONG ACRYLIC'!$M$7</f>
        <v>2</v>
      </c>
      <c r="T72" s="130">
        <f>'GIA CONG ACRYLIC'!$M$8</f>
        <v>46198.643055555556</v>
      </c>
    </row>
    <row r="73" spans="1:20" x14ac:dyDescent="0.25">
      <c r="A73" s="3" t="str">
        <f>IF('GIA CONG ACRYLIC'!A106="","",'GIA CONG ACRYLIC'!A106)</f>
        <v/>
      </c>
      <c r="B73" s="3" t="str">
        <f>IF('GIA CONG ACRYLIC'!B106="","",'GIA CONG ACRYLIC'!B106)</f>
        <v/>
      </c>
      <c r="C73" s="3" t="str">
        <f>IF('GIA CONG ACRYLIC'!C106="","",'GIA CONG ACRYLIC'!C106)</f>
        <v/>
      </c>
      <c r="D73" s="3" t="str">
        <f>IF('GIA CONG ACRYLIC'!D106="","",'GIA CONG ACRYLIC'!D106)</f>
        <v/>
      </c>
      <c r="E73" s="3" t="str">
        <f>IF('GIA CONG ACRYLIC'!E106="","",'GIA CONG ACRYLIC'!E106)</f>
        <v/>
      </c>
      <c r="F73" s="3" t="str">
        <f>IF('GIA CONG ACRYLIC'!F106="","",'GIA CONG ACRYLIC'!F106)</f>
        <v/>
      </c>
      <c r="G73" s="3" t="str">
        <f>IF('GIA CONG ACRYLIC'!G106="","",'GIA CONG ACRYLIC'!G106)</f>
        <v/>
      </c>
      <c r="H73" s="3" t="str">
        <f>IF('GIA CONG ACRYLIC'!H106="","",'GIA CONG ACRYLIC'!H106)</f>
        <v/>
      </c>
      <c r="I73" s="3" t="str">
        <f>IF('GIA CONG ACRYLIC'!I106="","",'GIA CONG ACRYLIC'!I106)</f>
        <v/>
      </c>
      <c r="J73" s="3" t="str">
        <f>IF('GIA CONG ACRYLIC'!J106="","",'GIA CONG ACRYLIC'!J106)</f>
        <v/>
      </c>
      <c r="K73" s="3" t="str">
        <f>IF('GIA CONG ACRYLIC'!K106="","",'GIA CONG ACRYLIC'!K106)</f>
        <v/>
      </c>
      <c r="L73" s="3" t="str">
        <f>IF('GIA CONG ACRYLIC'!L106="","",'GIA CONG ACRYLIC'!L106)</f>
        <v/>
      </c>
      <c r="M73" s="3" t="str">
        <f>IF('GIA CONG ACRYLIC'!M106="","",'GIA CONG ACRYLIC'!M106)</f>
        <v/>
      </c>
      <c r="N73" s="4" t="str">
        <f>'GIA CONG ACRYLIC'!$H$7</f>
        <v>L3287</v>
      </c>
      <c r="O73" s="3">
        <f>IF('GIA CONG ACRYLIC'!I106+'GIA CONG ACRYLIC'!J106="","",'GIA CONG ACRYLIC'!I106+'GIA CONG ACRYLIC'!J106)</f>
        <v>0</v>
      </c>
      <c r="P73" s="4">
        <f>IF('LENH GIA CONG TAM'!H48="","",'LENH GIA CONG TAM'!H48)</f>
        <v>2.278</v>
      </c>
      <c r="Q73" s="4">
        <f>IF('LENH GIA CONG TAM'!I48="","",'LENH GIA CONG TAM'!I48)</f>
        <v>0</v>
      </c>
      <c r="R73" s="130">
        <f>'GIA CONG ACRYLIC'!$M$6</f>
        <v>46196.643055555556</v>
      </c>
      <c r="S73" s="4">
        <f>'GIA CONG ACRYLIC'!$M$7</f>
        <v>2</v>
      </c>
      <c r="T73" s="130">
        <f>'GIA CONG ACRYLIC'!$M$8</f>
        <v>46198.643055555556</v>
      </c>
    </row>
    <row r="74" spans="1:20" x14ac:dyDescent="0.25">
      <c r="A74" s="3" t="str">
        <f>IF('GIA CONG ACRYLIC'!A107="","",'GIA CONG ACRYLIC'!A107)</f>
        <v/>
      </c>
      <c r="B74" s="3" t="str">
        <f>IF('GIA CONG ACRYLIC'!B107="","",'GIA CONG ACRYLIC'!B107)</f>
        <v/>
      </c>
      <c r="C74" s="3" t="str">
        <f>IF('GIA CONG ACRYLIC'!C107="","",'GIA CONG ACRYLIC'!C107)</f>
        <v/>
      </c>
      <c r="D74" s="3" t="str">
        <f>IF('GIA CONG ACRYLIC'!D107="","",'GIA CONG ACRYLIC'!D107)</f>
        <v/>
      </c>
      <c r="E74" s="3" t="str">
        <f>IF('GIA CONG ACRYLIC'!E107="","",'GIA CONG ACRYLIC'!E107)</f>
        <v/>
      </c>
      <c r="F74" s="3" t="str">
        <f>IF('GIA CONG ACRYLIC'!F107="","",'GIA CONG ACRYLIC'!F107)</f>
        <v/>
      </c>
      <c r="G74" s="3" t="str">
        <f>IF('GIA CONG ACRYLIC'!G107="","",'GIA CONG ACRYLIC'!G107)</f>
        <v/>
      </c>
      <c r="H74" s="3" t="str">
        <f>IF('GIA CONG ACRYLIC'!H107="","",'GIA CONG ACRYLIC'!H107)</f>
        <v/>
      </c>
      <c r="I74" s="3" t="str">
        <f>IF('GIA CONG ACRYLIC'!I107="","",'GIA CONG ACRYLIC'!I107)</f>
        <v/>
      </c>
      <c r="J74" s="3" t="str">
        <f>IF('GIA CONG ACRYLIC'!J107="","",'GIA CONG ACRYLIC'!J107)</f>
        <v/>
      </c>
      <c r="K74" s="3" t="str">
        <f>IF('GIA CONG ACRYLIC'!K107="","",'GIA CONG ACRYLIC'!K107)</f>
        <v/>
      </c>
      <c r="L74" s="3" t="str">
        <f>IF('GIA CONG ACRYLIC'!L107="","",'GIA CONG ACRYLIC'!L107)</f>
        <v/>
      </c>
      <c r="M74" s="3" t="str">
        <f>IF('GIA CONG ACRYLIC'!M107="","",'GIA CONG ACRYLIC'!M107)</f>
        <v/>
      </c>
      <c r="N74" s="4" t="str">
        <f>'GIA CONG ACRYLIC'!$H$7</f>
        <v>L3287</v>
      </c>
      <c r="O74" s="3">
        <f>IF('GIA CONG ACRYLIC'!I107+'GIA CONG ACRYLIC'!J107="","",'GIA CONG ACRYLIC'!I107+'GIA CONG ACRYLIC'!J107)</f>
        <v>0</v>
      </c>
      <c r="P74" s="4">
        <f>IF('LENH GIA CONG TAM'!H49="","",'LENH GIA CONG TAM'!H49)</f>
        <v>2.21</v>
      </c>
      <c r="Q74" s="4">
        <f>IF('LENH GIA CONG TAM'!I49="","",'LENH GIA CONG TAM'!I49)</f>
        <v>0</v>
      </c>
      <c r="R74" s="130">
        <f>'GIA CONG ACRYLIC'!$M$6</f>
        <v>46196.643055555556</v>
      </c>
      <c r="S74" s="4">
        <f>'GIA CONG ACRYLIC'!$M$7</f>
        <v>2</v>
      </c>
      <c r="T74" s="130">
        <f>'GIA CONG ACRYLIC'!$M$8</f>
        <v>46198.643055555556</v>
      </c>
    </row>
    <row r="75" spans="1:20" x14ac:dyDescent="0.25">
      <c r="A75" s="3" t="str">
        <f>IF('GIA CONG ACRYLIC'!A108="","",'GIA CONG ACRYLIC'!A108)</f>
        <v/>
      </c>
      <c r="B75" s="3" t="str">
        <f>IF('GIA CONG ACRYLIC'!B108="","",'GIA CONG ACRYLIC'!B108)</f>
        <v/>
      </c>
      <c r="C75" s="3" t="str">
        <f>IF('GIA CONG ACRYLIC'!C108="","",'GIA CONG ACRYLIC'!C108)</f>
        <v/>
      </c>
      <c r="D75" s="3" t="str">
        <f>IF('GIA CONG ACRYLIC'!D108="","",'GIA CONG ACRYLIC'!D108)</f>
        <v/>
      </c>
      <c r="E75" s="3" t="str">
        <f>IF('GIA CONG ACRYLIC'!E108="","",'GIA CONG ACRYLIC'!E108)</f>
        <v/>
      </c>
      <c r="F75" s="3" t="str">
        <f>IF('GIA CONG ACRYLIC'!F108="","",'GIA CONG ACRYLIC'!F108)</f>
        <v/>
      </c>
      <c r="G75" s="3" t="str">
        <f>IF('GIA CONG ACRYLIC'!G108="","",'GIA CONG ACRYLIC'!G108)</f>
        <v/>
      </c>
      <c r="H75" s="3" t="str">
        <f>IF('GIA CONG ACRYLIC'!H108="","",'GIA CONG ACRYLIC'!H108)</f>
        <v/>
      </c>
      <c r="I75" s="3" t="str">
        <f>IF('GIA CONG ACRYLIC'!I108="","",'GIA CONG ACRYLIC'!I108)</f>
        <v/>
      </c>
      <c r="J75" s="3" t="str">
        <f>IF('GIA CONG ACRYLIC'!J108="","",'GIA CONG ACRYLIC'!J108)</f>
        <v/>
      </c>
      <c r="K75" s="3" t="str">
        <f>IF('GIA CONG ACRYLIC'!K108="","",'GIA CONG ACRYLIC'!K108)</f>
        <v/>
      </c>
      <c r="L75" s="3" t="str">
        <f>IF('GIA CONG ACRYLIC'!L108="","",'GIA CONG ACRYLIC'!L108)</f>
        <v/>
      </c>
      <c r="M75" s="3" t="str">
        <f>IF('GIA CONG ACRYLIC'!M108="","",'GIA CONG ACRYLIC'!M108)</f>
        <v/>
      </c>
      <c r="N75" s="4" t="str">
        <f>'GIA CONG ACRYLIC'!$H$7</f>
        <v>L3287</v>
      </c>
      <c r="O75" s="3">
        <f>IF('GIA CONG ACRYLIC'!I108+'GIA CONG ACRYLIC'!J108="","",'GIA CONG ACRYLIC'!I108+'GIA CONG ACRYLIC'!J108)</f>
        <v>0</v>
      </c>
      <c r="P75" s="4">
        <f>IF('LENH GIA CONG TAM'!H50="","",'LENH GIA CONG TAM'!H50)</f>
        <v>1.5649999999999999</v>
      </c>
      <c r="Q75" s="4">
        <f>IF('LENH GIA CONG TAM'!I50="","",'LENH GIA CONG TAM'!I50)</f>
        <v>0.77100000000000002</v>
      </c>
      <c r="R75" s="130">
        <f>'GIA CONG ACRYLIC'!$M$6</f>
        <v>46196.643055555556</v>
      </c>
      <c r="S75" s="4">
        <f>'GIA CONG ACRYLIC'!$M$7</f>
        <v>2</v>
      </c>
      <c r="T75" s="130">
        <f>'GIA CONG ACRYLIC'!$M$8</f>
        <v>46198.643055555556</v>
      </c>
    </row>
    <row r="76" spans="1:20" x14ac:dyDescent="0.25">
      <c r="A76" s="3" t="str">
        <f>IF('GIA CONG ACRYLIC'!A109="","",'GIA CONG ACRYLIC'!A109)</f>
        <v/>
      </c>
      <c r="B76" s="3" t="str">
        <f>IF('GIA CONG ACRYLIC'!B109="","",'GIA CONG ACRYLIC'!B109)</f>
        <v/>
      </c>
      <c r="C76" s="3" t="str">
        <f>IF('GIA CONG ACRYLIC'!C109="","",'GIA CONG ACRYLIC'!C109)</f>
        <v/>
      </c>
      <c r="D76" s="3" t="str">
        <f>IF('GIA CONG ACRYLIC'!D109="","",'GIA CONG ACRYLIC'!D109)</f>
        <v/>
      </c>
      <c r="E76" s="3" t="str">
        <f>IF('GIA CONG ACRYLIC'!E109="","",'GIA CONG ACRYLIC'!E109)</f>
        <v/>
      </c>
      <c r="F76" s="3" t="str">
        <f>IF('GIA CONG ACRYLIC'!F109="","",'GIA CONG ACRYLIC'!F109)</f>
        <v/>
      </c>
      <c r="G76" s="3" t="str">
        <f>IF('GIA CONG ACRYLIC'!G109="","",'GIA CONG ACRYLIC'!G109)</f>
        <v/>
      </c>
      <c r="H76" s="3" t="str">
        <f>IF('GIA CONG ACRYLIC'!H109="","",'GIA CONG ACRYLIC'!H109)</f>
        <v/>
      </c>
      <c r="I76" s="3" t="str">
        <f>IF('GIA CONG ACRYLIC'!I109="","",'GIA CONG ACRYLIC'!I109)</f>
        <v/>
      </c>
      <c r="J76" s="3" t="str">
        <f>IF('GIA CONG ACRYLIC'!J109="","",'GIA CONG ACRYLIC'!J109)</f>
        <v/>
      </c>
      <c r="K76" s="3" t="str">
        <f>IF('GIA CONG ACRYLIC'!K109="","",'GIA CONG ACRYLIC'!K109)</f>
        <v/>
      </c>
      <c r="L76" s="3" t="str">
        <f>IF('GIA CONG ACRYLIC'!L109="","",'GIA CONG ACRYLIC'!L109)</f>
        <v/>
      </c>
      <c r="M76" s="3" t="str">
        <f>IF('GIA CONG ACRYLIC'!M109="","",'GIA CONG ACRYLIC'!M109)</f>
        <v/>
      </c>
      <c r="N76" s="4" t="str">
        <f>'GIA CONG ACRYLIC'!$H$7</f>
        <v>L3287</v>
      </c>
      <c r="O76" s="3">
        <f>IF('GIA CONG ACRYLIC'!I109+'GIA CONG ACRYLIC'!J109="","",'GIA CONG ACRYLIC'!I109+'GIA CONG ACRYLIC'!J109)</f>
        <v>0</v>
      </c>
      <c r="P76" s="4">
        <f>IF('LENH GIA CONG TAM'!H51="","",'LENH GIA CONG TAM'!H51)</f>
        <v>1.9829999999999999</v>
      </c>
      <c r="Q76" s="4">
        <f>IF('LENH GIA CONG TAM'!I51="","",'LENH GIA CONG TAM'!I51)</f>
        <v>0.38900000000000001</v>
      </c>
      <c r="R76" s="130">
        <f>'GIA CONG ACRYLIC'!$M$6</f>
        <v>46196.643055555556</v>
      </c>
      <c r="S76" s="4">
        <f>'GIA CONG ACRYLIC'!$M$7</f>
        <v>2</v>
      </c>
      <c r="T76" s="130">
        <f>'GIA CONG ACRYLIC'!$M$8</f>
        <v>46198.643055555556</v>
      </c>
    </row>
    <row r="77" spans="1:20" x14ac:dyDescent="0.25">
      <c r="A77" s="3" t="str">
        <f>IF('GIA CONG ACRYLIC'!A110="","",'GIA CONG ACRYLIC'!A110)</f>
        <v/>
      </c>
      <c r="B77" s="3" t="str">
        <f>IF('GIA CONG ACRYLIC'!B110="","",'GIA CONG ACRYLIC'!B110)</f>
        <v/>
      </c>
      <c r="C77" s="3" t="str">
        <f>IF('GIA CONG ACRYLIC'!C110="","",'GIA CONG ACRYLIC'!C110)</f>
        <v/>
      </c>
      <c r="D77" s="3" t="str">
        <f>IF('GIA CONG ACRYLIC'!D110="","",'GIA CONG ACRYLIC'!D110)</f>
        <v/>
      </c>
      <c r="E77" s="3" t="str">
        <f>IF('GIA CONG ACRYLIC'!E110="","",'GIA CONG ACRYLIC'!E110)</f>
        <v/>
      </c>
      <c r="F77" s="3" t="str">
        <f>IF('GIA CONG ACRYLIC'!F110="","",'GIA CONG ACRYLIC'!F110)</f>
        <v/>
      </c>
      <c r="G77" s="3" t="str">
        <f>IF('GIA CONG ACRYLIC'!G110="","",'GIA CONG ACRYLIC'!G110)</f>
        <v/>
      </c>
      <c r="H77" s="3" t="str">
        <f>IF('GIA CONG ACRYLIC'!H110="","",'GIA CONG ACRYLIC'!H110)</f>
        <v/>
      </c>
      <c r="I77" s="3" t="str">
        <f>IF('GIA CONG ACRYLIC'!I110="","",'GIA CONG ACRYLIC'!I110)</f>
        <v/>
      </c>
      <c r="J77" s="3" t="str">
        <f>IF('GIA CONG ACRYLIC'!J110="","",'GIA CONG ACRYLIC'!J110)</f>
        <v/>
      </c>
      <c r="K77" s="3" t="str">
        <f>IF('GIA CONG ACRYLIC'!K110="","",'GIA CONG ACRYLIC'!K110)</f>
        <v/>
      </c>
      <c r="L77" s="3" t="str">
        <f>IF('GIA CONG ACRYLIC'!L110="","",'GIA CONG ACRYLIC'!L110)</f>
        <v/>
      </c>
      <c r="M77" s="3" t="str">
        <f>IF('GIA CONG ACRYLIC'!M110="","",'GIA CONG ACRYLIC'!M110)</f>
        <v/>
      </c>
      <c r="N77" s="4" t="str">
        <f>'GIA CONG ACRYLIC'!$H$7</f>
        <v>L3287</v>
      </c>
      <c r="O77" s="3">
        <f>IF('GIA CONG ACRYLIC'!I110+'GIA CONG ACRYLIC'!J110="","",'GIA CONG ACRYLIC'!I110+'GIA CONG ACRYLIC'!J110)</f>
        <v>0</v>
      </c>
      <c r="P77" s="4">
        <f>IF('LENH GIA CONG TAM'!H52="","",'LENH GIA CONG TAM'!H52)</f>
        <v>2.3359999999999999</v>
      </c>
      <c r="Q77" s="4">
        <f>IF('LENH GIA CONG TAM'!I52="","",'LENH GIA CONG TAM'!I52)</f>
        <v>0</v>
      </c>
      <c r="R77" s="130">
        <f>'GIA CONG ACRYLIC'!$M$6</f>
        <v>46196.643055555556</v>
      </c>
      <c r="S77" s="4">
        <f>'GIA CONG ACRYLIC'!$M$7</f>
        <v>2</v>
      </c>
      <c r="T77" s="130">
        <f>'GIA CONG ACRYLIC'!$M$8</f>
        <v>46198.643055555556</v>
      </c>
    </row>
    <row r="78" spans="1:20" x14ac:dyDescent="0.25">
      <c r="A78" s="3" t="str">
        <f>IF('GIA CONG ACRYLIC'!A111="","",'GIA CONG ACRYLIC'!A111)</f>
        <v/>
      </c>
      <c r="B78" s="3" t="str">
        <f>IF('GIA CONG ACRYLIC'!B111="","",'GIA CONG ACRYLIC'!B111)</f>
        <v/>
      </c>
      <c r="C78" s="3" t="str">
        <f>IF('GIA CONG ACRYLIC'!C111="","",'GIA CONG ACRYLIC'!C111)</f>
        <v/>
      </c>
      <c r="D78" s="3" t="str">
        <f>IF('GIA CONG ACRYLIC'!D111="","",'GIA CONG ACRYLIC'!D111)</f>
        <v/>
      </c>
      <c r="E78" s="3" t="str">
        <f>IF('GIA CONG ACRYLIC'!E111="","",'GIA CONG ACRYLIC'!E111)</f>
        <v/>
      </c>
      <c r="F78" s="3" t="str">
        <f>IF('GIA CONG ACRYLIC'!F111="","",'GIA CONG ACRYLIC'!F111)</f>
        <v/>
      </c>
      <c r="G78" s="3" t="str">
        <f>IF('GIA CONG ACRYLIC'!G111="","",'GIA CONG ACRYLIC'!G111)</f>
        <v/>
      </c>
      <c r="H78" s="3" t="str">
        <f>IF('GIA CONG ACRYLIC'!H111="","",'GIA CONG ACRYLIC'!H111)</f>
        <v/>
      </c>
      <c r="I78" s="3" t="str">
        <f>IF('GIA CONG ACRYLIC'!I111="","",'GIA CONG ACRYLIC'!I111)</f>
        <v/>
      </c>
      <c r="J78" s="3" t="str">
        <f>IF('GIA CONG ACRYLIC'!J111="","",'GIA CONG ACRYLIC'!J111)</f>
        <v/>
      </c>
      <c r="K78" s="3" t="str">
        <f>IF('GIA CONG ACRYLIC'!K111="","",'GIA CONG ACRYLIC'!K111)</f>
        <v/>
      </c>
      <c r="L78" s="3" t="str">
        <f>IF('GIA CONG ACRYLIC'!L111="","",'GIA CONG ACRYLIC'!L111)</f>
        <v/>
      </c>
      <c r="M78" s="3" t="str">
        <f>IF('GIA CONG ACRYLIC'!M111="","",'GIA CONG ACRYLIC'!M111)</f>
        <v/>
      </c>
      <c r="N78" s="4" t="str">
        <f>'GIA CONG ACRYLIC'!$H$7</f>
        <v>L3287</v>
      </c>
      <c r="O78" s="3">
        <f>IF('GIA CONG ACRYLIC'!I111+'GIA CONG ACRYLIC'!J111="","",'GIA CONG ACRYLIC'!I111+'GIA CONG ACRYLIC'!J111)</f>
        <v>0</v>
      </c>
      <c r="P78" s="4">
        <f>IF('LENH GIA CONG TAM'!H53="","",'LENH GIA CONG TAM'!H53)</f>
        <v>1.85</v>
      </c>
      <c r="Q78" s="4">
        <f>IF('LENH GIA CONG TAM'!I53="","",'LENH GIA CONG TAM'!I53)</f>
        <v>0.35199999999999998</v>
      </c>
      <c r="R78" s="130">
        <f>'GIA CONG ACRYLIC'!$M$6</f>
        <v>46196.643055555556</v>
      </c>
      <c r="S78" s="4">
        <f>'GIA CONG ACRYLIC'!$M$7</f>
        <v>2</v>
      </c>
      <c r="T78" s="130">
        <f>'GIA CONG ACRYLIC'!$M$8</f>
        <v>46198.643055555556</v>
      </c>
    </row>
    <row r="79" spans="1:20" x14ac:dyDescent="0.25">
      <c r="A79" s="3" t="str">
        <f>IF('GIA CONG ACRYLIC'!A112="","",'GIA CONG ACRYLIC'!A112)</f>
        <v/>
      </c>
      <c r="B79" s="3" t="str">
        <f>IF('GIA CONG ACRYLIC'!B112="","",'GIA CONG ACRYLIC'!B112)</f>
        <v/>
      </c>
      <c r="C79" s="3" t="str">
        <f>IF('GIA CONG ACRYLIC'!C112="","",'GIA CONG ACRYLIC'!C112)</f>
        <v/>
      </c>
      <c r="D79" s="3" t="str">
        <f>IF('GIA CONG ACRYLIC'!D112="","",'GIA CONG ACRYLIC'!D112)</f>
        <v/>
      </c>
      <c r="E79" s="3" t="str">
        <f>IF('GIA CONG ACRYLIC'!E112="","",'GIA CONG ACRYLIC'!E112)</f>
        <v/>
      </c>
      <c r="F79" s="3" t="str">
        <f>IF('GIA CONG ACRYLIC'!F112="","",'GIA CONG ACRYLIC'!F112)</f>
        <v/>
      </c>
      <c r="G79" s="3" t="str">
        <f>IF('GIA CONG ACRYLIC'!G112="","",'GIA CONG ACRYLIC'!G112)</f>
        <v/>
      </c>
      <c r="H79" s="3" t="str">
        <f>IF('GIA CONG ACRYLIC'!H112="","",'GIA CONG ACRYLIC'!H112)</f>
        <v/>
      </c>
      <c r="I79" s="3" t="str">
        <f>IF('GIA CONG ACRYLIC'!I112="","",'GIA CONG ACRYLIC'!I112)</f>
        <v/>
      </c>
      <c r="J79" s="3" t="str">
        <f>IF('GIA CONG ACRYLIC'!J112="","",'GIA CONG ACRYLIC'!J112)</f>
        <v/>
      </c>
      <c r="K79" s="3" t="str">
        <f>IF('GIA CONG ACRYLIC'!K112="","",'GIA CONG ACRYLIC'!K112)</f>
        <v/>
      </c>
      <c r="L79" s="3" t="str">
        <f>IF('GIA CONG ACRYLIC'!L112="","",'GIA CONG ACRYLIC'!L112)</f>
        <v/>
      </c>
      <c r="M79" s="3" t="str">
        <f>IF('GIA CONG ACRYLIC'!M112="","",'GIA CONG ACRYLIC'!M112)</f>
        <v/>
      </c>
      <c r="N79" s="4" t="str">
        <f>'GIA CONG ACRYLIC'!$H$7</f>
        <v>L3287</v>
      </c>
      <c r="O79" s="3">
        <f>IF('GIA CONG ACRYLIC'!I112+'GIA CONG ACRYLIC'!J112="","",'GIA CONG ACRYLIC'!I112+'GIA CONG ACRYLIC'!J112)</f>
        <v>0</v>
      </c>
      <c r="P79" s="4">
        <f>IF('LENH GIA CONG TAM'!H54="","",'LENH GIA CONG TAM'!H54)</f>
        <v>1.85</v>
      </c>
      <c r="Q79" s="4">
        <f>IF('LENH GIA CONG TAM'!I54="","",'LENH GIA CONG TAM'!I54)</f>
        <v>0.35199999999999998</v>
      </c>
      <c r="R79" s="130">
        <f>'GIA CONG ACRYLIC'!$M$6</f>
        <v>46196.643055555556</v>
      </c>
      <c r="S79" s="4">
        <f>'GIA CONG ACRYLIC'!$M$7</f>
        <v>2</v>
      </c>
      <c r="T79" s="130">
        <f>'GIA CONG ACRYLIC'!$M$8</f>
        <v>46198.643055555556</v>
      </c>
    </row>
  </sheetData>
  <mergeCells count="19">
    <mergeCell ref="M11:M12"/>
    <mergeCell ref="N11:N12"/>
    <mergeCell ref="O11:O12"/>
    <mergeCell ref="H11:H12"/>
    <mergeCell ref="I11:I12"/>
    <mergeCell ref="J11:J12"/>
    <mergeCell ref="K11:K12"/>
    <mergeCell ref="L11:L12"/>
    <mergeCell ref="A11:A12"/>
    <mergeCell ref="C11:C12"/>
    <mergeCell ref="D11:E11"/>
    <mergeCell ref="F11:F12"/>
    <mergeCell ref="G11:G12"/>
    <mergeCell ref="B11:B12"/>
    <mergeCell ref="R11:R12"/>
    <mergeCell ref="S11:S12"/>
    <mergeCell ref="T11:T12"/>
    <mergeCell ref="P11:P12"/>
    <mergeCell ref="Q11:Q12"/>
  </mergeCells>
  <conditionalFormatting sqref="P11:T12">
    <cfRule type="expression" dxfId="0" priority="1">
      <formula>"""=OR(ROW()=CELL(""row""),COLUMN()=CELL(""col""))"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
  <sheetViews>
    <sheetView workbookViewId="0">
      <selection activeCell="D23" sqref="D23"/>
    </sheetView>
  </sheetViews>
  <sheetFormatPr defaultRowHeight="15.75" x14ac:dyDescent="0.25"/>
  <cols>
    <col min="1" max="1" width="6.25" bestFit="1" customWidth="1"/>
    <col min="2" max="2" width="15.25" customWidth="1"/>
    <col min="3" max="3" width="23.625" bestFit="1" customWidth="1"/>
    <col min="4" max="5" width="18.5" customWidth="1"/>
    <col min="6" max="6" width="16.25" customWidth="1"/>
    <col min="7" max="7" width="24" bestFit="1" customWidth="1"/>
    <col min="8" max="8" width="5.75" bestFit="1" customWidth="1"/>
    <col min="9" max="9" width="5.875" bestFit="1" customWidth="1"/>
    <col min="10" max="10" width="8.375" bestFit="1" customWidth="1"/>
    <col min="11" max="11" width="15.625" bestFit="1" customWidth="1"/>
    <col min="12" max="12" width="7.75" bestFit="1" customWidth="1"/>
    <col min="13" max="14" width="14.125" style="139" bestFit="1" customWidth="1"/>
    <col min="15" max="16" width="14.875" style="139" bestFit="1" customWidth="1"/>
    <col min="17" max="18" width="11" bestFit="1" customWidth="1"/>
    <col min="19" max="20" width="11.75" bestFit="1" customWidth="1"/>
    <col min="21" max="21" width="8.625" bestFit="1" customWidth="1"/>
  </cols>
  <sheetData>
    <row r="1" spans="1:37" x14ac:dyDescent="0.25">
      <c r="A1" s="136" t="s">
        <v>144</v>
      </c>
      <c r="B1" s="136" t="s">
        <v>145</v>
      </c>
      <c r="C1" s="136" t="s">
        <v>146</v>
      </c>
      <c r="D1" s="136" t="s">
        <v>0</v>
      </c>
      <c r="E1" s="136"/>
      <c r="F1" s="136" t="s">
        <v>147</v>
      </c>
      <c r="G1" s="136" t="s">
        <v>148</v>
      </c>
      <c r="H1" s="136" t="s">
        <v>149</v>
      </c>
      <c r="I1" s="136" t="s">
        <v>22</v>
      </c>
      <c r="J1" s="136" t="s">
        <v>150</v>
      </c>
      <c r="K1" s="136" t="s">
        <v>34</v>
      </c>
      <c r="L1" s="136" t="s">
        <v>15</v>
      </c>
      <c r="M1" s="137" t="s">
        <v>151</v>
      </c>
      <c r="N1" s="137" t="s">
        <v>152</v>
      </c>
      <c r="O1" s="137" t="s">
        <v>153</v>
      </c>
      <c r="P1" s="137" t="s">
        <v>154</v>
      </c>
      <c r="Q1" s="136" t="s">
        <v>155</v>
      </c>
      <c r="R1" s="136" t="s">
        <v>156</v>
      </c>
      <c r="S1" s="136" t="s">
        <v>157</v>
      </c>
      <c r="T1" s="136" t="s">
        <v>158</v>
      </c>
      <c r="U1" s="136" t="s">
        <v>159</v>
      </c>
      <c r="V1" t="s">
        <v>160</v>
      </c>
      <c r="W1" t="s">
        <v>161</v>
      </c>
      <c r="X1" t="s">
        <v>162</v>
      </c>
      <c r="Y1" t="s">
        <v>163</v>
      </c>
      <c r="Z1" t="s">
        <v>164</v>
      </c>
      <c r="AA1" t="s">
        <v>165</v>
      </c>
      <c r="AB1" t="s">
        <v>166</v>
      </c>
      <c r="AC1" t="s">
        <v>167</v>
      </c>
      <c r="AD1" t="s">
        <v>168</v>
      </c>
      <c r="AE1" t="s">
        <v>169</v>
      </c>
      <c r="AF1" t="s">
        <v>170</v>
      </c>
      <c r="AG1" t="s">
        <v>171</v>
      </c>
      <c r="AH1" t="s">
        <v>172</v>
      </c>
      <c r="AI1" t="s">
        <v>173</v>
      </c>
      <c r="AJ1" t="s">
        <v>174</v>
      </c>
      <c r="AK1" t="s">
        <v>175</v>
      </c>
    </row>
    <row r="2" spans="1:37" x14ac:dyDescent="0.25">
      <c r="A2" s="136" t="s">
        <v>176</v>
      </c>
      <c r="B2" s="136" t="s">
        <v>177</v>
      </c>
      <c r="C2" s="136" t="s">
        <v>178</v>
      </c>
      <c r="D2" s="136" t="s">
        <v>179</v>
      </c>
      <c r="E2" s="136"/>
      <c r="F2" s="136" t="s">
        <v>180</v>
      </c>
      <c r="G2" s="136" t="s">
        <v>181</v>
      </c>
      <c r="H2" s="136" t="s">
        <v>182</v>
      </c>
      <c r="I2" s="136" t="s">
        <v>183</v>
      </c>
      <c r="J2" s="141" t="s">
        <v>184</v>
      </c>
      <c r="K2" s="141" t="s">
        <v>185</v>
      </c>
      <c r="L2" s="136" t="s">
        <v>186</v>
      </c>
      <c r="M2" s="137" t="s">
        <v>187</v>
      </c>
      <c r="N2" s="137" t="s">
        <v>188</v>
      </c>
      <c r="O2" s="137" t="s">
        <v>189</v>
      </c>
      <c r="P2" s="137" t="s">
        <v>190</v>
      </c>
      <c r="Q2" s="136" t="s">
        <v>191</v>
      </c>
      <c r="R2" s="136" t="s">
        <v>192</v>
      </c>
      <c r="S2" s="136" t="s">
        <v>193</v>
      </c>
      <c r="T2" s="136" t="s">
        <v>194</v>
      </c>
      <c r="U2" s="136" t="s">
        <v>195</v>
      </c>
      <c r="V2" t="s">
        <v>196</v>
      </c>
      <c r="W2" t="s">
        <v>197</v>
      </c>
      <c r="X2" t="s">
        <v>198</v>
      </c>
      <c r="Y2" t="s">
        <v>199</v>
      </c>
      <c r="Z2" t="s">
        <v>200</v>
      </c>
      <c r="AA2" t="s">
        <v>201</v>
      </c>
      <c r="AB2" t="s">
        <v>202</v>
      </c>
      <c r="AC2" t="s">
        <v>203</v>
      </c>
      <c r="AD2" t="s">
        <v>204</v>
      </c>
      <c r="AE2" t="s">
        <v>205</v>
      </c>
      <c r="AF2" t="s">
        <v>206</v>
      </c>
      <c r="AG2" t="s">
        <v>207</v>
      </c>
      <c r="AH2" t="s">
        <v>208</v>
      </c>
      <c r="AI2" t="s">
        <v>209</v>
      </c>
      <c r="AJ2" t="s">
        <v>210</v>
      </c>
      <c r="AK2" t="s">
        <v>211</v>
      </c>
    </row>
    <row r="3" spans="1:37" x14ac:dyDescent="0.25">
      <c r="A3" s="136"/>
      <c r="B3" s="136"/>
      <c r="C3" s="136"/>
      <c r="D3" s="136"/>
      <c r="E3" s="136"/>
      <c r="F3" s="136" t="s">
        <v>215</v>
      </c>
      <c r="G3" s="136"/>
      <c r="H3" s="136"/>
      <c r="I3" s="136"/>
      <c r="J3" s="136"/>
      <c r="K3" s="136"/>
      <c r="L3" s="136"/>
      <c r="M3" s="137"/>
      <c r="N3" s="142" t="s">
        <v>32</v>
      </c>
      <c r="O3" s="137"/>
      <c r="P3" s="142" t="s">
        <v>32</v>
      </c>
      <c r="Q3" s="136"/>
      <c r="R3" s="136"/>
      <c r="S3" s="136"/>
      <c r="T3" s="136"/>
      <c r="U3" s="136" t="s">
        <v>32</v>
      </c>
    </row>
    <row r="4" spans="1:37" x14ac:dyDescent="0.25">
      <c r="A4" s="135" t="s">
        <v>93</v>
      </c>
      <c r="B4" s="135" t="s">
        <v>212</v>
      </c>
      <c r="C4" s="135" t="s">
        <v>94</v>
      </c>
      <c r="D4" s="135" t="s">
        <v>95</v>
      </c>
      <c r="E4" s="135" t="s">
        <v>214</v>
      </c>
      <c r="F4" s="135" t="s">
        <v>90</v>
      </c>
      <c r="G4" s="135" t="s">
        <v>96</v>
      </c>
      <c r="H4" s="135">
        <v>792</v>
      </c>
      <c r="I4" s="135">
        <v>320</v>
      </c>
      <c r="J4" s="135">
        <v>19</v>
      </c>
      <c r="K4" s="135">
        <v>2</v>
      </c>
      <c r="L4" s="135">
        <v>1</v>
      </c>
      <c r="M4" s="138" t="s">
        <v>213</v>
      </c>
      <c r="N4" s="138" t="s">
        <v>213</v>
      </c>
      <c r="O4" s="138" t="s">
        <v>213</v>
      </c>
      <c r="P4" s="138" t="s">
        <v>93</v>
      </c>
      <c r="Q4" s="135">
        <v>1.0000000000000001E-5</v>
      </c>
      <c r="R4" s="135">
        <v>1.0000000000000001E-5</v>
      </c>
      <c r="S4" s="135">
        <v>1.0000000000000001E-5</v>
      </c>
      <c r="T4" s="135">
        <v>1.0000000000000001E-5</v>
      </c>
      <c r="U4" s="135" t="s">
        <v>97</v>
      </c>
    </row>
    <row r="5" spans="1:37" x14ac:dyDescent="0.25">
      <c r="A5" s="135" t="s">
        <v>93</v>
      </c>
      <c r="B5" s="135" t="s">
        <v>212</v>
      </c>
      <c r="C5" s="135" t="s">
        <v>94</v>
      </c>
      <c r="D5" s="135" t="s">
        <v>98</v>
      </c>
      <c r="E5" s="135"/>
      <c r="F5" s="135" t="s">
        <v>90</v>
      </c>
      <c r="G5" s="135" t="s">
        <v>96</v>
      </c>
      <c r="H5" s="135">
        <v>792</v>
      </c>
      <c r="I5" s="135">
        <v>320</v>
      </c>
      <c r="J5" s="135">
        <v>19</v>
      </c>
      <c r="K5" s="135">
        <v>2</v>
      </c>
      <c r="L5" s="135">
        <v>1</v>
      </c>
      <c r="M5" s="138" t="s">
        <v>213</v>
      </c>
      <c r="N5" s="138" t="s">
        <v>213</v>
      </c>
      <c r="O5" s="138" t="s">
        <v>213</v>
      </c>
      <c r="P5" s="138" t="s">
        <v>93</v>
      </c>
      <c r="Q5" s="135">
        <v>1.0000000000000001E-5</v>
      </c>
      <c r="R5" s="135">
        <v>1.0000000000000001E-5</v>
      </c>
      <c r="S5" s="135">
        <v>1.0000000000000001E-5</v>
      </c>
      <c r="T5" s="135">
        <v>1.0000000000000001E-5</v>
      </c>
      <c r="U5" s="135" t="s">
        <v>97</v>
      </c>
    </row>
    <row r="6" spans="1:37" x14ac:dyDescent="0.25">
      <c r="A6" s="135" t="s">
        <v>93</v>
      </c>
      <c r="B6" s="135" t="s">
        <v>212</v>
      </c>
      <c r="C6" s="135" t="s">
        <v>94</v>
      </c>
      <c r="D6" s="135" t="s">
        <v>99</v>
      </c>
      <c r="E6" s="135"/>
      <c r="F6" s="135" t="s">
        <v>90</v>
      </c>
      <c r="G6" s="135" t="s">
        <v>96</v>
      </c>
      <c r="H6" s="135">
        <v>792</v>
      </c>
      <c r="I6" s="135">
        <v>341</v>
      </c>
      <c r="J6" s="135">
        <v>19</v>
      </c>
      <c r="K6" s="135">
        <v>2</v>
      </c>
      <c r="L6" s="135">
        <v>1</v>
      </c>
      <c r="M6" s="138" t="s">
        <v>213</v>
      </c>
      <c r="N6" s="138" t="s">
        <v>213</v>
      </c>
      <c r="O6" s="138" t="s">
        <v>213</v>
      </c>
      <c r="P6" s="138" t="s">
        <v>93</v>
      </c>
      <c r="Q6" s="135">
        <v>1.0000000000000001E-5</v>
      </c>
      <c r="R6" s="135">
        <v>1.0000000000000001E-5</v>
      </c>
      <c r="S6" s="135">
        <v>1.0000000000000001E-5</v>
      </c>
      <c r="T6" s="135">
        <v>1.0000000000000001E-5</v>
      </c>
      <c r="U6" s="135" t="s">
        <v>100</v>
      </c>
    </row>
    <row r="7" spans="1:37" x14ac:dyDescent="0.25">
      <c r="A7" s="135" t="s">
        <v>93</v>
      </c>
      <c r="B7" s="135" t="s">
        <v>212</v>
      </c>
      <c r="C7" s="135" t="s">
        <v>94</v>
      </c>
      <c r="D7" s="135" t="s">
        <v>101</v>
      </c>
      <c r="E7" s="135"/>
      <c r="F7" s="135" t="s">
        <v>90</v>
      </c>
      <c r="G7" s="135" t="s">
        <v>96</v>
      </c>
      <c r="H7" s="135">
        <v>792</v>
      </c>
      <c r="I7" s="135">
        <v>341</v>
      </c>
      <c r="J7" s="135">
        <v>19</v>
      </c>
      <c r="K7" s="135">
        <v>2</v>
      </c>
      <c r="L7" s="135">
        <v>1</v>
      </c>
      <c r="M7" s="138" t="s">
        <v>213</v>
      </c>
      <c r="N7" s="138" t="s">
        <v>213</v>
      </c>
      <c r="O7" s="138" t="s">
        <v>213</v>
      </c>
      <c r="P7" s="138" t="s">
        <v>93</v>
      </c>
      <c r="Q7" s="135">
        <v>1.0000000000000001E-5</v>
      </c>
      <c r="R7" s="135">
        <v>1.0000000000000001E-5</v>
      </c>
      <c r="S7" s="135">
        <v>1.0000000000000001E-5</v>
      </c>
      <c r="T7" s="135">
        <v>1.0000000000000001E-5</v>
      </c>
      <c r="U7" s="135" t="s">
        <v>100</v>
      </c>
    </row>
    <row r="8" spans="1:37" x14ac:dyDescent="0.25">
      <c r="A8" s="135" t="s">
        <v>93</v>
      </c>
      <c r="B8" s="135" t="s">
        <v>212</v>
      </c>
      <c r="C8" s="135" t="s">
        <v>94</v>
      </c>
      <c r="D8" s="135" t="s">
        <v>102</v>
      </c>
      <c r="E8" s="135"/>
      <c r="F8" s="135" t="s">
        <v>90</v>
      </c>
      <c r="G8" s="135" t="s">
        <v>96</v>
      </c>
      <c r="H8" s="135">
        <v>792</v>
      </c>
      <c r="I8" s="135">
        <v>341</v>
      </c>
      <c r="J8" s="135">
        <v>19</v>
      </c>
      <c r="K8" s="135">
        <v>2</v>
      </c>
      <c r="L8" s="135">
        <v>1</v>
      </c>
      <c r="M8" s="138" t="s">
        <v>213</v>
      </c>
      <c r="N8" s="138" t="s">
        <v>213</v>
      </c>
      <c r="O8" s="138" t="s">
        <v>213</v>
      </c>
      <c r="P8" s="138" t="s">
        <v>93</v>
      </c>
      <c r="Q8" s="135">
        <v>1.0000000000000001E-5</v>
      </c>
      <c r="R8" s="135">
        <v>1.0000000000000001E-5</v>
      </c>
      <c r="S8" s="135">
        <v>1.0000000000000001E-5</v>
      </c>
      <c r="T8" s="135">
        <v>1.0000000000000001E-5</v>
      </c>
      <c r="U8" s="135" t="s">
        <v>100</v>
      </c>
    </row>
    <row r="9" spans="1:37" x14ac:dyDescent="0.25">
      <c r="A9" s="135" t="s">
        <v>93</v>
      </c>
      <c r="B9" s="135" t="s">
        <v>212</v>
      </c>
      <c r="C9" s="135" t="s">
        <v>94</v>
      </c>
      <c r="D9" s="135" t="s">
        <v>103</v>
      </c>
      <c r="E9" s="135"/>
      <c r="F9" s="135" t="s">
        <v>90</v>
      </c>
      <c r="G9" s="135" t="s">
        <v>96</v>
      </c>
      <c r="H9" s="135">
        <v>792</v>
      </c>
      <c r="I9" s="135">
        <v>335</v>
      </c>
      <c r="J9" s="135">
        <v>19</v>
      </c>
      <c r="K9" s="135">
        <v>2</v>
      </c>
      <c r="L9" s="135">
        <v>1</v>
      </c>
      <c r="M9" s="138" t="s">
        <v>213</v>
      </c>
      <c r="N9" s="138" t="s">
        <v>213</v>
      </c>
      <c r="O9" s="138" t="s">
        <v>213</v>
      </c>
      <c r="P9" s="138" t="s">
        <v>93</v>
      </c>
      <c r="Q9" s="135">
        <v>1.0000000000000001E-5</v>
      </c>
      <c r="R9" s="135">
        <v>1.0000000000000001E-5</v>
      </c>
      <c r="S9" s="135">
        <v>1.0000000000000001E-5</v>
      </c>
      <c r="T9" s="135">
        <v>1.0000000000000001E-5</v>
      </c>
      <c r="U9" s="135" t="s">
        <v>104</v>
      </c>
    </row>
    <row r="10" spans="1:37" x14ac:dyDescent="0.25">
      <c r="A10" s="135" t="s">
        <v>93</v>
      </c>
      <c r="B10" s="135" t="s">
        <v>212</v>
      </c>
      <c r="C10" s="135" t="s">
        <v>94</v>
      </c>
      <c r="D10" s="135" t="s">
        <v>105</v>
      </c>
      <c r="E10" s="135"/>
      <c r="F10" s="135" t="s">
        <v>90</v>
      </c>
      <c r="G10" s="135" t="s">
        <v>96</v>
      </c>
      <c r="H10" s="135">
        <v>792</v>
      </c>
      <c r="I10" s="135">
        <v>251</v>
      </c>
      <c r="J10" s="135">
        <v>19</v>
      </c>
      <c r="K10" s="135">
        <v>2</v>
      </c>
      <c r="L10" s="135">
        <v>1</v>
      </c>
      <c r="M10" s="138" t="s">
        <v>213</v>
      </c>
      <c r="N10" s="138" t="s">
        <v>213</v>
      </c>
      <c r="O10" s="138" t="s">
        <v>213</v>
      </c>
      <c r="P10" s="138" t="s">
        <v>93</v>
      </c>
      <c r="Q10" s="135">
        <v>1.0000000000000001E-5</v>
      </c>
      <c r="R10" s="135">
        <v>1.0000000000000001E-5</v>
      </c>
      <c r="S10" s="135">
        <v>1.0000000000000001E-5</v>
      </c>
      <c r="T10" s="135">
        <v>1.0000000000000001E-5</v>
      </c>
      <c r="U10" s="135" t="s">
        <v>106</v>
      </c>
    </row>
    <row r="11" spans="1:37" x14ac:dyDescent="0.25">
      <c r="A11" s="135" t="s">
        <v>93</v>
      </c>
      <c r="B11" s="135" t="s">
        <v>212</v>
      </c>
      <c r="C11" s="135" t="s">
        <v>94</v>
      </c>
      <c r="D11" s="135" t="s">
        <v>107</v>
      </c>
      <c r="E11" s="135"/>
      <c r="F11" s="135" t="s">
        <v>90</v>
      </c>
      <c r="G11" s="135" t="s">
        <v>96</v>
      </c>
      <c r="H11" s="135">
        <v>792</v>
      </c>
      <c r="I11" s="135">
        <v>251</v>
      </c>
      <c r="J11" s="135">
        <v>19</v>
      </c>
      <c r="K11" s="135">
        <v>2</v>
      </c>
      <c r="L11" s="135">
        <v>1</v>
      </c>
      <c r="M11" s="138" t="s">
        <v>213</v>
      </c>
      <c r="N11" s="138" t="s">
        <v>213</v>
      </c>
      <c r="O11" s="138" t="s">
        <v>213</v>
      </c>
      <c r="P11" s="138" t="s">
        <v>93</v>
      </c>
      <c r="Q11" s="135">
        <v>1.0000000000000001E-5</v>
      </c>
      <c r="R11" s="135">
        <v>1.0000000000000001E-5</v>
      </c>
      <c r="S11" s="135">
        <v>1.0000000000000001E-5</v>
      </c>
      <c r="T11" s="135">
        <v>1.0000000000000001E-5</v>
      </c>
      <c r="U11" s="135" t="s">
        <v>106</v>
      </c>
    </row>
    <row r="12" spans="1:37" x14ac:dyDescent="0.25">
      <c r="A12" s="135" t="s">
        <v>93</v>
      </c>
      <c r="B12" s="135" t="s">
        <v>212</v>
      </c>
      <c r="C12" s="135" t="s">
        <v>94</v>
      </c>
      <c r="D12" s="135" t="s">
        <v>108</v>
      </c>
      <c r="E12" s="135"/>
      <c r="F12" s="135" t="s">
        <v>90</v>
      </c>
      <c r="G12" s="135" t="s">
        <v>96</v>
      </c>
      <c r="H12" s="135">
        <v>704</v>
      </c>
      <c r="I12" s="135">
        <v>354</v>
      </c>
      <c r="J12" s="135">
        <v>19</v>
      </c>
      <c r="K12" s="135">
        <v>2</v>
      </c>
      <c r="L12" s="135">
        <v>1</v>
      </c>
      <c r="M12" s="138" t="s">
        <v>213</v>
      </c>
      <c r="N12" s="138" t="s">
        <v>213</v>
      </c>
      <c r="O12" s="138" t="s">
        <v>213</v>
      </c>
      <c r="P12" s="138" t="s">
        <v>93</v>
      </c>
      <c r="Q12" s="135">
        <v>1.0000000000000001E-5</v>
      </c>
      <c r="R12" s="135">
        <v>1.0000000000000001E-5</v>
      </c>
      <c r="S12" s="135">
        <v>1.0000000000000001E-5</v>
      </c>
      <c r="T12" s="135">
        <v>1.0000000000000001E-5</v>
      </c>
      <c r="U12" s="135" t="s">
        <v>109</v>
      </c>
    </row>
    <row r="13" spans="1:37" x14ac:dyDescent="0.25">
      <c r="A13" s="135" t="s">
        <v>93</v>
      </c>
      <c r="B13" s="135" t="s">
        <v>212</v>
      </c>
      <c r="C13" s="135" t="s">
        <v>94</v>
      </c>
      <c r="D13" s="135" t="s">
        <v>110</v>
      </c>
      <c r="E13" s="135"/>
      <c r="F13" s="135" t="s">
        <v>90</v>
      </c>
      <c r="G13" s="135" t="s">
        <v>96</v>
      </c>
      <c r="H13" s="135">
        <v>704</v>
      </c>
      <c r="I13" s="135">
        <v>354</v>
      </c>
      <c r="J13" s="135">
        <v>19</v>
      </c>
      <c r="K13" s="135">
        <v>2</v>
      </c>
      <c r="L13" s="135">
        <v>1</v>
      </c>
      <c r="M13" s="138" t="s">
        <v>213</v>
      </c>
      <c r="N13" s="138" t="s">
        <v>213</v>
      </c>
      <c r="O13" s="138" t="s">
        <v>213</v>
      </c>
      <c r="P13" s="138" t="s">
        <v>93</v>
      </c>
      <c r="Q13" s="135">
        <v>1.0000000000000001E-5</v>
      </c>
      <c r="R13" s="135">
        <v>1.0000000000000001E-5</v>
      </c>
      <c r="S13" s="135">
        <v>1.0000000000000001E-5</v>
      </c>
      <c r="T13" s="135">
        <v>1.0000000000000001E-5</v>
      </c>
      <c r="U13" s="135" t="s">
        <v>109</v>
      </c>
    </row>
    <row r="14" spans="1:37" x14ac:dyDescent="0.25">
      <c r="A14" s="135" t="s">
        <v>93</v>
      </c>
      <c r="B14" s="135" t="s">
        <v>212</v>
      </c>
      <c r="C14" s="135" t="s">
        <v>94</v>
      </c>
      <c r="D14" s="135" t="s">
        <v>111</v>
      </c>
      <c r="E14" s="135"/>
      <c r="F14" s="135" t="s">
        <v>89</v>
      </c>
      <c r="G14" s="135" t="s">
        <v>96</v>
      </c>
      <c r="H14" s="135">
        <v>866</v>
      </c>
      <c r="I14" s="135">
        <v>370</v>
      </c>
      <c r="J14" s="135">
        <v>19</v>
      </c>
      <c r="K14" s="135">
        <v>2</v>
      </c>
      <c r="L14" s="135">
        <v>1</v>
      </c>
      <c r="M14" s="138" t="s">
        <v>213</v>
      </c>
      <c r="N14" s="138" t="s">
        <v>213</v>
      </c>
      <c r="O14" s="138" t="s">
        <v>213</v>
      </c>
      <c r="P14" s="138" t="s">
        <v>213</v>
      </c>
      <c r="Q14" s="135">
        <v>1.0000000000000001E-5</v>
      </c>
      <c r="R14" s="135">
        <v>1.0000000000000001E-5</v>
      </c>
      <c r="S14" s="135">
        <v>1.0000000000000001E-5</v>
      </c>
      <c r="T14" s="135">
        <v>1.0000000000000001E-5</v>
      </c>
      <c r="U14" s="135"/>
    </row>
    <row r="15" spans="1:37" x14ac:dyDescent="0.25">
      <c r="A15" s="135" t="s">
        <v>93</v>
      </c>
      <c r="B15" s="135" t="s">
        <v>212</v>
      </c>
      <c r="C15" s="135" t="s">
        <v>94</v>
      </c>
      <c r="D15" s="135" t="s">
        <v>112</v>
      </c>
      <c r="E15" s="135"/>
      <c r="F15" s="135" t="s">
        <v>89</v>
      </c>
      <c r="G15" s="135" t="s">
        <v>96</v>
      </c>
      <c r="H15" s="135">
        <v>790</v>
      </c>
      <c r="I15" s="135">
        <v>570</v>
      </c>
      <c r="J15" s="135">
        <v>19</v>
      </c>
      <c r="K15" s="135">
        <v>2</v>
      </c>
      <c r="L15" s="135">
        <v>1</v>
      </c>
      <c r="M15" s="138" t="s">
        <v>213</v>
      </c>
      <c r="N15" s="138" t="s">
        <v>213</v>
      </c>
      <c r="O15" s="138" t="s">
        <v>213</v>
      </c>
      <c r="P15" s="138" t="s">
        <v>213</v>
      </c>
      <c r="Q15" s="135">
        <v>1.0000000000000001E-5</v>
      </c>
      <c r="R15" s="135">
        <v>1.0000000000000001E-5</v>
      </c>
      <c r="S15" s="135">
        <v>1.0000000000000001E-5</v>
      </c>
      <c r="T15" s="135">
        <v>1.0000000000000001E-5</v>
      </c>
      <c r="U15" s="135"/>
    </row>
    <row r="16" spans="1:37" x14ac:dyDescent="0.25">
      <c r="A16" s="135" t="s">
        <v>93</v>
      </c>
      <c r="B16" s="135" t="s">
        <v>212</v>
      </c>
      <c r="C16" s="135" t="s">
        <v>94</v>
      </c>
      <c r="D16" s="135" t="s">
        <v>113</v>
      </c>
      <c r="E16" s="135"/>
      <c r="F16" s="135" t="s">
        <v>91</v>
      </c>
      <c r="G16" s="135" t="s">
        <v>96</v>
      </c>
      <c r="H16" s="135">
        <v>382</v>
      </c>
      <c r="I16" s="135">
        <v>980</v>
      </c>
      <c r="J16" s="135">
        <v>19</v>
      </c>
      <c r="K16" s="135">
        <v>2</v>
      </c>
      <c r="L16" s="135">
        <v>1</v>
      </c>
      <c r="M16" s="138" t="s">
        <v>213</v>
      </c>
      <c r="N16" s="138" t="s">
        <v>213</v>
      </c>
      <c r="O16" s="138" t="s">
        <v>213</v>
      </c>
      <c r="P16" s="138" t="s">
        <v>93</v>
      </c>
      <c r="Q16" s="135">
        <v>1.0000000000000001E-5</v>
      </c>
      <c r="R16" s="135">
        <v>1.0000000000000001E-5</v>
      </c>
      <c r="S16" s="135">
        <v>1.0000000000000001E-5</v>
      </c>
      <c r="T16" s="135">
        <v>1.0000000000000001E-5</v>
      </c>
      <c r="U16" s="135" t="s">
        <v>114</v>
      </c>
    </row>
    <row r="17" spans="1:31" x14ac:dyDescent="0.25">
      <c r="A17" s="135" t="s">
        <v>93</v>
      </c>
      <c r="B17" s="135" t="s">
        <v>212</v>
      </c>
      <c r="C17" s="135" t="s">
        <v>94</v>
      </c>
      <c r="D17" s="135" t="s">
        <v>115</v>
      </c>
      <c r="E17" s="135"/>
      <c r="F17" s="135" t="s">
        <v>92</v>
      </c>
      <c r="G17" s="135" t="s">
        <v>96</v>
      </c>
      <c r="H17" s="135">
        <v>660</v>
      </c>
      <c r="I17" s="135">
        <v>337</v>
      </c>
      <c r="J17" s="135">
        <v>19</v>
      </c>
      <c r="K17" s="135">
        <v>2</v>
      </c>
      <c r="L17" s="135">
        <v>1</v>
      </c>
      <c r="M17" s="138" t="s">
        <v>213</v>
      </c>
      <c r="N17" s="138" t="s">
        <v>213</v>
      </c>
      <c r="O17" s="138" t="s">
        <v>213</v>
      </c>
      <c r="P17" s="138" t="s">
        <v>93</v>
      </c>
      <c r="Q17" s="135">
        <v>1.0000000000000001E-5</v>
      </c>
      <c r="R17" s="135">
        <v>1.0000000000000001E-5</v>
      </c>
      <c r="S17" s="135">
        <v>1.0000000000000001E-5</v>
      </c>
      <c r="T17" s="135">
        <v>1.0000000000000001E-5</v>
      </c>
      <c r="U17" s="135" t="s">
        <v>116</v>
      </c>
    </row>
    <row r="18" spans="1:31" x14ac:dyDescent="0.25">
      <c r="A18" s="135" t="s">
        <v>93</v>
      </c>
      <c r="B18" s="135" t="s">
        <v>212</v>
      </c>
      <c r="C18" s="135" t="s">
        <v>94</v>
      </c>
      <c r="D18" s="135" t="s">
        <v>117</v>
      </c>
      <c r="E18" s="135"/>
      <c r="F18" s="135" t="s">
        <v>92</v>
      </c>
      <c r="G18" s="135" t="s">
        <v>96</v>
      </c>
      <c r="H18" s="135">
        <v>660</v>
      </c>
      <c r="I18" s="135">
        <v>390</v>
      </c>
      <c r="J18" s="135">
        <v>19</v>
      </c>
      <c r="K18" s="135">
        <v>2</v>
      </c>
      <c r="L18" s="135">
        <v>1</v>
      </c>
      <c r="M18" s="138" t="s">
        <v>213</v>
      </c>
      <c r="N18" s="138" t="s">
        <v>213</v>
      </c>
      <c r="O18" s="138" t="s">
        <v>213</v>
      </c>
      <c r="P18" s="138" t="s">
        <v>93</v>
      </c>
      <c r="Q18" s="135">
        <v>1.0000000000000001E-5</v>
      </c>
      <c r="R18" s="135">
        <v>1.0000000000000001E-5</v>
      </c>
      <c r="S18" s="135">
        <v>1.0000000000000001E-5</v>
      </c>
      <c r="T18" s="135">
        <v>1.0000000000000001E-5</v>
      </c>
      <c r="U18" s="135" t="s">
        <v>118</v>
      </c>
    </row>
    <row r="19" spans="1:31" x14ac:dyDescent="0.25">
      <c r="A19" s="135" t="s">
        <v>93</v>
      </c>
      <c r="B19" s="135" t="s">
        <v>212</v>
      </c>
      <c r="C19" s="135" t="s">
        <v>94</v>
      </c>
      <c r="D19" s="135" t="s">
        <v>119</v>
      </c>
      <c r="E19" s="135"/>
      <c r="F19" s="135" t="s">
        <v>92</v>
      </c>
      <c r="G19" s="135" t="s">
        <v>96</v>
      </c>
      <c r="H19" s="135">
        <v>660</v>
      </c>
      <c r="I19" s="135">
        <v>390</v>
      </c>
      <c r="J19" s="135">
        <v>19</v>
      </c>
      <c r="K19" s="135">
        <v>2</v>
      </c>
      <c r="L19" s="135">
        <v>1</v>
      </c>
      <c r="M19" s="138" t="s">
        <v>213</v>
      </c>
      <c r="N19" s="138" t="s">
        <v>213</v>
      </c>
      <c r="O19" s="138" t="s">
        <v>213</v>
      </c>
      <c r="P19" s="138" t="s">
        <v>93</v>
      </c>
      <c r="Q19" s="135">
        <v>1.0000000000000001E-5</v>
      </c>
      <c r="R19" s="135">
        <v>1.0000000000000001E-5</v>
      </c>
      <c r="S19" s="135">
        <v>1.0000000000000001E-5</v>
      </c>
      <c r="T19" s="135">
        <v>1.0000000000000001E-5</v>
      </c>
      <c r="U19" s="135" t="s">
        <v>118</v>
      </c>
    </row>
    <row r="20" spans="1:31" x14ac:dyDescent="0.25">
      <c r="A20" s="135" t="s">
        <v>93</v>
      </c>
      <c r="B20" s="135" t="s">
        <v>212</v>
      </c>
      <c r="C20" s="135" t="s">
        <v>94</v>
      </c>
      <c r="D20" s="135" t="s">
        <v>120</v>
      </c>
      <c r="E20" s="135"/>
      <c r="F20" s="135" t="s">
        <v>92</v>
      </c>
      <c r="G20" s="135" t="s">
        <v>96</v>
      </c>
      <c r="H20" s="135">
        <v>660</v>
      </c>
      <c r="I20" s="135">
        <v>274</v>
      </c>
      <c r="J20" s="135">
        <v>19</v>
      </c>
      <c r="K20" s="135">
        <v>2</v>
      </c>
      <c r="L20" s="135">
        <v>1</v>
      </c>
      <c r="M20" s="138" t="s">
        <v>213</v>
      </c>
      <c r="N20" s="138" t="s">
        <v>213</v>
      </c>
      <c r="O20" s="138" t="s">
        <v>213</v>
      </c>
      <c r="P20" s="138" t="s">
        <v>93</v>
      </c>
      <c r="Q20" s="135">
        <v>1.0000000000000001E-5</v>
      </c>
      <c r="R20" s="135">
        <v>1.0000000000000001E-5</v>
      </c>
      <c r="S20" s="135">
        <v>1.0000000000000001E-5</v>
      </c>
      <c r="T20" s="135">
        <v>1.0000000000000001E-5</v>
      </c>
      <c r="U20" s="135" t="s">
        <v>121</v>
      </c>
    </row>
    <row r="21" spans="1:31" x14ac:dyDescent="0.25">
      <c r="A21" s="135" t="s">
        <v>93</v>
      </c>
      <c r="B21" s="135" t="s">
        <v>212</v>
      </c>
      <c r="C21" s="135" t="s">
        <v>94</v>
      </c>
      <c r="D21" s="135" t="s">
        <v>122</v>
      </c>
      <c r="E21" s="135"/>
      <c r="F21" s="135" t="s">
        <v>92</v>
      </c>
      <c r="G21" s="135" t="s">
        <v>96</v>
      </c>
      <c r="H21" s="135">
        <v>660</v>
      </c>
      <c r="I21" s="135">
        <v>274</v>
      </c>
      <c r="J21" s="135">
        <v>19</v>
      </c>
      <c r="K21" s="135">
        <v>2</v>
      </c>
      <c r="L21" s="135">
        <v>1</v>
      </c>
      <c r="M21" s="138" t="s">
        <v>213</v>
      </c>
      <c r="N21" s="138" t="s">
        <v>213</v>
      </c>
      <c r="O21" s="138" t="s">
        <v>213</v>
      </c>
      <c r="P21" s="138" t="s">
        <v>93</v>
      </c>
      <c r="Q21" s="135">
        <v>1.0000000000000001E-5</v>
      </c>
      <c r="R21" s="135">
        <v>1.0000000000000001E-5</v>
      </c>
      <c r="S21" s="135">
        <v>1.0000000000000001E-5</v>
      </c>
      <c r="T21" s="135">
        <v>1.0000000000000001E-5</v>
      </c>
      <c r="U21" s="135" t="s">
        <v>121</v>
      </c>
    </row>
    <row r="22" spans="1:31" x14ac:dyDescent="0.25">
      <c r="A22" s="135" t="s">
        <v>93</v>
      </c>
      <c r="B22" s="135" t="s">
        <v>212</v>
      </c>
      <c r="C22" s="135" t="s">
        <v>94</v>
      </c>
      <c r="D22" s="135" t="s">
        <v>123</v>
      </c>
      <c r="E22" s="135"/>
      <c r="F22" s="135" t="s">
        <v>92</v>
      </c>
      <c r="G22" s="135" t="s">
        <v>96</v>
      </c>
      <c r="H22" s="135">
        <v>660</v>
      </c>
      <c r="I22" s="135">
        <v>274</v>
      </c>
      <c r="J22" s="135">
        <v>19</v>
      </c>
      <c r="K22" s="135">
        <v>2</v>
      </c>
      <c r="L22" s="135">
        <v>1</v>
      </c>
      <c r="M22" s="138" t="s">
        <v>213</v>
      </c>
      <c r="N22" s="138" t="s">
        <v>213</v>
      </c>
      <c r="O22" s="138" t="s">
        <v>213</v>
      </c>
      <c r="P22" s="138" t="s">
        <v>93</v>
      </c>
      <c r="Q22" s="135">
        <v>1.0000000000000001E-5</v>
      </c>
      <c r="R22" s="135">
        <v>1.0000000000000001E-5</v>
      </c>
      <c r="S22" s="135">
        <v>1.0000000000000001E-5</v>
      </c>
      <c r="T22" s="135">
        <v>1.0000000000000001E-5</v>
      </c>
      <c r="U22" s="135" t="s">
        <v>121</v>
      </c>
    </row>
    <row r="23" spans="1:31" x14ac:dyDescent="0.25">
      <c r="A23" s="135" t="s">
        <v>93</v>
      </c>
      <c r="B23" s="135" t="s">
        <v>212</v>
      </c>
      <c r="C23" s="135" t="s">
        <v>94</v>
      </c>
      <c r="D23" s="135" t="s">
        <v>124</v>
      </c>
      <c r="E23" s="135"/>
      <c r="F23" s="135" t="s">
        <v>92</v>
      </c>
      <c r="G23" s="135" t="s">
        <v>96</v>
      </c>
      <c r="H23" s="135">
        <v>660</v>
      </c>
      <c r="I23" s="135">
        <v>328</v>
      </c>
      <c r="J23" s="135">
        <v>19</v>
      </c>
      <c r="K23" s="135">
        <v>2</v>
      </c>
      <c r="L23" s="135">
        <v>1</v>
      </c>
      <c r="M23" s="138" t="s">
        <v>213</v>
      </c>
      <c r="N23" s="138" t="s">
        <v>213</v>
      </c>
      <c r="O23" s="138" t="s">
        <v>213</v>
      </c>
      <c r="P23" s="138" t="s">
        <v>93</v>
      </c>
      <c r="Q23" s="135">
        <v>1.0000000000000001E-5</v>
      </c>
      <c r="R23" s="135">
        <v>1.0000000000000001E-5</v>
      </c>
      <c r="S23" s="135">
        <v>1.0000000000000001E-5</v>
      </c>
      <c r="T23" s="135">
        <v>1.0000000000000001E-5</v>
      </c>
      <c r="U23" s="135" t="s">
        <v>125</v>
      </c>
    </row>
    <row r="24" spans="1:31" x14ac:dyDescent="0.25">
      <c r="A24" s="135" t="s">
        <v>93</v>
      </c>
      <c r="B24" s="135" t="s">
        <v>212</v>
      </c>
      <c r="C24" s="135" t="s">
        <v>94</v>
      </c>
      <c r="D24" s="135" t="s">
        <v>126</v>
      </c>
      <c r="E24" s="135"/>
      <c r="F24" s="135" t="s">
        <v>92</v>
      </c>
      <c r="G24" s="135" t="s">
        <v>96</v>
      </c>
      <c r="H24" s="135">
        <v>660</v>
      </c>
      <c r="I24" s="135">
        <v>328</v>
      </c>
      <c r="J24" s="135">
        <v>19</v>
      </c>
      <c r="K24" s="135">
        <v>2</v>
      </c>
      <c r="L24" s="135">
        <v>1</v>
      </c>
      <c r="M24" s="138" t="s">
        <v>213</v>
      </c>
      <c r="N24" s="138" t="s">
        <v>213</v>
      </c>
      <c r="O24" s="138" t="s">
        <v>213</v>
      </c>
      <c r="P24" s="138" t="s">
        <v>93</v>
      </c>
      <c r="Q24" s="135">
        <v>1.0000000000000001E-5</v>
      </c>
      <c r="R24" s="135">
        <v>1.0000000000000001E-5</v>
      </c>
      <c r="S24" s="135">
        <v>1.0000000000000001E-5</v>
      </c>
      <c r="T24" s="135">
        <v>1.0000000000000001E-5</v>
      </c>
      <c r="U24" s="135" t="s">
        <v>125</v>
      </c>
    </row>
    <row r="25" spans="1:31" x14ac:dyDescent="0.25">
      <c r="A25" s="135" t="s">
        <v>93</v>
      </c>
      <c r="B25" s="135" t="s">
        <v>212</v>
      </c>
      <c r="C25" s="135" t="s">
        <v>94</v>
      </c>
      <c r="D25" s="135" t="s">
        <v>127</v>
      </c>
      <c r="E25" s="135"/>
      <c r="F25" s="135" t="s">
        <v>92</v>
      </c>
      <c r="G25" s="135" t="s">
        <v>96</v>
      </c>
      <c r="H25" s="135">
        <v>660</v>
      </c>
      <c r="I25" s="135">
        <v>366</v>
      </c>
      <c r="J25" s="135">
        <v>19</v>
      </c>
      <c r="K25" s="135">
        <v>2</v>
      </c>
      <c r="L25" s="135">
        <v>1</v>
      </c>
      <c r="M25" s="138" t="s">
        <v>213</v>
      </c>
      <c r="N25" s="138" t="s">
        <v>213</v>
      </c>
      <c r="O25" s="138" t="s">
        <v>213</v>
      </c>
      <c r="P25" s="138" t="s">
        <v>93</v>
      </c>
      <c r="Q25" s="135">
        <v>1.0000000000000001E-5</v>
      </c>
      <c r="R25" s="135">
        <v>1.0000000000000001E-5</v>
      </c>
      <c r="S25" s="135">
        <v>1.0000000000000001E-5</v>
      </c>
      <c r="T25" s="135">
        <v>1.0000000000000001E-5</v>
      </c>
      <c r="U25" s="135" t="s">
        <v>128</v>
      </c>
    </row>
    <row r="26" spans="1:31" x14ac:dyDescent="0.25">
      <c r="A26" s="135" t="s">
        <v>93</v>
      </c>
      <c r="B26" s="135" t="s">
        <v>212</v>
      </c>
      <c r="C26" s="135" t="s">
        <v>94</v>
      </c>
      <c r="D26" s="135" t="s">
        <v>129</v>
      </c>
      <c r="E26" s="135"/>
      <c r="F26" s="135" t="s">
        <v>130</v>
      </c>
      <c r="G26" s="135" t="s">
        <v>96</v>
      </c>
      <c r="H26" s="135">
        <v>318</v>
      </c>
      <c r="I26" s="135">
        <v>780</v>
      </c>
      <c r="J26" s="135">
        <v>19</v>
      </c>
      <c r="K26" s="135">
        <v>2</v>
      </c>
      <c r="L26" s="135">
        <v>1</v>
      </c>
      <c r="M26" s="138" t="s">
        <v>213</v>
      </c>
      <c r="N26" s="138" t="s">
        <v>213</v>
      </c>
      <c r="O26" s="138" t="s">
        <v>213</v>
      </c>
      <c r="P26" s="138" t="s">
        <v>93</v>
      </c>
      <c r="Q26" s="135">
        <v>1.0000000000000001E-5</v>
      </c>
      <c r="R26" s="135">
        <v>1.0000000000000001E-5</v>
      </c>
      <c r="S26" s="135">
        <v>1.0000000000000001E-5</v>
      </c>
      <c r="T26" s="135">
        <v>1.0000000000000001E-5</v>
      </c>
      <c r="U26" s="135" t="s">
        <v>131</v>
      </c>
    </row>
    <row r="27" spans="1:31" x14ac:dyDescent="0.25">
      <c r="A27" s="135" t="s">
        <v>93</v>
      </c>
      <c r="B27" s="135" t="s">
        <v>212</v>
      </c>
      <c r="C27" s="135" t="s">
        <v>94</v>
      </c>
      <c r="D27" s="135" t="s">
        <v>132</v>
      </c>
      <c r="E27" s="135"/>
      <c r="F27" s="135" t="s">
        <v>130</v>
      </c>
      <c r="G27" s="135" t="s">
        <v>96</v>
      </c>
      <c r="H27" s="135">
        <v>318</v>
      </c>
      <c r="I27" s="135">
        <v>780</v>
      </c>
      <c r="J27" s="135">
        <v>19</v>
      </c>
      <c r="K27" s="135">
        <v>2</v>
      </c>
      <c r="L27" s="135">
        <v>1</v>
      </c>
      <c r="M27" s="138" t="s">
        <v>213</v>
      </c>
      <c r="N27" s="138" t="s">
        <v>213</v>
      </c>
      <c r="O27" s="138" t="s">
        <v>213</v>
      </c>
      <c r="P27" s="138" t="s">
        <v>93</v>
      </c>
      <c r="Q27" s="135">
        <v>1.0000000000000001E-5</v>
      </c>
      <c r="R27" s="135">
        <v>1.0000000000000001E-5</v>
      </c>
      <c r="S27" s="135">
        <v>1.0000000000000001E-5</v>
      </c>
      <c r="T27" s="135">
        <v>1.0000000000000001E-5</v>
      </c>
      <c r="U27" s="135" t="s">
        <v>131</v>
      </c>
    </row>
    <row r="28" spans="1:31" x14ac:dyDescent="0.25">
      <c r="A28" s="135" t="s">
        <v>93</v>
      </c>
      <c r="B28" s="135" t="s">
        <v>212</v>
      </c>
      <c r="C28" s="135" t="s">
        <v>94</v>
      </c>
      <c r="D28" s="135" t="s">
        <v>133</v>
      </c>
      <c r="E28" s="135"/>
      <c r="F28" s="135" t="s">
        <v>134</v>
      </c>
      <c r="G28" s="135" t="s">
        <v>96</v>
      </c>
      <c r="H28" s="135">
        <v>395</v>
      </c>
      <c r="I28" s="135">
        <v>780</v>
      </c>
      <c r="J28" s="135">
        <v>19</v>
      </c>
      <c r="K28" s="135">
        <v>2</v>
      </c>
      <c r="L28" s="135">
        <v>1</v>
      </c>
      <c r="M28" s="138" t="s">
        <v>213</v>
      </c>
      <c r="N28" s="138" t="s">
        <v>213</v>
      </c>
      <c r="O28" s="138" t="s">
        <v>213</v>
      </c>
      <c r="P28" s="138" t="s">
        <v>93</v>
      </c>
      <c r="Q28" s="135">
        <v>1.0000000000000001E-5</v>
      </c>
      <c r="R28" s="135">
        <v>1.0000000000000001E-5</v>
      </c>
      <c r="S28" s="135">
        <v>1.0000000000000001E-5</v>
      </c>
      <c r="T28" s="135">
        <v>1.0000000000000001E-5</v>
      </c>
      <c r="U28" s="135" t="s">
        <v>131</v>
      </c>
      <c r="V28">
        <v>70</v>
      </c>
      <c r="W28">
        <v>70</v>
      </c>
      <c r="X28">
        <v>70</v>
      </c>
      <c r="Y28">
        <v>70</v>
      </c>
      <c r="Z28">
        <v>60</v>
      </c>
      <c r="AA28">
        <v>60</v>
      </c>
      <c r="AB28">
        <v>60</v>
      </c>
      <c r="AC28">
        <v>60</v>
      </c>
      <c r="AD28">
        <v>10</v>
      </c>
      <c r="AE28">
        <v>6</v>
      </c>
    </row>
    <row r="29" spans="1:31" x14ac:dyDescent="0.25">
      <c r="A29" s="135" t="s">
        <v>93</v>
      </c>
      <c r="B29" s="135" t="s">
        <v>212</v>
      </c>
      <c r="C29" s="135" t="s">
        <v>94</v>
      </c>
      <c r="D29" s="135" t="s">
        <v>135</v>
      </c>
      <c r="E29" s="135"/>
      <c r="F29" s="135" t="s">
        <v>134</v>
      </c>
      <c r="G29" s="135" t="s">
        <v>96</v>
      </c>
      <c r="H29" s="135">
        <v>395</v>
      </c>
      <c r="I29" s="135">
        <v>780</v>
      </c>
      <c r="J29" s="135">
        <v>19</v>
      </c>
      <c r="K29" s="135">
        <v>2</v>
      </c>
      <c r="L29" s="135">
        <v>1</v>
      </c>
      <c r="M29" s="138" t="s">
        <v>213</v>
      </c>
      <c r="N29" s="138" t="s">
        <v>213</v>
      </c>
      <c r="O29" s="138" t="s">
        <v>213</v>
      </c>
      <c r="P29" s="138" t="s">
        <v>213</v>
      </c>
      <c r="Q29" s="135">
        <v>1.0000000000000001E-5</v>
      </c>
      <c r="R29" s="135">
        <v>1.0000000000000001E-5</v>
      </c>
      <c r="S29" s="135">
        <v>1.0000000000000001E-5</v>
      </c>
      <c r="T29" s="135">
        <v>1.0000000000000001E-5</v>
      </c>
      <c r="U29" s="135"/>
      <c r="V29">
        <v>70</v>
      </c>
      <c r="W29">
        <v>70</v>
      </c>
      <c r="X29">
        <v>70</v>
      </c>
      <c r="Y29">
        <v>70</v>
      </c>
      <c r="Z29">
        <v>60</v>
      </c>
      <c r="AA29">
        <v>60</v>
      </c>
      <c r="AB29">
        <v>60</v>
      </c>
      <c r="AC29">
        <v>60</v>
      </c>
      <c r="AD29">
        <v>10</v>
      </c>
      <c r="AE29">
        <v>6</v>
      </c>
    </row>
    <row r="30" spans="1:31" x14ac:dyDescent="0.25">
      <c r="A30" s="135" t="s">
        <v>93</v>
      </c>
      <c r="B30" s="135" t="s">
        <v>212</v>
      </c>
      <c r="C30" s="135" t="s">
        <v>94</v>
      </c>
      <c r="D30" s="135" t="s">
        <v>136</v>
      </c>
      <c r="E30" s="135"/>
      <c r="F30" s="135" t="s">
        <v>134</v>
      </c>
      <c r="G30" s="135" t="s">
        <v>96</v>
      </c>
      <c r="H30" s="135">
        <v>384</v>
      </c>
      <c r="I30" s="135">
        <v>555</v>
      </c>
      <c r="J30" s="135">
        <v>19</v>
      </c>
      <c r="K30" s="135">
        <v>2</v>
      </c>
      <c r="L30" s="135">
        <v>1</v>
      </c>
      <c r="M30" s="138" t="s">
        <v>213</v>
      </c>
      <c r="N30" s="138" t="s">
        <v>213</v>
      </c>
      <c r="O30" s="138" t="s">
        <v>213</v>
      </c>
      <c r="P30" s="138" t="s">
        <v>93</v>
      </c>
      <c r="Q30" s="135">
        <v>1.0000000000000001E-5</v>
      </c>
      <c r="R30" s="135">
        <v>1.0000000000000001E-5</v>
      </c>
      <c r="S30" s="135">
        <v>1.0000000000000001E-5</v>
      </c>
      <c r="T30" s="135">
        <v>1.0000000000000001E-5</v>
      </c>
      <c r="U30" s="135" t="s">
        <v>137</v>
      </c>
      <c r="V30">
        <v>70</v>
      </c>
      <c r="W30">
        <v>70</v>
      </c>
      <c r="X30">
        <v>70</v>
      </c>
      <c r="Y30">
        <v>70</v>
      </c>
      <c r="Z30">
        <v>60</v>
      </c>
      <c r="AA30">
        <v>60</v>
      </c>
      <c r="AB30">
        <v>60</v>
      </c>
      <c r="AC30">
        <v>60</v>
      </c>
      <c r="AD30">
        <v>10</v>
      </c>
      <c r="AE30">
        <v>6</v>
      </c>
    </row>
    <row r="31" spans="1:31" x14ac:dyDescent="0.25">
      <c r="A31" s="135" t="s">
        <v>93</v>
      </c>
      <c r="B31" s="135" t="s">
        <v>212</v>
      </c>
      <c r="C31" s="135" t="s">
        <v>94</v>
      </c>
      <c r="D31" s="135" t="s">
        <v>138</v>
      </c>
      <c r="E31" s="135"/>
      <c r="F31" s="135" t="s">
        <v>134</v>
      </c>
      <c r="G31" s="135" t="s">
        <v>96</v>
      </c>
      <c r="H31" s="135">
        <v>384</v>
      </c>
      <c r="I31" s="135">
        <v>555</v>
      </c>
      <c r="J31" s="135">
        <v>19</v>
      </c>
      <c r="K31" s="135">
        <v>2</v>
      </c>
      <c r="L31" s="135">
        <v>1</v>
      </c>
      <c r="M31" s="138" t="s">
        <v>213</v>
      </c>
      <c r="N31" s="138" t="s">
        <v>213</v>
      </c>
      <c r="O31" s="138" t="s">
        <v>213</v>
      </c>
      <c r="P31" s="138" t="s">
        <v>93</v>
      </c>
      <c r="Q31" s="135">
        <v>1.0000000000000001E-5</v>
      </c>
      <c r="R31" s="135">
        <v>1.0000000000000001E-5</v>
      </c>
      <c r="S31" s="135">
        <v>1.0000000000000001E-5</v>
      </c>
      <c r="T31" s="135">
        <v>1.0000000000000001E-5</v>
      </c>
      <c r="U31" s="135" t="s">
        <v>137</v>
      </c>
      <c r="V31">
        <v>70</v>
      </c>
      <c r="W31">
        <v>70</v>
      </c>
      <c r="X31">
        <v>70</v>
      </c>
      <c r="Y31">
        <v>70</v>
      </c>
      <c r="Z31">
        <v>60</v>
      </c>
      <c r="AA31">
        <v>60</v>
      </c>
      <c r="AB31">
        <v>60</v>
      </c>
      <c r="AC31">
        <v>60</v>
      </c>
      <c r="AD31">
        <v>10</v>
      </c>
      <c r="AE31">
        <v>6</v>
      </c>
    </row>
    <row r="32" spans="1:31" x14ac:dyDescent="0.25">
      <c r="A32" s="135" t="s">
        <v>93</v>
      </c>
      <c r="B32" s="135" t="s">
        <v>212</v>
      </c>
      <c r="C32" s="135" t="s">
        <v>94</v>
      </c>
      <c r="D32" s="135" t="s">
        <v>139</v>
      </c>
      <c r="E32" s="135"/>
      <c r="F32" s="135" t="s">
        <v>130</v>
      </c>
      <c r="G32" s="135" t="s">
        <v>96</v>
      </c>
      <c r="H32" s="135">
        <v>384</v>
      </c>
      <c r="I32" s="135">
        <v>555</v>
      </c>
      <c r="J32" s="135">
        <v>19</v>
      </c>
      <c r="K32" s="135">
        <v>2</v>
      </c>
      <c r="L32" s="135">
        <v>1</v>
      </c>
      <c r="M32" s="138" t="s">
        <v>213</v>
      </c>
      <c r="N32" s="138" t="s">
        <v>213</v>
      </c>
      <c r="O32" s="138" t="s">
        <v>213</v>
      </c>
      <c r="P32" s="138" t="s">
        <v>93</v>
      </c>
      <c r="Q32" s="135">
        <v>1.0000000000000001E-5</v>
      </c>
      <c r="R32" s="135">
        <v>1.0000000000000001E-5</v>
      </c>
      <c r="S32" s="135">
        <v>1.0000000000000001E-5</v>
      </c>
      <c r="T32" s="135">
        <v>1.0000000000000001E-5</v>
      </c>
      <c r="U32" s="135" t="s">
        <v>137</v>
      </c>
    </row>
    <row r="33" spans="1:31" x14ac:dyDescent="0.25">
      <c r="A33" s="135" t="s">
        <v>93</v>
      </c>
      <c r="B33" s="135" t="s">
        <v>212</v>
      </c>
      <c r="C33" s="135" t="s">
        <v>94</v>
      </c>
      <c r="D33" s="135" t="s">
        <v>140</v>
      </c>
      <c r="E33" s="135"/>
      <c r="F33" s="135" t="s">
        <v>130</v>
      </c>
      <c r="G33" s="135" t="s">
        <v>96</v>
      </c>
      <c r="H33" s="135">
        <v>384</v>
      </c>
      <c r="I33" s="135">
        <v>555</v>
      </c>
      <c r="J33" s="135">
        <v>19</v>
      </c>
      <c r="K33" s="135">
        <v>2</v>
      </c>
      <c r="L33" s="135">
        <v>1</v>
      </c>
      <c r="M33" s="138" t="s">
        <v>213</v>
      </c>
      <c r="N33" s="138" t="s">
        <v>213</v>
      </c>
      <c r="O33" s="138" t="s">
        <v>213</v>
      </c>
      <c r="P33" s="138" t="s">
        <v>93</v>
      </c>
      <c r="Q33" s="135">
        <v>1.0000000000000001E-5</v>
      </c>
      <c r="R33" s="135">
        <v>1.0000000000000001E-5</v>
      </c>
      <c r="S33" s="135">
        <v>1.0000000000000001E-5</v>
      </c>
      <c r="T33" s="135">
        <v>1.0000000000000001E-5</v>
      </c>
      <c r="U33" s="135" t="s">
        <v>137</v>
      </c>
    </row>
    <row r="34" spans="1:31" x14ac:dyDescent="0.25">
      <c r="A34" s="135" t="s">
        <v>93</v>
      </c>
      <c r="B34" s="135" t="s">
        <v>212</v>
      </c>
      <c r="C34" s="135" t="s">
        <v>94</v>
      </c>
      <c r="D34" s="135" t="s">
        <v>141</v>
      </c>
      <c r="E34" s="135"/>
      <c r="F34" s="135" t="s">
        <v>130</v>
      </c>
      <c r="G34" s="135" t="s">
        <v>96</v>
      </c>
      <c r="H34" s="135">
        <v>270</v>
      </c>
      <c r="I34" s="135">
        <v>655</v>
      </c>
      <c r="J34" s="135">
        <v>19</v>
      </c>
      <c r="K34" s="135">
        <v>2</v>
      </c>
      <c r="L34" s="135">
        <v>1</v>
      </c>
      <c r="M34" s="138" t="s">
        <v>213</v>
      </c>
      <c r="N34" s="138" t="s">
        <v>213</v>
      </c>
      <c r="O34" s="138" t="s">
        <v>213</v>
      </c>
      <c r="P34" s="138" t="s">
        <v>93</v>
      </c>
      <c r="Q34" s="135">
        <v>1.0000000000000001E-5</v>
      </c>
      <c r="R34" s="135">
        <v>1.0000000000000001E-5</v>
      </c>
      <c r="S34" s="135">
        <v>1.0000000000000001E-5</v>
      </c>
      <c r="T34" s="135">
        <v>1.0000000000000001E-5</v>
      </c>
      <c r="U34" s="135" t="s">
        <v>142</v>
      </c>
    </row>
    <row r="35" spans="1:31" x14ac:dyDescent="0.25">
      <c r="A35" s="135" t="s">
        <v>93</v>
      </c>
      <c r="B35" s="135" t="s">
        <v>212</v>
      </c>
      <c r="C35" s="135" t="s">
        <v>94</v>
      </c>
      <c r="D35" s="135" t="s">
        <v>143</v>
      </c>
      <c r="E35" s="135"/>
      <c r="F35" s="135" t="s">
        <v>134</v>
      </c>
      <c r="G35" s="135" t="s">
        <v>96</v>
      </c>
      <c r="H35" s="135">
        <v>365</v>
      </c>
      <c r="I35" s="135">
        <v>655</v>
      </c>
      <c r="J35" s="135">
        <v>19</v>
      </c>
      <c r="K35" s="135">
        <v>2</v>
      </c>
      <c r="L35" s="135">
        <v>1</v>
      </c>
      <c r="M35" s="138" t="s">
        <v>213</v>
      </c>
      <c r="N35" s="138" t="s">
        <v>213</v>
      </c>
      <c r="O35" s="138" t="s">
        <v>213</v>
      </c>
      <c r="P35" s="138" t="s">
        <v>93</v>
      </c>
      <c r="Q35" s="135">
        <v>1.0000000000000001E-5</v>
      </c>
      <c r="R35" s="135">
        <v>1.0000000000000001E-5</v>
      </c>
      <c r="S35" s="135">
        <v>1.0000000000000001E-5</v>
      </c>
      <c r="T35" s="135">
        <v>1.0000000000000001E-5</v>
      </c>
      <c r="U35" s="135" t="s">
        <v>142</v>
      </c>
      <c r="V35">
        <v>70</v>
      </c>
      <c r="W35">
        <v>70</v>
      </c>
      <c r="X35">
        <v>70</v>
      </c>
      <c r="Y35">
        <v>70</v>
      </c>
      <c r="Z35">
        <v>60</v>
      </c>
      <c r="AA35">
        <v>60</v>
      </c>
      <c r="AB35">
        <v>60</v>
      </c>
      <c r="AC35">
        <v>60</v>
      </c>
      <c r="AD35">
        <v>10</v>
      </c>
      <c r="AE35">
        <v>6</v>
      </c>
    </row>
  </sheetData>
  <pageMargins left="0.7" right="0.7" top="0.75" bottom="0.75" header="0.3" footer="0.3"/>
  <pageSetup paperSize="257" orientation="portrait" horizontalDpi="203" verticalDpi="20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4"/>
  <sheetViews>
    <sheetView topLeftCell="D1" workbookViewId="0">
      <selection activeCell="I9" sqref="I9"/>
    </sheetView>
  </sheetViews>
  <sheetFormatPr defaultRowHeight="15.75" x14ac:dyDescent="0.25"/>
  <cols>
    <col min="1" max="1" width="6.25" bestFit="1" customWidth="1"/>
    <col min="2" max="2" width="15.25" customWidth="1"/>
    <col min="3" max="3" width="23.625" bestFit="1" customWidth="1"/>
    <col min="4" max="4" width="18.5" customWidth="1"/>
    <col min="5" max="5" width="16.25" customWidth="1"/>
    <col min="6" max="6" width="24" bestFit="1" customWidth="1"/>
    <col min="7" max="7" width="5.75" bestFit="1" customWidth="1"/>
    <col min="8" max="8" width="5.875" bestFit="1" customWidth="1"/>
    <col min="9" max="9" width="8.375" bestFit="1" customWidth="1"/>
    <col min="10" max="10" width="15.625" bestFit="1" customWidth="1"/>
    <col min="11" max="11" width="7.75" bestFit="1" customWidth="1"/>
    <col min="12" max="13" width="14.125" style="139" bestFit="1" customWidth="1"/>
    <col min="14" max="15" width="14.875" style="139" bestFit="1" customWidth="1"/>
    <col min="16" max="17" width="11" bestFit="1" customWidth="1"/>
    <col min="18" max="19" width="11.75" bestFit="1" customWidth="1"/>
    <col min="20" max="20" width="8.625" bestFit="1" customWidth="1"/>
  </cols>
  <sheetData>
    <row r="1" spans="1:36" x14ac:dyDescent="0.25">
      <c r="A1" s="136" t="s">
        <v>144</v>
      </c>
      <c r="B1" s="136" t="s">
        <v>145</v>
      </c>
      <c r="C1" s="136" t="s">
        <v>146</v>
      </c>
      <c r="D1" s="136" t="s">
        <v>0</v>
      </c>
      <c r="E1" s="136" t="s">
        <v>147</v>
      </c>
      <c r="F1" s="136" t="s">
        <v>148</v>
      </c>
      <c r="G1" s="136" t="s">
        <v>149</v>
      </c>
      <c r="H1" s="136" t="s">
        <v>22</v>
      </c>
      <c r="I1" s="136" t="s">
        <v>150</v>
      </c>
      <c r="J1" s="136" t="s">
        <v>34</v>
      </c>
      <c r="K1" s="136" t="s">
        <v>15</v>
      </c>
      <c r="L1" s="137" t="s">
        <v>151</v>
      </c>
      <c r="M1" s="137" t="s">
        <v>152</v>
      </c>
      <c r="N1" s="137" t="s">
        <v>153</v>
      </c>
      <c r="O1" s="137" t="s">
        <v>154</v>
      </c>
      <c r="P1" s="136" t="s">
        <v>155</v>
      </c>
      <c r="Q1" s="136" t="s">
        <v>156</v>
      </c>
      <c r="R1" s="136" t="s">
        <v>157</v>
      </c>
      <c r="S1" s="136" t="s">
        <v>158</v>
      </c>
      <c r="T1" s="136" t="s">
        <v>159</v>
      </c>
      <c r="U1" t="s">
        <v>160</v>
      </c>
      <c r="V1" t="s">
        <v>161</v>
      </c>
      <c r="W1" t="s">
        <v>162</v>
      </c>
      <c r="X1" t="s">
        <v>163</v>
      </c>
      <c r="Y1" t="s">
        <v>164</v>
      </c>
      <c r="Z1" t="s">
        <v>165</v>
      </c>
      <c r="AA1" t="s">
        <v>166</v>
      </c>
      <c r="AB1" t="s">
        <v>167</v>
      </c>
      <c r="AC1" t="s">
        <v>168</v>
      </c>
      <c r="AD1" t="s">
        <v>169</v>
      </c>
      <c r="AE1" t="s">
        <v>170</v>
      </c>
      <c r="AF1" t="s">
        <v>171</v>
      </c>
      <c r="AG1" t="s">
        <v>172</v>
      </c>
      <c r="AH1" t="s">
        <v>173</v>
      </c>
      <c r="AI1" t="s">
        <v>174</v>
      </c>
      <c r="AJ1" t="s">
        <v>175</v>
      </c>
    </row>
    <row r="2" spans="1:36" x14ac:dyDescent="0.25">
      <c r="A2" s="136" t="s">
        <v>176</v>
      </c>
      <c r="B2" s="136" t="s">
        <v>177</v>
      </c>
      <c r="C2" s="136" t="s">
        <v>178</v>
      </c>
      <c r="D2" s="136" t="s">
        <v>179</v>
      </c>
      <c r="E2" s="136" t="s">
        <v>180</v>
      </c>
      <c r="F2" s="136" t="s">
        <v>181</v>
      </c>
      <c r="G2" s="136" t="s">
        <v>182</v>
      </c>
      <c r="H2" s="136" t="s">
        <v>183</v>
      </c>
      <c r="I2" s="141" t="s">
        <v>184</v>
      </c>
      <c r="J2" s="141" t="s">
        <v>185</v>
      </c>
      <c r="K2" s="136" t="s">
        <v>186</v>
      </c>
      <c r="L2" s="137" t="s">
        <v>187</v>
      </c>
      <c r="M2" s="137" t="s">
        <v>188</v>
      </c>
      <c r="N2" s="137" t="s">
        <v>189</v>
      </c>
      <c r="O2" s="137" t="s">
        <v>190</v>
      </c>
      <c r="P2" s="136" t="s">
        <v>191</v>
      </c>
      <c r="Q2" s="136" t="s">
        <v>192</v>
      </c>
      <c r="R2" s="136" t="s">
        <v>193</v>
      </c>
      <c r="S2" s="136" t="s">
        <v>194</v>
      </c>
      <c r="T2" s="136" t="s">
        <v>195</v>
      </c>
      <c r="U2" t="s">
        <v>196</v>
      </c>
      <c r="V2" t="s">
        <v>197</v>
      </c>
      <c r="W2" t="s">
        <v>198</v>
      </c>
      <c r="X2" t="s">
        <v>199</v>
      </c>
      <c r="Y2" t="s">
        <v>200</v>
      </c>
      <c r="Z2" t="s">
        <v>201</v>
      </c>
      <c r="AA2" t="s">
        <v>202</v>
      </c>
      <c r="AB2" t="s">
        <v>203</v>
      </c>
      <c r="AC2" t="s">
        <v>204</v>
      </c>
      <c r="AD2" t="s">
        <v>205</v>
      </c>
      <c r="AE2" t="s">
        <v>206</v>
      </c>
      <c r="AF2" t="s">
        <v>207</v>
      </c>
      <c r="AG2" t="s">
        <v>208</v>
      </c>
      <c r="AH2" t="s">
        <v>209</v>
      </c>
      <c r="AI2" t="s">
        <v>210</v>
      </c>
      <c r="AJ2" t="s">
        <v>211</v>
      </c>
    </row>
    <row r="3" spans="1:36" s="147" customFormat="1" ht="31.5" x14ac:dyDescent="0.25">
      <c r="A3" s="143" t="str">
        <f>"V"</f>
        <v>V</v>
      </c>
      <c r="B3" s="143" t="str">
        <f>"ACRILYC"</f>
        <v>ACRILYC</v>
      </c>
      <c r="C3" s="144" t="str">
        <f>RIGHT('GIA CONG ACRYLIC'!$C$8,LEN('GIA CONG ACRYLIC'!$C$8)-LEN("Khách hàng: "))&amp;" "&amp;'GIA CONG ACRYLIC'!$H$7</f>
        <v>KH0457D - Anh Giang Kle (Chinh) L3287</v>
      </c>
      <c r="D3" s="143" t="str">
        <f>'GIA CONG ACRYLIC'!$H$7&amp;"."&amp;'GIA CONG ACRYLIC'!B14&amp;"."&amp;IF(LEN('GIA CONG ACRYLIC'!A14)=1,"00"&amp;'GIA CONG ACRYLIC'!A14,IF(LEN('GIA CONG ACRYLIC'!A14)=2,"0"&amp;'GIA CONG ACRYLIC'!A14,'GIA CONG ACRYLIC'!A14))</f>
        <v>L3287.GV26**.TP.001</v>
      </c>
      <c r="E3" s="143" t="str">
        <f>IF('GIA CONG ACRYLIC'!M14=0,"",'GIA CONG ACRYLIC'!M14)</f>
        <v>tủ dưới  phải Cánh Phải-</v>
      </c>
      <c r="F3" s="143" t="str">
        <f>+'GIA CONG ACRYLIC'!C14</f>
        <v>Cốt MDF, 1 mặt Acrylic GV26 nhũ chống xước cao, 1 mặt acrylic chống cong vênh trắng bóng</v>
      </c>
      <c r="G3" s="143">
        <f>+'GIA CONG ACRYLIC'!D14</f>
        <v>732</v>
      </c>
      <c r="H3" s="143">
        <f>+'GIA CONG ACRYLIC'!E14</f>
        <v>435</v>
      </c>
      <c r="I3" s="143">
        <v>19</v>
      </c>
      <c r="J3" s="143">
        <v>2</v>
      </c>
      <c r="K3" s="143">
        <f>+'GIA CONG ACRYLIC'!F14</f>
        <v>1</v>
      </c>
      <c r="L3" s="145" t="str">
        <f>"T"</f>
        <v>T</v>
      </c>
      <c r="M3" s="145" t="str">
        <f>IF('GIA CONG ACRYLIC'!N14='GIA CONG ACRYLIC'!D14,"V","T")</f>
        <v>T</v>
      </c>
      <c r="N3" s="145" t="str">
        <f>"T"</f>
        <v>T</v>
      </c>
      <c r="O3" s="145" t="str">
        <f>IF('GIA CONG ACRYLIC'!N14='GIA CONG ACRYLIC'!E14,"V","T")</f>
        <v>V</v>
      </c>
      <c r="P3" s="143">
        <v>1.0000000000000001E-5</v>
      </c>
      <c r="Q3" s="143">
        <v>1.0000000000000001E-5</v>
      </c>
      <c r="R3" s="143">
        <v>1.0000000000000001E-5</v>
      </c>
      <c r="S3" s="143">
        <v>1.0000000000000001E-5</v>
      </c>
      <c r="T3" s="146" t="str">
        <f>'GIA CONG ACRYLIC'!G14</f>
        <v>Vát 435</v>
      </c>
    </row>
    <row r="4" spans="1:36" s="147" customFormat="1" ht="31.5" x14ac:dyDescent="0.25">
      <c r="A4" s="143" t="str">
        <f t="shared" ref="A4:A34" si="0">"V"</f>
        <v>V</v>
      </c>
      <c r="B4" s="143" t="str">
        <f t="shared" ref="B4:B34" si="1">"ACRILYC"</f>
        <v>ACRILYC</v>
      </c>
      <c r="C4" s="144" t="str">
        <f>RIGHT('GIA CONG ACRYLIC'!$C$8,LEN('GIA CONG ACRYLIC'!$C$8)-LEN("Khách hàng: "))&amp;" "&amp;'GIA CONG ACRYLIC'!$H$7</f>
        <v>KH0457D - Anh Giang Kle (Chinh) L3287</v>
      </c>
      <c r="D4" s="143" t="str">
        <f>'GIA CONG ACRYLIC'!$H$7&amp;"."&amp;'GIA CONG ACRYLIC'!B15&amp;"."&amp;IF(LEN('GIA CONG ACRYLIC'!A15)=1,"00"&amp;'GIA CONG ACRYLIC'!A15,IF(LEN('GIA CONG ACRYLIC'!A15)=2,"0"&amp;'GIA CONG ACRYLIC'!A15,'GIA CONG ACRYLIC'!A15))</f>
        <v>L3287.GV26**.TP.002</v>
      </c>
      <c r="E4" s="143" t="str">
        <f>IF('GIA CONG ACRYLIC'!M15=0,"",'GIA CONG ACRYLIC'!M15)</f>
        <v>tủ dưới  phải Cánh Trái-</v>
      </c>
      <c r="F4" s="143">
        <f>+'GIA CONG ACRYLIC'!C15</f>
        <v>0</v>
      </c>
      <c r="G4" s="143">
        <f>+'GIA CONG ACRYLIC'!D15</f>
        <v>732</v>
      </c>
      <c r="H4" s="143">
        <f>+'GIA CONG ACRYLIC'!E15</f>
        <v>435</v>
      </c>
      <c r="I4" s="143">
        <v>19</v>
      </c>
      <c r="J4" s="143">
        <v>2</v>
      </c>
      <c r="K4" s="143">
        <f>+'GIA CONG ACRYLIC'!F15</f>
        <v>1</v>
      </c>
      <c r="L4" s="145" t="str">
        <f t="shared" ref="L4:L34" si="2">"T"</f>
        <v>T</v>
      </c>
      <c r="M4" s="145" t="str">
        <f>IF('GIA CONG ACRYLIC'!N15='GIA CONG ACRYLIC'!D15,"V","T")</f>
        <v>T</v>
      </c>
      <c r="N4" s="145" t="str">
        <f t="shared" ref="N4:N34" si="3">"T"</f>
        <v>T</v>
      </c>
      <c r="O4" s="145" t="str">
        <f>IF('GIA CONG ACRYLIC'!N15='GIA CONG ACRYLIC'!E15,"V","T")</f>
        <v>V</v>
      </c>
      <c r="P4" s="143">
        <v>1.0000000000000001E-5</v>
      </c>
      <c r="Q4" s="143">
        <v>1.0000000000000001E-5</v>
      </c>
      <c r="R4" s="143">
        <v>1.0000000000000001E-5</v>
      </c>
      <c r="S4" s="143">
        <v>1.0000000000000001E-5</v>
      </c>
      <c r="T4" s="146" t="str">
        <f>'GIA CONG ACRYLIC'!G15</f>
        <v>Vát 435</v>
      </c>
    </row>
    <row r="5" spans="1:36" s="147" customFormat="1" ht="31.5" x14ac:dyDescent="0.25">
      <c r="A5" s="143" t="str">
        <f t="shared" si="0"/>
        <v>V</v>
      </c>
      <c r="B5" s="143" t="str">
        <f t="shared" si="1"/>
        <v>ACRILYC</v>
      </c>
      <c r="C5" s="144" t="str">
        <f>RIGHT('GIA CONG ACRYLIC'!$C$8,LEN('GIA CONG ACRYLIC'!$C$8)-LEN("Khách hàng: "))&amp;" "&amp;'GIA CONG ACRYLIC'!$H$7</f>
        <v>KH0457D - Anh Giang Kle (Chinh) L3287</v>
      </c>
      <c r="D5" s="143" t="e">
        <f>'GIA CONG ACRYLIC'!$H$7&amp;"."&amp;'GIA CONG ACRYLIC'!#REF!&amp;"."&amp;IF(LEN('GIA CONG ACRYLIC'!#REF!)=1,"00"&amp;'GIA CONG ACRYLIC'!#REF!,IF(LEN('GIA CONG ACRYLIC'!#REF!)=2,"0"&amp;'GIA CONG ACRYLIC'!#REF!,'GIA CONG ACRYLIC'!#REF!))</f>
        <v>#REF!</v>
      </c>
      <c r="E5" s="143" t="e">
        <f>IF('GIA CONG ACRYLIC'!#REF!=0,"",'GIA CONG ACRYLIC'!#REF!)</f>
        <v>#REF!</v>
      </c>
      <c r="F5" s="143" t="e">
        <f>+'GIA CONG ACRYLIC'!#REF!</f>
        <v>#REF!</v>
      </c>
      <c r="G5" s="143" t="e">
        <f>+'GIA CONG ACRYLIC'!#REF!</f>
        <v>#REF!</v>
      </c>
      <c r="H5" s="143" t="e">
        <f>+'GIA CONG ACRYLIC'!#REF!</f>
        <v>#REF!</v>
      </c>
      <c r="I5" s="143">
        <v>19</v>
      </c>
      <c r="J5" s="143">
        <v>2</v>
      </c>
      <c r="K5" s="143" t="e">
        <f>+'GIA CONG ACRYLIC'!#REF!</f>
        <v>#REF!</v>
      </c>
      <c r="L5" s="145" t="str">
        <f t="shared" si="2"/>
        <v>T</v>
      </c>
      <c r="M5" s="145" t="e">
        <f>IF('GIA CONG ACRYLIC'!#REF!='GIA CONG ACRYLIC'!#REF!,"V","T")</f>
        <v>#REF!</v>
      </c>
      <c r="N5" s="145" t="str">
        <f t="shared" si="3"/>
        <v>T</v>
      </c>
      <c r="O5" s="145" t="e">
        <f>IF('GIA CONG ACRYLIC'!#REF!='GIA CONG ACRYLIC'!#REF!,"V","T")</f>
        <v>#REF!</v>
      </c>
      <c r="P5" s="143">
        <v>1.0000000000000001E-5</v>
      </c>
      <c r="Q5" s="143">
        <v>1.0000000000000001E-5</v>
      </c>
      <c r="R5" s="143">
        <v>1.0000000000000001E-5</v>
      </c>
      <c r="S5" s="143">
        <v>1.0000000000000001E-5</v>
      </c>
      <c r="T5" s="146" t="e">
        <f>'GIA CONG ACRYLIC'!#REF!</f>
        <v>#REF!</v>
      </c>
    </row>
    <row r="6" spans="1:36" s="147" customFormat="1" ht="31.5" x14ac:dyDescent="0.25">
      <c r="A6" s="143" t="str">
        <f t="shared" si="0"/>
        <v>V</v>
      </c>
      <c r="B6" s="143" t="str">
        <f t="shared" si="1"/>
        <v>ACRILYC</v>
      </c>
      <c r="C6" s="144" t="str">
        <f>RIGHT('GIA CONG ACRYLIC'!$C$8,LEN('GIA CONG ACRYLIC'!$C$8)-LEN("Khách hàng: "))&amp;" "&amp;'GIA CONG ACRYLIC'!$H$7</f>
        <v>KH0457D - Anh Giang Kle (Chinh) L3287</v>
      </c>
      <c r="D6" s="143" t="e">
        <f>'GIA CONG ACRYLIC'!$H$7&amp;"."&amp;'GIA CONG ACRYLIC'!#REF!&amp;"."&amp;IF(LEN('GIA CONG ACRYLIC'!#REF!)=1,"00"&amp;'GIA CONG ACRYLIC'!#REF!,IF(LEN('GIA CONG ACRYLIC'!#REF!)=2,"0"&amp;'GIA CONG ACRYLIC'!#REF!,'GIA CONG ACRYLIC'!#REF!))</f>
        <v>#REF!</v>
      </c>
      <c r="E6" s="143" t="e">
        <f>IF('GIA CONG ACRYLIC'!#REF!=0,"",'GIA CONG ACRYLIC'!#REF!)</f>
        <v>#REF!</v>
      </c>
      <c r="F6" s="143" t="e">
        <f>+'GIA CONG ACRYLIC'!#REF!</f>
        <v>#REF!</v>
      </c>
      <c r="G6" s="143" t="e">
        <f>+'GIA CONG ACRYLIC'!#REF!</f>
        <v>#REF!</v>
      </c>
      <c r="H6" s="143" t="e">
        <f>+'GIA CONG ACRYLIC'!#REF!</f>
        <v>#REF!</v>
      </c>
      <c r="I6" s="143">
        <v>19</v>
      </c>
      <c r="J6" s="143">
        <v>2</v>
      </c>
      <c r="K6" s="143" t="e">
        <f>+'GIA CONG ACRYLIC'!#REF!</f>
        <v>#REF!</v>
      </c>
      <c r="L6" s="145" t="str">
        <f t="shared" si="2"/>
        <v>T</v>
      </c>
      <c r="M6" s="145" t="e">
        <f>IF('GIA CONG ACRYLIC'!#REF!='GIA CONG ACRYLIC'!#REF!,"V","T")</f>
        <v>#REF!</v>
      </c>
      <c r="N6" s="145" t="str">
        <f t="shared" si="3"/>
        <v>T</v>
      </c>
      <c r="O6" s="145" t="e">
        <f>IF('GIA CONG ACRYLIC'!#REF!='GIA CONG ACRYLIC'!#REF!,"V","T")</f>
        <v>#REF!</v>
      </c>
      <c r="P6" s="143">
        <v>1.0000000000000001E-5</v>
      </c>
      <c r="Q6" s="143">
        <v>1.0000000000000001E-5</v>
      </c>
      <c r="R6" s="143">
        <v>1.0000000000000001E-5</v>
      </c>
      <c r="S6" s="143">
        <v>1.0000000000000001E-5</v>
      </c>
      <c r="T6" s="146" t="e">
        <f>'GIA CONG ACRYLIC'!#REF!</f>
        <v>#REF!</v>
      </c>
    </row>
    <row r="7" spans="1:36" s="147" customFormat="1" ht="31.5" x14ac:dyDescent="0.25">
      <c r="A7" s="143" t="str">
        <f t="shared" si="0"/>
        <v>V</v>
      </c>
      <c r="B7" s="143" t="str">
        <f t="shared" si="1"/>
        <v>ACRILYC</v>
      </c>
      <c r="C7" s="144" t="str">
        <f>RIGHT('GIA CONG ACRYLIC'!$C$8,LEN('GIA CONG ACRYLIC'!$C$8)-LEN("Khách hàng: "))&amp;" "&amp;'GIA CONG ACRYLIC'!$H$7</f>
        <v>KH0457D - Anh Giang Kle (Chinh) L3287</v>
      </c>
      <c r="D7" s="143" t="e">
        <f>'GIA CONG ACRYLIC'!$H$7&amp;"."&amp;'GIA CONG ACRYLIC'!#REF!&amp;"."&amp;IF(LEN('GIA CONG ACRYLIC'!#REF!)=1,"00"&amp;'GIA CONG ACRYLIC'!#REF!,IF(LEN('GIA CONG ACRYLIC'!#REF!)=2,"0"&amp;'GIA CONG ACRYLIC'!#REF!,'GIA CONG ACRYLIC'!#REF!))</f>
        <v>#REF!</v>
      </c>
      <c r="E7" s="143" t="e">
        <f>IF('GIA CONG ACRYLIC'!#REF!=0,"",'GIA CONG ACRYLIC'!#REF!)</f>
        <v>#REF!</v>
      </c>
      <c r="F7" s="143" t="e">
        <f>+'GIA CONG ACRYLIC'!#REF!</f>
        <v>#REF!</v>
      </c>
      <c r="G7" s="143" t="e">
        <f>+'GIA CONG ACRYLIC'!#REF!</f>
        <v>#REF!</v>
      </c>
      <c r="H7" s="143" t="e">
        <f>+'GIA CONG ACRYLIC'!#REF!</f>
        <v>#REF!</v>
      </c>
      <c r="I7" s="143">
        <v>19</v>
      </c>
      <c r="J7" s="143">
        <v>2</v>
      </c>
      <c r="K7" s="143" t="e">
        <f>+'GIA CONG ACRYLIC'!#REF!</f>
        <v>#REF!</v>
      </c>
      <c r="L7" s="145" t="str">
        <f t="shared" si="2"/>
        <v>T</v>
      </c>
      <c r="M7" s="145" t="e">
        <f>IF('GIA CONG ACRYLIC'!#REF!='GIA CONG ACRYLIC'!#REF!,"V","T")</f>
        <v>#REF!</v>
      </c>
      <c r="N7" s="145" t="str">
        <f t="shared" si="3"/>
        <v>T</v>
      </c>
      <c r="O7" s="145" t="e">
        <f>IF('GIA CONG ACRYLIC'!#REF!='GIA CONG ACRYLIC'!#REF!,"V","T")</f>
        <v>#REF!</v>
      </c>
      <c r="P7" s="143">
        <v>1.0000000000000001E-5</v>
      </c>
      <c r="Q7" s="143">
        <v>1.0000000000000001E-5</v>
      </c>
      <c r="R7" s="143">
        <v>1.0000000000000001E-5</v>
      </c>
      <c r="S7" s="143">
        <v>1.0000000000000001E-5</v>
      </c>
      <c r="T7" s="146" t="e">
        <f>'GIA CONG ACRYLIC'!#REF!</f>
        <v>#REF!</v>
      </c>
    </row>
    <row r="8" spans="1:36" s="147" customFormat="1" ht="31.5" x14ac:dyDescent="0.25">
      <c r="A8" s="143" t="str">
        <f t="shared" si="0"/>
        <v>V</v>
      </c>
      <c r="B8" s="143" t="str">
        <f t="shared" si="1"/>
        <v>ACRILYC</v>
      </c>
      <c r="C8" s="144" t="str">
        <f>RIGHT('GIA CONG ACRYLIC'!$C$8,LEN('GIA CONG ACRYLIC'!$C$8)-LEN("Khách hàng: "))&amp;" "&amp;'GIA CONG ACRYLIC'!$H$7</f>
        <v>KH0457D - Anh Giang Kle (Chinh) L3287</v>
      </c>
      <c r="D8" s="143" t="e">
        <f>'GIA CONG ACRYLIC'!$H$7&amp;"."&amp;'GIA CONG ACRYLIC'!#REF!&amp;"."&amp;IF(LEN('GIA CONG ACRYLIC'!#REF!)=1,"00"&amp;'GIA CONG ACRYLIC'!#REF!,IF(LEN('GIA CONG ACRYLIC'!#REF!)=2,"0"&amp;'GIA CONG ACRYLIC'!#REF!,'GIA CONG ACRYLIC'!#REF!))</f>
        <v>#REF!</v>
      </c>
      <c r="E8" s="143" t="e">
        <f>IF('GIA CONG ACRYLIC'!#REF!=0,"",'GIA CONG ACRYLIC'!#REF!)</f>
        <v>#REF!</v>
      </c>
      <c r="F8" s="143" t="e">
        <f>+'GIA CONG ACRYLIC'!#REF!</f>
        <v>#REF!</v>
      </c>
      <c r="G8" s="143" t="e">
        <f>+'GIA CONG ACRYLIC'!#REF!</f>
        <v>#REF!</v>
      </c>
      <c r="H8" s="143" t="e">
        <f>+'GIA CONG ACRYLIC'!#REF!</f>
        <v>#REF!</v>
      </c>
      <c r="I8" s="143">
        <v>19</v>
      </c>
      <c r="J8" s="143">
        <v>2</v>
      </c>
      <c r="K8" s="143" t="e">
        <f>+'GIA CONG ACRYLIC'!#REF!</f>
        <v>#REF!</v>
      </c>
      <c r="L8" s="145" t="str">
        <f t="shared" si="2"/>
        <v>T</v>
      </c>
      <c r="M8" s="145" t="e">
        <f>IF('GIA CONG ACRYLIC'!#REF!='GIA CONG ACRYLIC'!#REF!,"V","T")</f>
        <v>#REF!</v>
      </c>
      <c r="N8" s="145" t="str">
        <f t="shared" si="3"/>
        <v>T</v>
      </c>
      <c r="O8" s="145" t="e">
        <f>IF('GIA CONG ACRYLIC'!#REF!='GIA CONG ACRYLIC'!#REF!,"V","T")</f>
        <v>#REF!</v>
      </c>
      <c r="P8" s="143">
        <v>1.0000000000000001E-5</v>
      </c>
      <c r="Q8" s="143">
        <v>1.0000000000000001E-5</v>
      </c>
      <c r="R8" s="143">
        <v>1.0000000000000001E-5</v>
      </c>
      <c r="S8" s="143">
        <v>1.0000000000000001E-5</v>
      </c>
      <c r="T8" s="146" t="e">
        <f>'GIA CONG ACRYLIC'!#REF!</f>
        <v>#REF!</v>
      </c>
    </row>
    <row r="9" spans="1:36" s="147" customFormat="1" ht="31.5" x14ac:dyDescent="0.25">
      <c r="A9" s="143" t="str">
        <f t="shared" si="0"/>
        <v>V</v>
      </c>
      <c r="B9" s="143" t="str">
        <f t="shared" si="1"/>
        <v>ACRILYC</v>
      </c>
      <c r="C9" s="144" t="str">
        <f>RIGHT('GIA CONG ACRYLIC'!$C$8,LEN('GIA CONG ACRYLIC'!$C$8)-LEN("Khách hàng: "))&amp;" "&amp;'GIA CONG ACRYLIC'!$H$7</f>
        <v>KH0457D - Anh Giang Kle (Chinh) L3287</v>
      </c>
      <c r="D9" s="143" t="e">
        <f>'GIA CONG ACRYLIC'!$H$7&amp;"."&amp;'GIA CONG ACRYLIC'!#REF!&amp;"."&amp;IF(LEN('GIA CONG ACRYLIC'!#REF!)=1,"00"&amp;'GIA CONG ACRYLIC'!#REF!,IF(LEN('GIA CONG ACRYLIC'!#REF!)=2,"0"&amp;'GIA CONG ACRYLIC'!#REF!,'GIA CONG ACRYLIC'!#REF!))</f>
        <v>#REF!</v>
      </c>
      <c r="E9" s="143" t="e">
        <f>IF('GIA CONG ACRYLIC'!#REF!=0,"",'GIA CONG ACRYLIC'!#REF!)</f>
        <v>#REF!</v>
      </c>
      <c r="F9" s="143" t="e">
        <f>+'GIA CONG ACRYLIC'!#REF!</f>
        <v>#REF!</v>
      </c>
      <c r="G9" s="143" t="e">
        <f>+'GIA CONG ACRYLIC'!#REF!</f>
        <v>#REF!</v>
      </c>
      <c r="H9" s="143" t="e">
        <f>+'GIA CONG ACRYLIC'!#REF!</f>
        <v>#REF!</v>
      </c>
      <c r="I9" s="143">
        <v>19</v>
      </c>
      <c r="J9" s="143">
        <v>2</v>
      </c>
      <c r="K9" s="143" t="e">
        <f>+'GIA CONG ACRYLIC'!#REF!</f>
        <v>#REF!</v>
      </c>
      <c r="L9" s="145" t="str">
        <f t="shared" si="2"/>
        <v>T</v>
      </c>
      <c r="M9" s="145" t="e">
        <f>IF('GIA CONG ACRYLIC'!#REF!='GIA CONG ACRYLIC'!#REF!,"V","T")</f>
        <v>#REF!</v>
      </c>
      <c r="N9" s="145" t="str">
        <f t="shared" si="3"/>
        <v>T</v>
      </c>
      <c r="O9" s="145" t="e">
        <f>IF('GIA CONG ACRYLIC'!#REF!='GIA CONG ACRYLIC'!#REF!,"V","T")</f>
        <v>#REF!</v>
      </c>
      <c r="P9" s="143">
        <v>1.0000000000000001E-5</v>
      </c>
      <c r="Q9" s="143">
        <v>1.0000000000000001E-5</v>
      </c>
      <c r="R9" s="143">
        <v>1.0000000000000001E-5</v>
      </c>
      <c r="S9" s="143">
        <v>1.0000000000000001E-5</v>
      </c>
      <c r="T9" s="146" t="e">
        <f>'GIA CONG ACRYLIC'!#REF!</f>
        <v>#REF!</v>
      </c>
    </row>
    <row r="10" spans="1:36" s="147" customFormat="1" ht="31.5" x14ac:dyDescent="0.25">
      <c r="A10" s="143" t="str">
        <f t="shared" si="0"/>
        <v>V</v>
      </c>
      <c r="B10" s="143" t="str">
        <f t="shared" si="1"/>
        <v>ACRILYC</v>
      </c>
      <c r="C10" s="144" t="str">
        <f>RIGHT('GIA CONG ACRYLIC'!$C$8,LEN('GIA CONG ACRYLIC'!$C$8)-LEN("Khách hàng: "))&amp;" "&amp;'GIA CONG ACRYLIC'!$H$7</f>
        <v>KH0457D - Anh Giang Kle (Chinh) L3287</v>
      </c>
      <c r="D10" s="143" t="e">
        <f>'GIA CONG ACRYLIC'!$H$7&amp;"."&amp;'GIA CONG ACRYLIC'!#REF!&amp;"."&amp;IF(LEN('GIA CONG ACRYLIC'!#REF!)=1,"00"&amp;'GIA CONG ACRYLIC'!#REF!,IF(LEN('GIA CONG ACRYLIC'!#REF!)=2,"0"&amp;'GIA CONG ACRYLIC'!#REF!,'GIA CONG ACRYLIC'!#REF!))</f>
        <v>#REF!</v>
      </c>
      <c r="E10" s="143" t="e">
        <f>IF('GIA CONG ACRYLIC'!#REF!=0,"",'GIA CONG ACRYLIC'!#REF!)</f>
        <v>#REF!</v>
      </c>
      <c r="F10" s="143" t="e">
        <f>+'GIA CONG ACRYLIC'!#REF!</f>
        <v>#REF!</v>
      </c>
      <c r="G10" s="143" t="e">
        <f>+'GIA CONG ACRYLIC'!#REF!</f>
        <v>#REF!</v>
      </c>
      <c r="H10" s="143" t="e">
        <f>+'GIA CONG ACRYLIC'!#REF!</f>
        <v>#REF!</v>
      </c>
      <c r="I10" s="143">
        <v>19</v>
      </c>
      <c r="J10" s="143">
        <v>2</v>
      </c>
      <c r="K10" s="143" t="e">
        <f>+'GIA CONG ACRYLIC'!#REF!</f>
        <v>#REF!</v>
      </c>
      <c r="L10" s="145" t="str">
        <f t="shared" si="2"/>
        <v>T</v>
      </c>
      <c r="M10" s="145" t="e">
        <f>IF('GIA CONG ACRYLIC'!#REF!='GIA CONG ACRYLIC'!#REF!,"V","T")</f>
        <v>#REF!</v>
      </c>
      <c r="N10" s="145" t="str">
        <f t="shared" si="3"/>
        <v>T</v>
      </c>
      <c r="O10" s="145" t="e">
        <f>IF('GIA CONG ACRYLIC'!#REF!='GIA CONG ACRYLIC'!#REF!,"V","T")</f>
        <v>#REF!</v>
      </c>
      <c r="P10" s="143">
        <v>1.0000000000000001E-5</v>
      </c>
      <c r="Q10" s="143">
        <v>1.0000000000000001E-5</v>
      </c>
      <c r="R10" s="143">
        <v>1.0000000000000001E-5</v>
      </c>
      <c r="S10" s="143">
        <v>1.0000000000000001E-5</v>
      </c>
      <c r="T10" s="146" t="e">
        <f>'GIA CONG ACRYLIC'!#REF!</f>
        <v>#REF!</v>
      </c>
    </row>
    <row r="11" spans="1:36" s="147" customFormat="1" ht="31.5" x14ac:dyDescent="0.25">
      <c r="A11" s="143" t="str">
        <f t="shared" si="0"/>
        <v>V</v>
      </c>
      <c r="B11" s="143" t="str">
        <f t="shared" si="1"/>
        <v>ACRILYC</v>
      </c>
      <c r="C11" s="144" t="str">
        <f>RIGHT('GIA CONG ACRYLIC'!$C$8,LEN('GIA CONG ACRYLIC'!$C$8)-LEN("Khách hàng: "))&amp;" "&amp;'GIA CONG ACRYLIC'!$H$7</f>
        <v>KH0457D - Anh Giang Kle (Chinh) L3287</v>
      </c>
      <c r="D11" s="143" t="e">
        <f>'GIA CONG ACRYLIC'!$H$7&amp;"."&amp;'GIA CONG ACRYLIC'!#REF!&amp;"."&amp;IF(LEN('GIA CONG ACRYLIC'!#REF!)=1,"00"&amp;'GIA CONG ACRYLIC'!#REF!,IF(LEN('GIA CONG ACRYLIC'!#REF!)=2,"0"&amp;'GIA CONG ACRYLIC'!#REF!,'GIA CONG ACRYLIC'!#REF!))</f>
        <v>#REF!</v>
      </c>
      <c r="E11" s="143" t="e">
        <f>IF('GIA CONG ACRYLIC'!#REF!=0,"",'GIA CONG ACRYLIC'!#REF!)</f>
        <v>#REF!</v>
      </c>
      <c r="F11" s="143" t="e">
        <f>+'GIA CONG ACRYLIC'!#REF!</f>
        <v>#REF!</v>
      </c>
      <c r="G11" s="143" t="e">
        <f>+'GIA CONG ACRYLIC'!#REF!</f>
        <v>#REF!</v>
      </c>
      <c r="H11" s="143" t="e">
        <f>+'GIA CONG ACRYLIC'!#REF!</f>
        <v>#REF!</v>
      </c>
      <c r="I11" s="143">
        <v>19</v>
      </c>
      <c r="J11" s="143">
        <v>2</v>
      </c>
      <c r="K11" s="143" t="e">
        <f>+'GIA CONG ACRYLIC'!#REF!</f>
        <v>#REF!</v>
      </c>
      <c r="L11" s="145" t="str">
        <f t="shared" si="2"/>
        <v>T</v>
      </c>
      <c r="M11" s="145" t="e">
        <f>IF('GIA CONG ACRYLIC'!#REF!='GIA CONG ACRYLIC'!#REF!,"V","T")</f>
        <v>#REF!</v>
      </c>
      <c r="N11" s="145" t="str">
        <f t="shared" si="3"/>
        <v>T</v>
      </c>
      <c r="O11" s="145" t="e">
        <f>IF('GIA CONG ACRYLIC'!#REF!='GIA CONG ACRYLIC'!#REF!,"V","T")</f>
        <v>#REF!</v>
      </c>
      <c r="P11" s="143">
        <v>1.0000000000000001E-5</v>
      </c>
      <c r="Q11" s="143">
        <v>1.0000000000000001E-5</v>
      </c>
      <c r="R11" s="143">
        <v>1.0000000000000001E-5</v>
      </c>
      <c r="S11" s="143">
        <v>1.0000000000000001E-5</v>
      </c>
      <c r="T11" s="146" t="e">
        <f>'GIA CONG ACRYLIC'!#REF!</f>
        <v>#REF!</v>
      </c>
    </row>
    <row r="12" spans="1:36" s="147" customFormat="1" ht="31.5" x14ac:dyDescent="0.25">
      <c r="A12" s="143" t="str">
        <f t="shared" si="0"/>
        <v>V</v>
      </c>
      <c r="B12" s="143" t="str">
        <f t="shared" si="1"/>
        <v>ACRILYC</v>
      </c>
      <c r="C12" s="144" t="str">
        <f>RIGHT('GIA CONG ACRYLIC'!$C$8,LEN('GIA CONG ACRYLIC'!$C$8)-LEN("Khách hàng: "))&amp;" "&amp;'GIA CONG ACRYLIC'!$H$7</f>
        <v>KH0457D - Anh Giang Kle (Chinh) L3287</v>
      </c>
      <c r="D12" s="143" t="e">
        <f>'GIA CONG ACRYLIC'!$H$7&amp;"."&amp;'GIA CONG ACRYLIC'!#REF!&amp;"."&amp;IF(LEN('GIA CONG ACRYLIC'!#REF!)=1,"00"&amp;'GIA CONG ACRYLIC'!#REF!,IF(LEN('GIA CONG ACRYLIC'!#REF!)=2,"0"&amp;'GIA CONG ACRYLIC'!#REF!,'GIA CONG ACRYLIC'!#REF!))</f>
        <v>#REF!</v>
      </c>
      <c r="E12" s="143" t="e">
        <f>IF('GIA CONG ACRYLIC'!#REF!=0,"",'GIA CONG ACRYLIC'!#REF!)</f>
        <v>#REF!</v>
      </c>
      <c r="F12" s="143" t="e">
        <f>+'GIA CONG ACRYLIC'!#REF!</f>
        <v>#REF!</v>
      </c>
      <c r="G12" s="143" t="e">
        <f>+'GIA CONG ACRYLIC'!#REF!</f>
        <v>#REF!</v>
      </c>
      <c r="H12" s="143" t="e">
        <f>+'GIA CONG ACRYLIC'!#REF!</f>
        <v>#REF!</v>
      </c>
      <c r="I12" s="143">
        <v>19</v>
      </c>
      <c r="J12" s="143">
        <v>2</v>
      </c>
      <c r="K12" s="143" t="e">
        <f>+'GIA CONG ACRYLIC'!#REF!</f>
        <v>#REF!</v>
      </c>
      <c r="L12" s="145" t="str">
        <f t="shared" si="2"/>
        <v>T</v>
      </c>
      <c r="M12" s="145" t="e">
        <f>IF('GIA CONG ACRYLIC'!#REF!='GIA CONG ACRYLIC'!#REF!,"V","T")</f>
        <v>#REF!</v>
      </c>
      <c r="N12" s="145" t="str">
        <f t="shared" si="3"/>
        <v>T</v>
      </c>
      <c r="O12" s="145" t="e">
        <f>IF('GIA CONG ACRYLIC'!#REF!='GIA CONG ACRYLIC'!#REF!,"V","T")</f>
        <v>#REF!</v>
      </c>
      <c r="P12" s="143">
        <v>1.0000000000000001E-5</v>
      </c>
      <c r="Q12" s="143">
        <v>1.0000000000000001E-5</v>
      </c>
      <c r="R12" s="143">
        <v>1.0000000000000001E-5</v>
      </c>
      <c r="S12" s="143">
        <v>1.0000000000000001E-5</v>
      </c>
      <c r="T12" s="146" t="e">
        <f>'GIA CONG ACRYLIC'!#REF!</f>
        <v>#REF!</v>
      </c>
    </row>
    <row r="13" spans="1:36" s="147" customFormat="1" ht="31.5" x14ac:dyDescent="0.25">
      <c r="A13" s="143" t="str">
        <f t="shared" si="0"/>
        <v>V</v>
      </c>
      <c r="B13" s="143" t="str">
        <f t="shared" si="1"/>
        <v>ACRILYC</v>
      </c>
      <c r="C13" s="144" t="str">
        <f>RIGHT('GIA CONG ACRYLIC'!$C$8,LEN('GIA CONG ACRYLIC'!$C$8)-LEN("Khách hàng: "))&amp;" "&amp;'GIA CONG ACRYLIC'!$H$7</f>
        <v>KH0457D - Anh Giang Kle (Chinh) L3287</v>
      </c>
      <c r="D13" s="143" t="e">
        <f>'GIA CONG ACRYLIC'!$H$7&amp;"."&amp;'GIA CONG ACRYLIC'!#REF!&amp;"."&amp;IF(LEN('GIA CONG ACRYLIC'!#REF!)=1,"00"&amp;'GIA CONG ACRYLIC'!#REF!,IF(LEN('GIA CONG ACRYLIC'!#REF!)=2,"0"&amp;'GIA CONG ACRYLIC'!#REF!,'GIA CONG ACRYLIC'!#REF!))</f>
        <v>#REF!</v>
      </c>
      <c r="E13" s="143" t="e">
        <f>IF('GIA CONG ACRYLIC'!#REF!=0,"",'GIA CONG ACRYLIC'!#REF!)</f>
        <v>#REF!</v>
      </c>
      <c r="F13" s="143" t="e">
        <f>+'GIA CONG ACRYLIC'!#REF!</f>
        <v>#REF!</v>
      </c>
      <c r="G13" s="143" t="e">
        <f>+'GIA CONG ACRYLIC'!#REF!</f>
        <v>#REF!</v>
      </c>
      <c r="H13" s="143" t="e">
        <f>+'GIA CONG ACRYLIC'!#REF!</f>
        <v>#REF!</v>
      </c>
      <c r="I13" s="143">
        <v>19</v>
      </c>
      <c r="J13" s="143">
        <v>2</v>
      </c>
      <c r="K13" s="143" t="e">
        <f>+'GIA CONG ACRYLIC'!#REF!</f>
        <v>#REF!</v>
      </c>
      <c r="L13" s="145" t="str">
        <f t="shared" si="2"/>
        <v>T</v>
      </c>
      <c r="M13" s="145" t="e">
        <f>IF('GIA CONG ACRYLIC'!#REF!='GIA CONG ACRYLIC'!#REF!,"V","T")</f>
        <v>#REF!</v>
      </c>
      <c r="N13" s="145" t="str">
        <f t="shared" si="3"/>
        <v>T</v>
      </c>
      <c r="O13" s="145" t="e">
        <f>IF('GIA CONG ACRYLIC'!#REF!='GIA CONG ACRYLIC'!#REF!,"V","T")</f>
        <v>#REF!</v>
      </c>
      <c r="P13" s="143">
        <v>1.0000000000000001E-5</v>
      </c>
      <c r="Q13" s="143">
        <v>1.0000000000000001E-5</v>
      </c>
      <c r="R13" s="143">
        <v>1.0000000000000001E-5</v>
      </c>
      <c r="S13" s="143">
        <v>1.0000000000000001E-5</v>
      </c>
      <c r="T13" s="146" t="e">
        <f>'GIA CONG ACRYLIC'!#REF!</f>
        <v>#REF!</v>
      </c>
    </row>
    <row r="14" spans="1:36" s="147" customFormat="1" ht="31.5" x14ac:dyDescent="0.25">
      <c r="A14" s="143" t="str">
        <f t="shared" si="0"/>
        <v>V</v>
      </c>
      <c r="B14" s="143" t="str">
        <f t="shared" si="1"/>
        <v>ACRILYC</v>
      </c>
      <c r="C14" s="144" t="str">
        <f>RIGHT('GIA CONG ACRYLIC'!$C$8,LEN('GIA CONG ACRYLIC'!$C$8)-LEN("Khách hàng: "))&amp;" "&amp;'GIA CONG ACRYLIC'!$H$7</f>
        <v>KH0457D - Anh Giang Kle (Chinh) L3287</v>
      </c>
      <c r="D14" s="143" t="e">
        <f>'GIA CONG ACRYLIC'!$H$7&amp;"."&amp;'GIA CONG ACRYLIC'!#REF!&amp;"."&amp;IF(LEN('GIA CONG ACRYLIC'!#REF!)=1,"00"&amp;'GIA CONG ACRYLIC'!#REF!,IF(LEN('GIA CONG ACRYLIC'!#REF!)=2,"0"&amp;'GIA CONG ACRYLIC'!#REF!,'GIA CONG ACRYLIC'!#REF!))</f>
        <v>#REF!</v>
      </c>
      <c r="E14" s="143" t="e">
        <f>IF('GIA CONG ACRYLIC'!#REF!=0,"",'GIA CONG ACRYLIC'!#REF!)</f>
        <v>#REF!</v>
      </c>
      <c r="F14" s="143" t="e">
        <f>+'GIA CONG ACRYLIC'!#REF!</f>
        <v>#REF!</v>
      </c>
      <c r="G14" s="143" t="e">
        <f>+'GIA CONG ACRYLIC'!#REF!</f>
        <v>#REF!</v>
      </c>
      <c r="H14" s="143" t="e">
        <f>+'GIA CONG ACRYLIC'!#REF!</f>
        <v>#REF!</v>
      </c>
      <c r="I14" s="143">
        <v>19</v>
      </c>
      <c r="J14" s="143">
        <v>2</v>
      </c>
      <c r="K14" s="143" t="e">
        <f>+'GIA CONG ACRYLIC'!#REF!</f>
        <v>#REF!</v>
      </c>
      <c r="L14" s="145" t="str">
        <f t="shared" si="2"/>
        <v>T</v>
      </c>
      <c r="M14" s="145" t="e">
        <f>IF('GIA CONG ACRYLIC'!#REF!='GIA CONG ACRYLIC'!#REF!,"V","T")</f>
        <v>#REF!</v>
      </c>
      <c r="N14" s="145" t="str">
        <f t="shared" si="3"/>
        <v>T</v>
      </c>
      <c r="O14" s="145" t="e">
        <f>IF('GIA CONG ACRYLIC'!#REF!='GIA CONG ACRYLIC'!#REF!,"V","T")</f>
        <v>#REF!</v>
      </c>
      <c r="P14" s="143">
        <v>1.0000000000000001E-5</v>
      </c>
      <c r="Q14" s="143">
        <v>1.0000000000000001E-5</v>
      </c>
      <c r="R14" s="143">
        <v>1.0000000000000001E-5</v>
      </c>
      <c r="S14" s="143">
        <v>1.0000000000000001E-5</v>
      </c>
      <c r="T14" s="146" t="e">
        <f>'GIA CONG ACRYLIC'!#REF!</f>
        <v>#REF!</v>
      </c>
    </row>
    <row r="15" spans="1:36" s="147" customFormat="1" ht="31.5" x14ac:dyDescent="0.25">
      <c r="A15" s="143" t="str">
        <f t="shared" si="0"/>
        <v>V</v>
      </c>
      <c r="B15" s="143" t="str">
        <f t="shared" si="1"/>
        <v>ACRILYC</v>
      </c>
      <c r="C15" s="144" t="str">
        <f>RIGHT('GIA CONG ACRYLIC'!$C$8,LEN('GIA CONG ACRYLIC'!$C$8)-LEN("Khách hàng: "))&amp;" "&amp;'GIA CONG ACRYLIC'!$H$7</f>
        <v>KH0457D - Anh Giang Kle (Chinh) L3287</v>
      </c>
      <c r="D15" s="143" t="e">
        <f>'GIA CONG ACRYLIC'!$H$7&amp;"."&amp;'GIA CONG ACRYLIC'!#REF!&amp;"."&amp;IF(LEN('GIA CONG ACRYLIC'!#REF!)=1,"00"&amp;'GIA CONG ACRYLIC'!#REF!,IF(LEN('GIA CONG ACRYLIC'!#REF!)=2,"0"&amp;'GIA CONG ACRYLIC'!#REF!,'GIA CONG ACRYLIC'!#REF!))</f>
        <v>#REF!</v>
      </c>
      <c r="E15" s="143" t="e">
        <f>IF('GIA CONG ACRYLIC'!#REF!=0,"",'GIA CONG ACRYLIC'!#REF!)</f>
        <v>#REF!</v>
      </c>
      <c r="F15" s="143" t="e">
        <f>+'GIA CONG ACRYLIC'!#REF!</f>
        <v>#REF!</v>
      </c>
      <c r="G15" s="143" t="e">
        <f>+'GIA CONG ACRYLIC'!#REF!</f>
        <v>#REF!</v>
      </c>
      <c r="H15" s="143" t="e">
        <f>+'GIA CONG ACRYLIC'!#REF!</f>
        <v>#REF!</v>
      </c>
      <c r="I15" s="143">
        <v>19</v>
      </c>
      <c r="J15" s="143">
        <v>2</v>
      </c>
      <c r="K15" s="143" t="e">
        <f>+'GIA CONG ACRYLIC'!#REF!</f>
        <v>#REF!</v>
      </c>
      <c r="L15" s="145" t="str">
        <f t="shared" si="2"/>
        <v>T</v>
      </c>
      <c r="M15" s="145" t="e">
        <f>IF('GIA CONG ACRYLIC'!#REF!='GIA CONG ACRYLIC'!#REF!,"V","T")</f>
        <v>#REF!</v>
      </c>
      <c r="N15" s="145" t="str">
        <f t="shared" si="3"/>
        <v>T</v>
      </c>
      <c r="O15" s="145" t="e">
        <f>IF('GIA CONG ACRYLIC'!#REF!='GIA CONG ACRYLIC'!#REF!,"V","T")</f>
        <v>#REF!</v>
      </c>
      <c r="P15" s="143">
        <v>1.0000000000000001E-5</v>
      </c>
      <c r="Q15" s="143">
        <v>1.0000000000000001E-5</v>
      </c>
      <c r="R15" s="143">
        <v>1.0000000000000001E-5</v>
      </c>
      <c r="S15" s="143">
        <v>1.0000000000000001E-5</v>
      </c>
      <c r="T15" s="146" t="e">
        <f>'GIA CONG ACRYLIC'!#REF!</f>
        <v>#REF!</v>
      </c>
    </row>
    <row r="16" spans="1:36" s="147" customFormat="1" ht="31.5" x14ac:dyDescent="0.25">
      <c r="A16" s="143" t="str">
        <f t="shared" si="0"/>
        <v>V</v>
      </c>
      <c r="B16" s="143" t="str">
        <f t="shared" si="1"/>
        <v>ACRILYC</v>
      </c>
      <c r="C16" s="144" t="str">
        <f>RIGHT('GIA CONG ACRYLIC'!$C$8,LEN('GIA CONG ACRYLIC'!$C$8)-LEN("Khách hàng: "))&amp;" "&amp;'GIA CONG ACRYLIC'!$H$7</f>
        <v>KH0457D - Anh Giang Kle (Chinh) L3287</v>
      </c>
      <c r="D16" s="143" t="e">
        <f>'GIA CONG ACRYLIC'!$H$7&amp;"."&amp;'GIA CONG ACRYLIC'!#REF!&amp;"."&amp;IF(LEN('GIA CONG ACRYLIC'!#REF!)=1,"00"&amp;'GIA CONG ACRYLIC'!#REF!,IF(LEN('GIA CONG ACRYLIC'!#REF!)=2,"0"&amp;'GIA CONG ACRYLIC'!#REF!,'GIA CONG ACRYLIC'!#REF!))</f>
        <v>#REF!</v>
      </c>
      <c r="E16" s="143" t="e">
        <f>IF('GIA CONG ACRYLIC'!#REF!=0,"",'GIA CONG ACRYLIC'!#REF!)</f>
        <v>#REF!</v>
      </c>
      <c r="F16" s="143" t="e">
        <f>+'GIA CONG ACRYLIC'!#REF!</f>
        <v>#REF!</v>
      </c>
      <c r="G16" s="143" t="e">
        <f>+'GIA CONG ACRYLIC'!#REF!</f>
        <v>#REF!</v>
      </c>
      <c r="H16" s="143" t="e">
        <f>+'GIA CONG ACRYLIC'!#REF!</f>
        <v>#REF!</v>
      </c>
      <c r="I16" s="143">
        <v>19</v>
      </c>
      <c r="J16" s="143">
        <v>2</v>
      </c>
      <c r="K16" s="143" t="e">
        <f>+'GIA CONG ACRYLIC'!#REF!</f>
        <v>#REF!</v>
      </c>
      <c r="L16" s="145" t="str">
        <f t="shared" si="2"/>
        <v>T</v>
      </c>
      <c r="M16" s="145" t="e">
        <f>IF('GIA CONG ACRYLIC'!#REF!='GIA CONG ACRYLIC'!#REF!,"V","T")</f>
        <v>#REF!</v>
      </c>
      <c r="N16" s="145" t="str">
        <f t="shared" si="3"/>
        <v>T</v>
      </c>
      <c r="O16" s="145" t="e">
        <f>IF('GIA CONG ACRYLIC'!#REF!='GIA CONG ACRYLIC'!#REF!,"V","T")</f>
        <v>#REF!</v>
      </c>
      <c r="P16" s="143">
        <v>1.0000000000000001E-5</v>
      </c>
      <c r="Q16" s="143">
        <v>1.0000000000000001E-5</v>
      </c>
      <c r="R16" s="143">
        <v>1.0000000000000001E-5</v>
      </c>
      <c r="S16" s="143">
        <v>1.0000000000000001E-5</v>
      </c>
      <c r="T16" s="146" t="e">
        <f>'GIA CONG ACRYLIC'!#REF!</f>
        <v>#REF!</v>
      </c>
    </row>
    <row r="17" spans="1:30" s="147" customFormat="1" ht="31.5" x14ac:dyDescent="0.25">
      <c r="A17" s="143" t="str">
        <f t="shared" si="0"/>
        <v>V</v>
      </c>
      <c r="B17" s="143" t="str">
        <f t="shared" si="1"/>
        <v>ACRILYC</v>
      </c>
      <c r="C17" s="144" t="str">
        <f>RIGHT('GIA CONG ACRYLIC'!$C$8,LEN('GIA CONG ACRYLIC'!$C$8)-LEN("Khách hàng: "))&amp;" "&amp;'GIA CONG ACRYLIC'!$H$7</f>
        <v>KH0457D - Anh Giang Kle (Chinh) L3287</v>
      </c>
      <c r="D17" s="143" t="e">
        <f>'GIA CONG ACRYLIC'!$H$7&amp;"."&amp;'GIA CONG ACRYLIC'!#REF!&amp;"."&amp;IF(LEN('GIA CONG ACRYLIC'!#REF!)=1,"00"&amp;'GIA CONG ACRYLIC'!#REF!,IF(LEN('GIA CONG ACRYLIC'!#REF!)=2,"0"&amp;'GIA CONG ACRYLIC'!#REF!,'GIA CONG ACRYLIC'!#REF!))</f>
        <v>#REF!</v>
      </c>
      <c r="E17" s="143" t="e">
        <f>IF('GIA CONG ACRYLIC'!#REF!=0,"",'GIA CONG ACRYLIC'!#REF!)</f>
        <v>#REF!</v>
      </c>
      <c r="F17" s="143" t="e">
        <f>+'GIA CONG ACRYLIC'!#REF!</f>
        <v>#REF!</v>
      </c>
      <c r="G17" s="143" t="e">
        <f>+'GIA CONG ACRYLIC'!#REF!</f>
        <v>#REF!</v>
      </c>
      <c r="H17" s="143" t="e">
        <f>+'GIA CONG ACRYLIC'!#REF!</f>
        <v>#REF!</v>
      </c>
      <c r="I17" s="143">
        <v>19</v>
      </c>
      <c r="J17" s="143">
        <v>2</v>
      </c>
      <c r="K17" s="143" t="e">
        <f>+'GIA CONG ACRYLIC'!#REF!</f>
        <v>#REF!</v>
      </c>
      <c r="L17" s="145" t="str">
        <f t="shared" si="2"/>
        <v>T</v>
      </c>
      <c r="M17" s="145" t="e">
        <f>IF('GIA CONG ACRYLIC'!#REF!='GIA CONG ACRYLIC'!#REF!,"V","T")</f>
        <v>#REF!</v>
      </c>
      <c r="N17" s="145" t="str">
        <f t="shared" si="3"/>
        <v>T</v>
      </c>
      <c r="O17" s="145" t="e">
        <f>IF('GIA CONG ACRYLIC'!#REF!='GIA CONG ACRYLIC'!#REF!,"V","T")</f>
        <v>#REF!</v>
      </c>
      <c r="P17" s="143">
        <v>1.0000000000000001E-5</v>
      </c>
      <c r="Q17" s="143">
        <v>1.0000000000000001E-5</v>
      </c>
      <c r="R17" s="143">
        <v>1.0000000000000001E-5</v>
      </c>
      <c r="S17" s="143">
        <v>1.0000000000000001E-5</v>
      </c>
      <c r="T17" s="146" t="e">
        <f>'GIA CONG ACRYLIC'!#REF!</f>
        <v>#REF!</v>
      </c>
    </row>
    <row r="18" spans="1:30" s="147" customFormat="1" ht="31.5" x14ac:dyDescent="0.25">
      <c r="A18" s="143" t="str">
        <f t="shared" si="0"/>
        <v>V</v>
      </c>
      <c r="B18" s="143" t="str">
        <f t="shared" si="1"/>
        <v>ACRILYC</v>
      </c>
      <c r="C18" s="144" t="str">
        <f>RIGHT('GIA CONG ACRYLIC'!$C$8,LEN('GIA CONG ACRYLIC'!$C$8)-LEN("Khách hàng: "))&amp;" "&amp;'GIA CONG ACRYLIC'!$H$7</f>
        <v>KH0457D - Anh Giang Kle (Chinh) L3287</v>
      </c>
      <c r="D18" s="143" t="e">
        <f>'GIA CONG ACRYLIC'!$H$7&amp;"."&amp;'GIA CONG ACRYLIC'!#REF!&amp;"."&amp;IF(LEN('GIA CONG ACRYLIC'!#REF!)=1,"00"&amp;'GIA CONG ACRYLIC'!#REF!,IF(LEN('GIA CONG ACRYLIC'!#REF!)=2,"0"&amp;'GIA CONG ACRYLIC'!#REF!,'GIA CONG ACRYLIC'!#REF!))</f>
        <v>#REF!</v>
      </c>
      <c r="E18" s="143" t="e">
        <f>IF('GIA CONG ACRYLIC'!#REF!=0,"",'GIA CONG ACRYLIC'!#REF!)</f>
        <v>#REF!</v>
      </c>
      <c r="F18" s="143" t="e">
        <f>+'GIA CONG ACRYLIC'!#REF!</f>
        <v>#REF!</v>
      </c>
      <c r="G18" s="143" t="e">
        <f>+'GIA CONG ACRYLIC'!#REF!</f>
        <v>#REF!</v>
      </c>
      <c r="H18" s="143" t="e">
        <f>+'GIA CONG ACRYLIC'!#REF!</f>
        <v>#REF!</v>
      </c>
      <c r="I18" s="143">
        <v>19</v>
      </c>
      <c r="J18" s="143">
        <v>2</v>
      </c>
      <c r="K18" s="143" t="e">
        <f>+'GIA CONG ACRYLIC'!#REF!</f>
        <v>#REF!</v>
      </c>
      <c r="L18" s="145" t="str">
        <f t="shared" si="2"/>
        <v>T</v>
      </c>
      <c r="M18" s="145" t="e">
        <f>IF('GIA CONG ACRYLIC'!#REF!='GIA CONG ACRYLIC'!#REF!,"V","T")</f>
        <v>#REF!</v>
      </c>
      <c r="N18" s="145" t="str">
        <f t="shared" si="3"/>
        <v>T</v>
      </c>
      <c r="O18" s="145" t="e">
        <f>IF('GIA CONG ACRYLIC'!#REF!='GIA CONG ACRYLIC'!#REF!,"V","T")</f>
        <v>#REF!</v>
      </c>
      <c r="P18" s="143">
        <v>1.0000000000000001E-5</v>
      </c>
      <c r="Q18" s="143">
        <v>1.0000000000000001E-5</v>
      </c>
      <c r="R18" s="143">
        <v>1.0000000000000001E-5</v>
      </c>
      <c r="S18" s="143">
        <v>1.0000000000000001E-5</v>
      </c>
      <c r="T18" s="146" t="e">
        <f>'GIA CONG ACRYLIC'!#REF!</f>
        <v>#REF!</v>
      </c>
    </row>
    <row r="19" spans="1:30" s="147" customFormat="1" ht="31.5" x14ac:dyDescent="0.25">
      <c r="A19" s="143" t="str">
        <f t="shared" si="0"/>
        <v>V</v>
      </c>
      <c r="B19" s="143" t="str">
        <f t="shared" si="1"/>
        <v>ACRILYC</v>
      </c>
      <c r="C19" s="144" t="str">
        <f>RIGHT('GIA CONG ACRYLIC'!$C$8,LEN('GIA CONG ACRYLIC'!$C$8)-LEN("Khách hàng: "))&amp;" "&amp;'GIA CONG ACRYLIC'!$H$7</f>
        <v>KH0457D - Anh Giang Kle (Chinh) L3287</v>
      </c>
      <c r="D19" s="143" t="e">
        <f>'GIA CONG ACRYLIC'!$H$7&amp;"."&amp;'GIA CONG ACRYLIC'!#REF!&amp;"."&amp;IF(LEN('GIA CONG ACRYLIC'!#REF!)=1,"00"&amp;'GIA CONG ACRYLIC'!#REF!,IF(LEN('GIA CONG ACRYLIC'!#REF!)=2,"0"&amp;'GIA CONG ACRYLIC'!#REF!,'GIA CONG ACRYLIC'!#REF!))</f>
        <v>#REF!</v>
      </c>
      <c r="E19" s="143" t="e">
        <f>IF('GIA CONG ACRYLIC'!#REF!=0,"",'GIA CONG ACRYLIC'!#REF!)</f>
        <v>#REF!</v>
      </c>
      <c r="F19" s="143" t="e">
        <f>+'GIA CONG ACRYLIC'!#REF!</f>
        <v>#REF!</v>
      </c>
      <c r="G19" s="143" t="e">
        <f>+'GIA CONG ACRYLIC'!#REF!</f>
        <v>#REF!</v>
      </c>
      <c r="H19" s="143" t="e">
        <f>+'GIA CONG ACRYLIC'!#REF!</f>
        <v>#REF!</v>
      </c>
      <c r="I19" s="143">
        <v>19</v>
      </c>
      <c r="J19" s="143">
        <v>2</v>
      </c>
      <c r="K19" s="143" t="e">
        <f>+'GIA CONG ACRYLIC'!#REF!</f>
        <v>#REF!</v>
      </c>
      <c r="L19" s="145" t="str">
        <f t="shared" si="2"/>
        <v>T</v>
      </c>
      <c r="M19" s="145" t="e">
        <f>IF('GIA CONG ACRYLIC'!#REF!='GIA CONG ACRYLIC'!#REF!,"V","T")</f>
        <v>#REF!</v>
      </c>
      <c r="N19" s="145" t="str">
        <f t="shared" si="3"/>
        <v>T</v>
      </c>
      <c r="O19" s="145" t="e">
        <f>IF('GIA CONG ACRYLIC'!#REF!='GIA CONG ACRYLIC'!#REF!,"V","T")</f>
        <v>#REF!</v>
      </c>
      <c r="P19" s="143">
        <v>1.0000000000000001E-5</v>
      </c>
      <c r="Q19" s="143">
        <v>1.0000000000000001E-5</v>
      </c>
      <c r="R19" s="143">
        <v>1.0000000000000001E-5</v>
      </c>
      <c r="S19" s="143">
        <v>1.0000000000000001E-5</v>
      </c>
      <c r="T19" s="146" t="e">
        <f>'GIA CONG ACRYLIC'!#REF!</f>
        <v>#REF!</v>
      </c>
    </row>
    <row r="20" spans="1:30" s="147" customFormat="1" ht="31.5" x14ac:dyDescent="0.25">
      <c r="A20" s="143" t="str">
        <f t="shared" si="0"/>
        <v>V</v>
      </c>
      <c r="B20" s="143" t="str">
        <f t="shared" si="1"/>
        <v>ACRILYC</v>
      </c>
      <c r="C20" s="144" t="str">
        <f>RIGHT('GIA CONG ACRYLIC'!$C$8,LEN('GIA CONG ACRYLIC'!$C$8)-LEN("Khách hàng: "))&amp;" "&amp;'GIA CONG ACRYLIC'!$H$7</f>
        <v>KH0457D - Anh Giang Kle (Chinh) L3287</v>
      </c>
      <c r="D20" s="143" t="e">
        <f>'GIA CONG ACRYLIC'!$H$7&amp;"."&amp;'GIA CONG ACRYLIC'!#REF!&amp;"."&amp;IF(LEN('GIA CONG ACRYLIC'!#REF!)=1,"00"&amp;'GIA CONG ACRYLIC'!#REF!,IF(LEN('GIA CONG ACRYLIC'!#REF!)=2,"0"&amp;'GIA CONG ACRYLIC'!#REF!,'GIA CONG ACRYLIC'!#REF!))</f>
        <v>#REF!</v>
      </c>
      <c r="E20" s="143" t="e">
        <f>IF('GIA CONG ACRYLIC'!#REF!=0,"",'GIA CONG ACRYLIC'!#REF!)</f>
        <v>#REF!</v>
      </c>
      <c r="F20" s="143" t="e">
        <f>+'GIA CONG ACRYLIC'!#REF!</f>
        <v>#REF!</v>
      </c>
      <c r="G20" s="143" t="e">
        <f>+'GIA CONG ACRYLIC'!#REF!</f>
        <v>#REF!</v>
      </c>
      <c r="H20" s="143" t="e">
        <f>+'GIA CONG ACRYLIC'!#REF!</f>
        <v>#REF!</v>
      </c>
      <c r="I20" s="143">
        <v>19</v>
      </c>
      <c r="J20" s="143">
        <v>2</v>
      </c>
      <c r="K20" s="143" t="e">
        <f>+'GIA CONG ACRYLIC'!#REF!</f>
        <v>#REF!</v>
      </c>
      <c r="L20" s="145" t="str">
        <f t="shared" si="2"/>
        <v>T</v>
      </c>
      <c r="M20" s="145" t="e">
        <f>IF('GIA CONG ACRYLIC'!#REF!='GIA CONG ACRYLIC'!#REF!,"V","T")</f>
        <v>#REF!</v>
      </c>
      <c r="N20" s="145" t="str">
        <f t="shared" si="3"/>
        <v>T</v>
      </c>
      <c r="O20" s="145" t="e">
        <f>IF('GIA CONG ACRYLIC'!#REF!='GIA CONG ACRYLIC'!#REF!,"V","T")</f>
        <v>#REF!</v>
      </c>
      <c r="P20" s="143">
        <v>1.0000000000000001E-5</v>
      </c>
      <c r="Q20" s="143">
        <v>1.0000000000000001E-5</v>
      </c>
      <c r="R20" s="143">
        <v>1.0000000000000001E-5</v>
      </c>
      <c r="S20" s="143">
        <v>1.0000000000000001E-5</v>
      </c>
      <c r="T20" s="146" t="e">
        <f>'GIA CONG ACRYLIC'!#REF!</f>
        <v>#REF!</v>
      </c>
    </row>
    <row r="21" spans="1:30" s="147" customFormat="1" ht="31.5" x14ac:dyDescent="0.25">
      <c r="A21" s="143" t="str">
        <f t="shared" si="0"/>
        <v>V</v>
      </c>
      <c r="B21" s="143" t="str">
        <f t="shared" si="1"/>
        <v>ACRILYC</v>
      </c>
      <c r="C21" s="144" t="str">
        <f>RIGHT('GIA CONG ACRYLIC'!$C$8,LEN('GIA CONG ACRYLIC'!$C$8)-LEN("Khách hàng: "))&amp;" "&amp;'GIA CONG ACRYLIC'!$H$7</f>
        <v>KH0457D - Anh Giang Kle (Chinh) L3287</v>
      </c>
      <c r="D21" s="143" t="e">
        <f>'GIA CONG ACRYLIC'!$H$7&amp;"."&amp;'GIA CONG ACRYLIC'!#REF!&amp;"."&amp;IF(LEN('GIA CONG ACRYLIC'!#REF!)=1,"00"&amp;'GIA CONG ACRYLIC'!#REF!,IF(LEN('GIA CONG ACRYLIC'!#REF!)=2,"0"&amp;'GIA CONG ACRYLIC'!#REF!,'GIA CONG ACRYLIC'!#REF!))</f>
        <v>#REF!</v>
      </c>
      <c r="E21" s="143" t="e">
        <f>IF('GIA CONG ACRYLIC'!#REF!=0,"",'GIA CONG ACRYLIC'!#REF!)</f>
        <v>#REF!</v>
      </c>
      <c r="F21" s="143" t="e">
        <f>+'GIA CONG ACRYLIC'!#REF!</f>
        <v>#REF!</v>
      </c>
      <c r="G21" s="143" t="e">
        <f>+'GIA CONG ACRYLIC'!#REF!</f>
        <v>#REF!</v>
      </c>
      <c r="H21" s="143" t="e">
        <f>+'GIA CONG ACRYLIC'!#REF!</f>
        <v>#REF!</v>
      </c>
      <c r="I21" s="143">
        <v>19</v>
      </c>
      <c r="J21" s="143">
        <v>2</v>
      </c>
      <c r="K21" s="143" t="e">
        <f>+'GIA CONG ACRYLIC'!#REF!</f>
        <v>#REF!</v>
      </c>
      <c r="L21" s="145" t="str">
        <f t="shared" si="2"/>
        <v>T</v>
      </c>
      <c r="M21" s="145" t="e">
        <f>IF('GIA CONG ACRYLIC'!#REF!='GIA CONG ACRYLIC'!#REF!,"V","T")</f>
        <v>#REF!</v>
      </c>
      <c r="N21" s="145" t="str">
        <f t="shared" si="3"/>
        <v>T</v>
      </c>
      <c r="O21" s="145" t="e">
        <f>IF('GIA CONG ACRYLIC'!#REF!='GIA CONG ACRYLIC'!#REF!,"V","T")</f>
        <v>#REF!</v>
      </c>
      <c r="P21" s="143">
        <v>1.0000000000000001E-5</v>
      </c>
      <c r="Q21" s="143">
        <v>1.0000000000000001E-5</v>
      </c>
      <c r="R21" s="143">
        <v>1.0000000000000001E-5</v>
      </c>
      <c r="S21" s="143">
        <v>1.0000000000000001E-5</v>
      </c>
      <c r="T21" s="146" t="e">
        <f>'GIA CONG ACRYLIC'!#REF!</f>
        <v>#REF!</v>
      </c>
    </row>
    <row r="22" spans="1:30" s="147" customFormat="1" ht="31.5" x14ac:dyDescent="0.25">
      <c r="A22" s="143" t="str">
        <f t="shared" si="0"/>
        <v>V</v>
      </c>
      <c r="B22" s="143" t="str">
        <f t="shared" si="1"/>
        <v>ACRILYC</v>
      </c>
      <c r="C22" s="144" t="str">
        <f>RIGHT('GIA CONG ACRYLIC'!$C$8,LEN('GIA CONG ACRYLIC'!$C$8)-LEN("Khách hàng: "))&amp;" "&amp;'GIA CONG ACRYLIC'!$H$7</f>
        <v>KH0457D - Anh Giang Kle (Chinh) L3287</v>
      </c>
      <c r="D22" s="143" t="e">
        <f>'GIA CONG ACRYLIC'!$H$7&amp;"."&amp;'GIA CONG ACRYLIC'!#REF!&amp;"."&amp;IF(LEN('GIA CONG ACRYLIC'!#REF!)=1,"00"&amp;'GIA CONG ACRYLIC'!#REF!,IF(LEN('GIA CONG ACRYLIC'!#REF!)=2,"0"&amp;'GIA CONG ACRYLIC'!#REF!,'GIA CONG ACRYLIC'!#REF!))</f>
        <v>#REF!</v>
      </c>
      <c r="E22" s="143" t="e">
        <f>IF('GIA CONG ACRYLIC'!#REF!=0,"",'GIA CONG ACRYLIC'!#REF!)</f>
        <v>#REF!</v>
      </c>
      <c r="F22" s="143" t="e">
        <f>+'GIA CONG ACRYLIC'!#REF!</f>
        <v>#REF!</v>
      </c>
      <c r="G22" s="143" t="e">
        <f>+'GIA CONG ACRYLIC'!#REF!</f>
        <v>#REF!</v>
      </c>
      <c r="H22" s="143" t="e">
        <f>+'GIA CONG ACRYLIC'!#REF!</f>
        <v>#REF!</v>
      </c>
      <c r="I22" s="143">
        <v>19</v>
      </c>
      <c r="J22" s="143">
        <v>2</v>
      </c>
      <c r="K22" s="143" t="e">
        <f>+'GIA CONG ACRYLIC'!#REF!</f>
        <v>#REF!</v>
      </c>
      <c r="L22" s="145" t="str">
        <f t="shared" si="2"/>
        <v>T</v>
      </c>
      <c r="M22" s="145" t="e">
        <f>IF('GIA CONG ACRYLIC'!#REF!='GIA CONG ACRYLIC'!#REF!,"V","T")</f>
        <v>#REF!</v>
      </c>
      <c r="N22" s="145" t="str">
        <f t="shared" si="3"/>
        <v>T</v>
      </c>
      <c r="O22" s="145" t="e">
        <f>IF('GIA CONG ACRYLIC'!#REF!='GIA CONG ACRYLIC'!#REF!,"V","T")</f>
        <v>#REF!</v>
      </c>
      <c r="P22" s="143">
        <v>1.0000000000000001E-5</v>
      </c>
      <c r="Q22" s="143">
        <v>1.0000000000000001E-5</v>
      </c>
      <c r="R22" s="143">
        <v>1.0000000000000001E-5</v>
      </c>
      <c r="S22" s="143">
        <v>1.0000000000000001E-5</v>
      </c>
      <c r="T22" s="146" t="e">
        <f>'GIA CONG ACRYLIC'!#REF!</f>
        <v>#REF!</v>
      </c>
    </row>
    <row r="23" spans="1:30" s="147" customFormat="1" ht="31.5" x14ac:dyDescent="0.25">
      <c r="A23" s="143" t="str">
        <f t="shared" si="0"/>
        <v>V</v>
      </c>
      <c r="B23" s="143" t="str">
        <f t="shared" si="1"/>
        <v>ACRILYC</v>
      </c>
      <c r="C23" s="144" t="str">
        <f>RIGHT('GIA CONG ACRYLIC'!$C$8,LEN('GIA CONG ACRYLIC'!$C$8)-LEN("Khách hàng: "))&amp;" "&amp;'GIA CONG ACRYLIC'!$H$7</f>
        <v>KH0457D - Anh Giang Kle (Chinh) L3287</v>
      </c>
      <c r="D23" s="143" t="e">
        <f>'GIA CONG ACRYLIC'!$H$7&amp;"."&amp;'GIA CONG ACRYLIC'!#REF!&amp;"."&amp;IF(LEN('GIA CONG ACRYLIC'!#REF!)=1,"00"&amp;'GIA CONG ACRYLIC'!#REF!,IF(LEN('GIA CONG ACRYLIC'!#REF!)=2,"0"&amp;'GIA CONG ACRYLIC'!#REF!,'GIA CONG ACRYLIC'!#REF!))</f>
        <v>#REF!</v>
      </c>
      <c r="E23" s="143" t="e">
        <f>IF('GIA CONG ACRYLIC'!#REF!=0,"",'GIA CONG ACRYLIC'!#REF!)</f>
        <v>#REF!</v>
      </c>
      <c r="F23" s="143" t="e">
        <f>+'GIA CONG ACRYLIC'!#REF!</f>
        <v>#REF!</v>
      </c>
      <c r="G23" s="143" t="e">
        <f>+'GIA CONG ACRYLIC'!#REF!</f>
        <v>#REF!</v>
      </c>
      <c r="H23" s="143" t="e">
        <f>+'GIA CONG ACRYLIC'!#REF!</f>
        <v>#REF!</v>
      </c>
      <c r="I23" s="143">
        <v>19</v>
      </c>
      <c r="J23" s="143">
        <v>2</v>
      </c>
      <c r="K23" s="143" t="e">
        <f>+'GIA CONG ACRYLIC'!#REF!</f>
        <v>#REF!</v>
      </c>
      <c r="L23" s="145" t="str">
        <f t="shared" si="2"/>
        <v>T</v>
      </c>
      <c r="M23" s="145" t="e">
        <f>IF('GIA CONG ACRYLIC'!#REF!='GIA CONG ACRYLIC'!#REF!,"V","T")</f>
        <v>#REF!</v>
      </c>
      <c r="N23" s="145" t="str">
        <f t="shared" si="3"/>
        <v>T</v>
      </c>
      <c r="O23" s="145" t="e">
        <f>IF('GIA CONG ACRYLIC'!#REF!='GIA CONG ACRYLIC'!#REF!,"V","T")</f>
        <v>#REF!</v>
      </c>
      <c r="P23" s="143">
        <v>1.0000000000000001E-5</v>
      </c>
      <c r="Q23" s="143">
        <v>1.0000000000000001E-5</v>
      </c>
      <c r="R23" s="143">
        <v>1.0000000000000001E-5</v>
      </c>
      <c r="S23" s="143">
        <v>1.0000000000000001E-5</v>
      </c>
      <c r="T23" s="146" t="e">
        <f>'GIA CONG ACRYLIC'!#REF!</f>
        <v>#REF!</v>
      </c>
    </row>
    <row r="24" spans="1:30" s="147" customFormat="1" ht="31.5" x14ac:dyDescent="0.25">
      <c r="A24" s="143" t="str">
        <f t="shared" si="0"/>
        <v>V</v>
      </c>
      <c r="B24" s="143" t="str">
        <f t="shared" si="1"/>
        <v>ACRILYC</v>
      </c>
      <c r="C24" s="144" t="str">
        <f>RIGHT('GIA CONG ACRYLIC'!$C$8,LEN('GIA CONG ACRYLIC'!$C$8)-LEN("Khách hàng: "))&amp;" "&amp;'GIA CONG ACRYLIC'!$H$7</f>
        <v>KH0457D - Anh Giang Kle (Chinh) L3287</v>
      </c>
      <c r="D24" s="143" t="e">
        <f>'GIA CONG ACRYLIC'!$H$7&amp;"."&amp;'GIA CONG ACRYLIC'!#REF!&amp;"."&amp;IF(LEN('GIA CONG ACRYLIC'!#REF!)=1,"00"&amp;'GIA CONG ACRYLIC'!#REF!,IF(LEN('GIA CONG ACRYLIC'!#REF!)=2,"0"&amp;'GIA CONG ACRYLIC'!#REF!,'GIA CONG ACRYLIC'!#REF!))</f>
        <v>#REF!</v>
      </c>
      <c r="E24" s="143" t="e">
        <f>IF('GIA CONG ACRYLIC'!#REF!=0,"",'GIA CONG ACRYLIC'!#REF!)</f>
        <v>#REF!</v>
      </c>
      <c r="F24" s="143" t="e">
        <f>+'GIA CONG ACRYLIC'!#REF!</f>
        <v>#REF!</v>
      </c>
      <c r="G24" s="143" t="e">
        <f>+'GIA CONG ACRYLIC'!#REF!</f>
        <v>#REF!</v>
      </c>
      <c r="H24" s="143" t="e">
        <f>+'GIA CONG ACRYLIC'!#REF!</f>
        <v>#REF!</v>
      </c>
      <c r="I24" s="143">
        <v>19</v>
      </c>
      <c r="J24" s="143">
        <v>2</v>
      </c>
      <c r="K24" s="143" t="e">
        <f>+'GIA CONG ACRYLIC'!#REF!</f>
        <v>#REF!</v>
      </c>
      <c r="L24" s="145" t="str">
        <f t="shared" si="2"/>
        <v>T</v>
      </c>
      <c r="M24" s="145" t="e">
        <f>IF('GIA CONG ACRYLIC'!#REF!='GIA CONG ACRYLIC'!#REF!,"V","T")</f>
        <v>#REF!</v>
      </c>
      <c r="N24" s="145" t="str">
        <f t="shared" si="3"/>
        <v>T</v>
      </c>
      <c r="O24" s="145" t="e">
        <f>IF('GIA CONG ACRYLIC'!#REF!='GIA CONG ACRYLIC'!#REF!,"V","T")</f>
        <v>#REF!</v>
      </c>
      <c r="P24" s="143">
        <v>1.0000000000000001E-5</v>
      </c>
      <c r="Q24" s="143">
        <v>1.0000000000000001E-5</v>
      </c>
      <c r="R24" s="143">
        <v>1.0000000000000001E-5</v>
      </c>
      <c r="S24" s="143">
        <v>1.0000000000000001E-5</v>
      </c>
      <c r="T24" s="146" t="e">
        <f>'GIA CONG ACRYLIC'!#REF!</f>
        <v>#REF!</v>
      </c>
    </row>
    <row r="25" spans="1:30" s="147" customFormat="1" ht="31.5" x14ac:dyDescent="0.25">
      <c r="A25" s="143" t="str">
        <f t="shared" si="0"/>
        <v>V</v>
      </c>
      <c r="B25" s="143" t="str">
        <f t="shared" si="1"/>
        <v>ACRILYC</v>
      </c>
      <c r="C25" s="144" t="str">
        <f>RIGHT('GIA CONG ACRYLIC'!$C$8,LEN('GIA CONG ACRYLIC'!$C$8)-LEN("Khách hàng: "))&amp;" "&amp;'GIA CONG ACRYLIC'!$H$7</f>
        <v>KH0457D - Anh Giang Kle (Chinh) L3287</v>
      </c>
      <c r="D25" s="143" t="e">
        <f>'GIA CONG ACRYLIC'!$H$7&amp;"."&amp;'GIA CONG ACRYLIC'!#REF!&amp;"."&amp;IF(LEN('GIA CONG ACRYLIC'!#REF!)=1,"00"&amp;'GIA CONG ACRYLIC'!#REF!,IF(LEN('GIA CONG ACRYLIC'!#REF!)=2,"0"&amp;'GIA CONG ACRYLIC'!#REF!,'GIA CONG ACRYLIC'!#REF!))</f>
        <v>#REF!</v>
      </c>
      <c r="E25" s="143" t="e">
        <f>IF('GIA CONG ACRYLIC'!#REF!=0,"",'GIA CONG ACRYLIC'!#REF!)</f>
        <v>#REF!</v>
      </c>
      <c r="F25" s="143" t="e">
        <f>+'GIA CONG ACRYLIC'!#REF!</f>
        <v>#REF!</v>
      </c>
      <c r="G25" s="143" t="e">
        <f>+'GIA CONG ACRYLIC'!#REF!</f>
        <v>#REF!</v>
      </c>
      <c r="H25" s="143" t="e">
        <f>+'GIA CONG ACRYLIC'!#REF!</f>
        <v>#REF!</v>
      </c>
      <c r="I25" s="143">
        <v>19</v>
      </c>
      <c r="J25" s="143">
        <v>2</v>
      </c>
      <c r="K25" s="143" t="e">
        <f>+'GIA CONG ACRYLIC'!#REF!</f>
        <v>#REF!</v>
      </c>
      <c r="L25" s="145" t="str">
        <f t="shared" si="2"/>
        <v>T</v>
      </c>
      <c r="M25" s="145" t="e">
        <f>IF('GIA CONG ACRYLIC'!#REF!='GIA CONG ACRYLIC'!#REF!,"V","T")</f>
        <v>#REF!</v>
      </c>
      <c r="N25" s="145" t="str">
        <f t="shared" si="3"/>
        <v>T</v>
      </c>
      <c r="O25" s="145" t="e">
        <f>IF('GIA CONG ACRYLIC'!#REF!='GIA CONG ACRYLIC'!#REF!,"V","T")</f>
        <v>#REF!</v>
      </c>
      <c r="P25" s="143">
        <v>1.0000000000000001E-5</v>
      </c>
      <c r="Q25" s="143">
        <v>1.0000000000000001E-5</v>
      </c>
      <c r="R25" s="143">
        <v>1.0000000000000001E-5</v>
      </c>
      <c r="S25" s="143">
        <v>1.0000000000000001E-5</v>
      </c>
      <c r="T25" s="146" t="e">
        <f>'GIA CONG ACRYLIC'!#REF!</f>
        <v>#REF!</v>
      </c>
    </row>
    <row r="26" spans="1:30" s="147" customFormat="1" ht="31.5" x14ac:dyDescent="0.25">
      <c r="A26" s="143" t="str">
        <f t="shared" si="0"/>
        <v>V</v>
      </c>
      <c r="B26" s="143" t="str">
        <f t="shared" si="1"/>
        <v>ACRILYC</v>
      </c>
      <c r="C26" s="144" t="str">
        <f>RIGHT('GIA CONG ACRYLIC'!$C$8,LEN('GIA CONG ACRYLIC'!$C$8)-LEN("Khách hàng: "))&amp;" "&amp;'GIA CONG ACRYLIC'!$H$7</f>
        <v>KH0457D - Anh Giang Kle (Chinh) L3287</v>
      </c>
      <c r="D26" s="143" t="e">
        <f>'GIA CONG ACRYLIC'!$H$7&amp;"."&amp;'GIA CONG ACRYLIC'!#REF!&amp;"."&amp;IF(LEN('GIA CONG ACRYLIC'!#REF!)=1,"00"&amp;'GIA CONG ACRYLIC'!#REF!,IF(LEN('GIA CONG ACRYLIC'!#REF!)=2,"0"&amp;'GIA CONG ACRYLIC'!#REF!,'GIA CONG ACRYLIC'!#REF!))</f>
        <v>#REF!</v>
      </c>
      <c r="E26" s="143" t="e">
        <f>IF('GIA CONG ACRYLIC'!#REF!=0,"",'GIA CONG ACRYLIC'!#REF!)</f>
        <v>#REF!</v>
      </c>
      <c r="F26" s="143" t="e">
        <f>+'GIA CONG ACRYLIC'!#REF!</f>
        <v>#REF!</v>
      </c>
      <c r="G26" s="143" t="e">
        <f>+'GIA CONG ACRYLIC'!#REF!</f>
        <v>#REF!</v>
      </c>
      <c r="H26" s="143" t="e">
        <f>+'GIA CONG ACRYLIC'!#REF!</f>
        <v>#REF!</v>
      </c>
      <c r="I26" s="143">
        <v>19</v>
      </c>
      <c r="J26" s="143">
        <v>2</v>
      </c>
      <c r="K26" s="143" t="e">
        <f>+'GIA CONG ACRYLIC'!#REF!</f>
        <v>#REF!</v>
      </c>
      <c r="L26" s="145" t="str">
        <f t="shared" si="2"/>
        <v>T</v>
      </c>
      <c r="M26" s="145" t="e">
        <f>IF('GIA CONG ACRYLIC'!#REF!='GIA CONG ACRYLIC'!#REF!,"V","T")</f>
        <v>#REF!</v>
      </c>
      <c r="N26" s="145" t="str">
        <f t="shared" si="3"/>
        <v>T</v>
      </c>
      <c r="O26" s="145" t="e">
        <f>IF('GIA CONG ACRYLIC'!#REF!='GIA CONG ACRYLIC'!#REF!,"V","T")</f>
        <v>#REF!</v>
      </c>
      <c r="P26" s="143">
        <v>1.0000000000000001E-5</v>
      </c>
      <c r="Q26" s="143">
        <v>1.0000000000000001E-5</v>
      </c>
      <c r="R26" s="143">
        <v>1.0000000000000001E-5</v>
      </c>
      <c r="S26" s="143">
        <v>1.0000000000000001E-5</v>
      </c>
      <c r="T26" s="146" t="e">
        <f>'GIA CONG ACRYLIC'!#REF!</f>
        <v>#REF!</v>
      </c>
    </row>
    <row r="27" spans="1:30" s="147" customFormat="1" ht="31.5" x14ac:dyDescent="0.25">
      <c r="A27" s="143" t="str">
        <f t="shared" si="0"/>
        <v>V</v>
      </c>
      <c r="B27" s="143" t="str">
        <f t="shared" si="1"/>
        <v>ACRILYC</v>
      </c>
      <c r="C27" s="144" t="str">
        <f>RIGHT('GIA CONG ACRYLIC'!$C$8,LEN('GIA CONG ACRYLIC'!$C$8)-LEN("Khách hàng: "))&amp;" "&amp;'GIA CONG ACRYLIC'!$H$7</f>
        <v>KH0457D - Anh Giang Kle (Chinh) L3287</v>
      </c>
      <c r="D27" s="143" t="e">
        <f>'GIA CONG ACRYLIC'!$H$7&amp;"."&amp;'GIA CONG ACRYLIC'!#REF!&amp;"."&amp;IF(LEN('GIA CONG ACRYLIC'!#REF!)=1,"00"&amp;'GIA CONG ACRYLIC'!#REF!,IF(LEN('GIA CONG ACRYLIC'!#REF!)=2,"0"&amp;'GIA CONG ACRYLIC'!#REF!,'GIA CONG ACRYLIC'!#REF!))</f>
        <v>#REF!</v>
      </c>
      <c r="E27" s="143" t="e">
        <f>IF('GIA CONG ACRYLIC'!#REF!=0,"",'GIA CONG ACRYLIC'!#REF!)</f>
        <v>#REF!</v>
      </c>
      <c r="F27" s="143" t="e">
        <f>+'GIA CONG ACRYLIC'!#REF!</f>
        <v>#REF!</v>
      </c>
      <c r="G27" s="143" t="e">
        <f>+'GIA CONG ACRYLIC'!#REF!</f>
        <v>#REF!</v>
      </c>
      <c r="H27" s="143" t="e">
        <f>+'GIA CONG ACRYLIC'!#REF!</f>
        <v>#REF!</v>
      </c>
      <c r="I27" s="143">
        <v>19</v>
      </c>
      <c r="J27" s="143">
        <v>2</v>
      </c>
      <c r="K27" s="143" t="e">
        <f>+'GIA CONG ACRYLIC'!#REF!</f>
        <v>#REF!</v>
      </c>
      <c r="L27" s="145" t="str">
        <f t="shared" si="2"/>
        <v>T</v>
      </c>
      <c r="M27" s="145" t="e">
        <f>IF('GIA CONG ACRYLIC'!#REF!='GIA CONG ACRYLIC'!#REF!,"V","T")</f>
        <v>#REF!</v>
      </c>
      <c r="N27" s="145" t="str">
        <f t="shared" si="3"/>
        <v>T</v>
      </c>
      <c r="O27" s="145" t="e">
        <f>IF('GIA CONG ACRYLIC'!#REF!='GIA CONG ACRYLIC'!#REF!,"V","T")</f>
        <v>#REF!</v>
      </c>
      <c r="P27" s="143">
        <v>1.0000000000000001E-5</v>
      </c>
      <c r="Q27" s="143">
        <v>1.0000000000000001E-5</v>
      </c>
      <c r="R27" s="143">
        <v>1.0000000000000001E-5</v>
      </c>
      <c r="S27" s="143">
        <v>1.0000000000000001E-5</v>
      </c>
      <c r="T27" s="146" t="e">
        <f>'GIA CONG ACRYLIC'!#REF!</f>
        <v>#REF!</v>
      </c>
      <c r="U27" s="147">
        <v>70</v>
      </c>
      <c r="V27" s="147">
        <v>70</v>
      </c>
      <c r="W27" s="147">
        <v>70</v>
      </c>
      <c r="X27" s="147">
        <v>70</v>
      </c>
      <c r="Y27" s="147">
        <v>60</v>
      </c>
      <c r="Z27" s="147">
        <v>60</v>
      </c>
      <c r="AA27" s="147">
        <v>60</v>
      </c>
      <c r="AB27" s="147">
        <v>60</v>
      </c>
      <c r="AC27" s="147">
        <v>10</v>
      </c>
      <c r="AD27" s="147">
        <v>6</v>
      </c>
    </row>
    <row r="28" spans="1:30" s="147" customFormat="1" ht="31.5" x14ac:dyDescent="0.25">
      <c r="A28" s="143" t="str">
        <f t="shared" si="0"/>
        <v>V</v>
      </c>
      <c r="B28" s="143" t="str">
        <f t="shared" si="1"/>
        <v>ACRILYC</v>
      </c>
      <c r="C28" s="144" t="str">
        <f>RIGHT('GIA CONG ACRYLIC'!$C$8,LEN('GIA CONG ACRYLIC'!$C$8)-LEN("Khách hàng: "))&amp;" "&amp;'GIA CONG ACRYLIC'!$H$7</f>
        <v>KH0457D - Anh Giang Kle (Chinh) L3287</v>
      </c>
      <c r="D28" s="143" t="e">
        <f>'GIA CONG ACRYLIC'!$H$7&amp;"."&amp;'GIA CONG ACRYLIC'!#REF!&amp;"."&amp;IF(LEN('GIA CONG ACRYLIC'!#REF!)=1,"00"&amp;'GIA CONG ACRYLIC'!#REF!,IF(LEN('GIA CONG ACRYLIC'!#REF!)=2,"0"&amp;'GIA CONG ACRYLIC'!#REF!,'GIA CONG ACRYLIC'!#REF!))</f>
        <v>#REF!</v>
      </c>
      <c r="E28" s="143" t="e">
        <f>IF('GIA CONG ACRYLIC'!#REF!=0,"",'GIA CONG ACRYLIC'!#REF!)</f>
        <v>#REF!</v>
      </c>
      <c r="F28" s="143" t="e">
        <f>+'GIA CONG ACRYLIC'!#REF!</f>
        <v>#REF!</v>
      </c>
      <c r="G28" s="143" t="e">
        <f>+'GIA CONG ACRYLIC'!#REF!</f>
        <v>#REF!</v>
      </c>
      <c r="H28" s="143" t="e">
        <f>+'GIA CONG ACRYLIC'!#REF!</f>
        <v>#REF!</v>
      </c>
      <c r="I28" s="143">
        <v>19</v>
      </c>
      <c r="J28" s="143">
        <v>2</v>
      </c>
      <c r="K28" s="143" t="e">
        <f>+'GIA CONG ACRYLIC'!#REF!</f>
        <v>#REF!</v>
      </c>
      <c r="L28" s="145" t="str">
        <f t="shared" si="2"/>
        <v>T</v>
      </c>
      <c r="M28" s="145" t="e">
        <f>IF('GIA CONG ACRYLIC'!#REF!='GIA CONG ACRYLIC'!#REF!,"V","T")</f>
        <v>#REF!</v>
      </c>
      <c r="N28" s="145" t="str">
        <f t="shared" si="3"/>
        <v>T</v>
      </c>
      <c r="O28" s="145" t="e">
        <f>IF('GIA CONG ACRYLIC'!#REF!='GIA CONG ACRYLIC'!#REF!,"V","T")</f>
        <v>#REF!</v>
      </c>
      <c r="P28" s="143">
        <v>1.0000000000000001E-5</v>
      </c>
      <c r="Q28" s="143">
        <v>1.0000000000000001E-5</v>
      </c>
      <c r="R28" s="143">
        <v>1.0000000000000001E-5</v>
      </c>
      <c r="S28" s="143">
        <v>1.0000000000000001E-5</v>
      </c>
      <c r="T28" s="146" t="e">
        <f>'GIA CONG ACRYLIC'!#REF!</f>
        <v>#REF!</v>
      </c>
      <c r="U28" s="147">
        <v>70</v>
      </c>
      <c r="V28" s="147">
        <v>70</v>
      </c>
      <c r="W28" s="147">
        <v>70</v>
      </c>
      <c r="X28" s="147">
        <v>70</v>
      </c>
      <c r="Y28" s="147">
        <v>60</v>
      </c>
      <c r="Z28" s="147">
        <v>60</v>
      </c>
      <c r="AA28" s="147">
        <v>60</v>
      </c>
      <c r="AB28" s="147">
        <v>60</v>
      </c>
      <c r="AC28" s="147">
        <v>10</v>
      </c>
      <c r="AD28" s="147">
        <v>6</v>
      </c>
    </row>
    <row r="29" spans="1:30" s="147" customFormat="1" ht="31.5" x14ac:dyDescent="0.25">
      <c r="A29" s="143" t="str">
        <f t="shared" si="0"/>
        <v>V</v>
      </c>
      <c r="B29" s="143" t="str">
        <f t="shared" si="1"/>
        <v>ACRILYC</v>
      </c>
      <c r="C29" s="144" t="str">
        <f>RIGHT('GIA CONG ACRYLIC'!$C$8,LEN('GIA CONG ACRYLIC'!$C$8)-LEN("Khách hàng: "))&amp;" "&amp;'GIA CONG ACRYLIC'!$H$7</f>
        <v>KH0457D - Anh Giang Kle (Chinh) L3287</v>
      </c>
      <c r="D29" s="143" t="e">
        <f>'GIA CONG ACRYLIC'!$H$7&amp;"."&amp;'GIA CONG ACRYLIC'!#REF!&amp;"."&amp;IF(LEN('GIA CONG ACRYLIC'!#REF!)=1,"00"&amp;'GIA CONG ACRYLIC'!#REF!,IF(LEN('GIA CONG ACRYLIC'!#REF!)=2,"0"&amp;'GIA CONG ACRYLIC'!#REF!,'GIA CONG ACRYLIC'!#REF!))</f>
        <v>#REF!</v>
      </c>
      <c r="E29" s="143" t="e">
        <f>IF('GIA CONG ACRYLIC'!#REF!=0,"",'GIA CONG ACRYLIC'!#REF!)</f>
        <v>#REF!</v>
      </c>
      <c r="F29" s="143" t="e">
        <f>+'GIA CONG ACRYLIC'!#REF!</f>
        <v>#REF!</v>
      </c>
      <c r="G29" s="143" t="e">
        <f>+'GIA CONG ACRYLIC'!#REF!</f>
        <v>#REF!</v>
      </c>
      <c r="H29" s="143" t="e">
        <f>+'GIA CONG ACRYLIC'!#REF!</f>
        <v>#REF!</v>
      </c>
      <c r="I29" s="143">
        <v>19</v>
      </c>
      <c r="J29" s="143">
        <v>2</v>
      </c>
      <c r="K29" s="143" t="e">
        <f>+'GIA CONG ACRYLIC'!#REF!</f>
        <v>#REF!</v>
      </c>
      <c r="L29" s="145" t="str">
        <f t="shared" si="2"/>
        <v>T</v>
      </c>
      <c r="M29" s="145" t="e">
        <f>IF('GIA CONG ACRYLIC'!#REF!='GIA CONG ACRYLIC'!#REF!,"V","T")</f>
        <v>#REF!</v>
      </c>
      <c r="N29" s="145" t="str">
        <f t="shared" si="3"/>
        <v>T</v>
      </c>
      <c r="O29" s="145" t="e">
        <f>IF('GIA CONG ACRYLIC'!#REF!='GIA CONG ACRYLIC'!#REF!,"V","T")</f>
        <v>#REF!</v>
      </c>
      <c r="P29" s="143">
        <v>1.0000000000000001E-5</v>
      </c>
      <c r="Q29" s="143">
        <v>1.0000000000000001E-5</v>
      </c>
      <c r="R29" s="143">
        <v>1.0000000000000001E-5</v>
      </c>
      <c r="S29" s="143">
        <v>1.0000000000000001E-5</v>
      </c>
      <c r="T29" s="146" t="e">
        <f>'GIA CONG ACRYLIC'!#REF!</f>
        <v>#REF!</v>
      </c>
      <c r="U29" s="147">
        <v>70</v>
      </c>
      <c r="V29" s="147">
        <v>70</v>
      </c>
      <c r="W29" s="147">
        <v>70</v>
      </c>
      <c r="X29" s="147">
        <v>70</v>
      </c>
      <c r="Y29" s="147">
        <v>60</v>
      </c>
      <c r="Z29" s="147">
        <v>60</v>
      </c>
      <c r="AA29" s="147">
        <v>60</v>
      </c>
      <c r="AB29" s="147">
        <v>60</v>
      </c>
      <c r="AC29" s="147">
        <v>10</v>
      </c>
      <c r="AD29" s="147">
        <v>6</v>
      </c>
    </row>
    <row r="30" spans="1:30" s="147" customFormat="1" ht="31.5" x14ac:dyDescent="0.25">
      <c r="A30" s="143" t="str">
        <f t="shared" si="0"/>
        <v>V</v>
      </c>
      <c r="B30" s="143" t="str">
        <f t="shared" si="1"/>
        <v>ACRILYC</v>
      </c>
      <c r="C30" s="144" t="str">
        <f>RIGHT('GIA CONG ACRYLIC'!$C$8,LEN('GIA CONG ACRYLIC'!$C$8)-LEN("Khách hàng: "))&amp;" "&amp;'GIA CONG ACRYLIC'!$H$7</f>
        <v>KH0457D - Anh Giang Kle (Chinh) L3287</v>
      </c>
      <c r="D30" s="143" t="e">
        <f>'GIA CONG ACRYLIC'!$H$7&amp;"."&amp;'GIA CONG ACRYLIC'!#REF!&amp;"."&amp;IF(LEN('GIA CONG ACRYLIC'!#REF!)=1,"00"&amp;'GIA CONG ACRYLIC'!#REF!,IF(LEN('GIA CONG ACRYLIC'!#REF!)=2,"0"&amp;'GIA CONG ACRYLIC'!#REF!,'GIA CONG ACRYLIC'!#REF!))</f>
        <v>#REF!</v>
      </c>
      <c r="E30" s="143" t="e">
        <f>IF('GIA CONG ACRYLIC'!#REF!=0,"",'GIA CONG ACRYLIC'!#REF!)</f>
        <v>#REF!</v>
      </c>
      <c r="F30" s="143" t="e">
        <f>+'GIA CONG ACRYLIC'!#REF!</f>
        <v>#REF!</v>
      </c>
      <c r="G30" s="143" t="e">
        <f>+'GIA CONG ACRYLIC'!#REF!</f>
        <v>#REF!</v>
      </c>
      <c r="H30" s="143" t="e">
        <f>+'GIA CONG ACRYLIC'!#REF!</f>
        <v>#REF!</v>
      </c>
      <c r="I30" s="143">
        <v>19</v>
      </c>
      <c r="J30" s="143">
        <v>2</v>
      </c>
      <c r="K30" s="143" t="e">
        <f>+'GIA CONG ACRYLIC'!#REF!</f>
        <v>#REF!</v>
      </c>
      <c r="L30" s="145" t="str">
        <f t="shared" si="2"/>
        <v>T</v>
      </c>
      <c r="M30" s="145" t="e">
        <f>IF('GIA CONG ACRYLIC'!#REF!='GIA CONG ACRYLIC'!#REF!,"V","T")</f>
        <v>#REF!</v>
      </c>
      <c r="N30" s="145" t="str">
        <f t="shared" si="3"/>
        <v>T</v>
      </c>
      <c r="O30" s="145" t="e">
        <f>IF('GIA CONG ACRYLIC'!#REF!='GIA CONG ACRYLIC'!#REF!,"V","T")</f>
        <v>#REF!</v>
      </c>
      <c r="P30" s="143">
        <v>1.0000000000000001E-5</v>
      </c>
      <c r="Q30" s="143">
        <v>1.0000000000000001E-5</v>
      </c>
      <c r="R30" s="143">
        <v>1.0000000000000001E-5</v>
      </c>
      <c r="S30" s="143">
        <v>1.0000000000000001E-5</v>
      </c>
      <c r="T30" s="146" t="e">
        <f>'GIA CONG ACRYLIC'!#REF!</f>
        <v>#REF!</v>
      </c>
      <c r="U30" s="147">
        <v>70</v>
      </c>
      <c r="V30" s="147">
        <v>70</v>
      </c>
      <c r="W30" s="147">
        <v>70</v>
      </c>
      <c r="X30" s="147">
        <v>70</v>
      </c>
      <c r="Y30" s="147">
        <v>60</v>
      </c>
      <c r="Z30" s="147">
        <v>60</v>
      </c>
      <c r="AA30" s="147">
        <v>60</v>
      </c>
      <c r="AB30" s="147">
        <v>60</v>
      </c>
      <c r="AC30" s="147">
        <v>10</v>
      </c>
      <c r="AD30" s="147">
        <v>6</v>
      </c>
    </row>
    <row r="31" spans="1:30" s="147" customFormat="1" ht="31.5" x14ac:dyDescent="0.25">
      <c r="A31" s="143" t="str">
        <f t="shared" si="0"/>
        <v>V</v>
      </c>
      <c r="B31" s="143" t="str">
        <f t="shared" si="1"/>
        <v>ACRILYC</v>
      </c>
      <c r="C31" s="144" t="str">
        <f>RIGHT('GIA CONG ACRYLIC'!$C$8,LEN('GIA CONG ACRYLIC'!$C$8)-LEN("Khách hàng: "))&amp;" "&amp;'GIA CONG ACRYLIC'!$H$7</f>
        <v>KH0457D - Anh Giang Kle (Chinh) L3287</v>
      </c>
      <c r="D31" s="143" t="e">
        <f>'GIA CONG ACRYLIC'!$H$7&amp;"."&amp;'GIA CONG ACRYLIC'!#REF!&amp;"."&amp;IF(LEN('GIA CONG ACRYLIC'!#REF!)=1,"00"&amp;'GIA CONG ACRYLIC'!#REF!,IF(LEN('GIA CONG ACRYLIC'!#REF!)=2,"0"&amp;'GIA CONG ACRYLIC'!#REF!,'GIA CONG ACRYLIC'!#REF!))</f>
        <v>#REF!</v>
      </c>
      <c r="E31" s="143" t="e">
        <f>IF('GIA CONG ACRYLIC'!#REF!=0,"",'GIA CONG ACRYLIC'!#REF!)</f>
        <v>#REF!</v>
      </c>
      <c r="F31" s="143" t="e">
        <f>+'GIA CONG ACRYLIC'!#REF!</f>
        <v>#REF!</v>
      </c>
      <c r="G31" s="143" t="e">
        <f>+'GIA CONG ACRYLIC'!#REF!</f>
        <v>#REF!</v>
      </c>
      <c r="H31" s="143" t="e">
        <f>+'GIA CONG ACRYLIC'!#REF!</f>
        <v>#REF!</v>
      </c>
      <c r="I31" s="143">
        <v>19</v>
      </c>
      <c r="J31" s="143">
        <v>2</v>
      </c>
      <c r="K31" s="143" t="e">
        <f>+'GIA CONG ACRYLIC'!#REF!</f>
        <v>#REF!</v>
      </c>
      <c r="L31" s="145" t="str">
        <f t="shared" si="2"/>
        <v>T</v>
      </c>
      <c r="M31" s="145" t="e">
        <f>IF('GIA CONG ACRYLIC'!#REF!='GIA CONG ACRYLIC'!#REF!,"V","T")</f>
        <v>#REF!</v>
      </c>
      <c r="N31" s="145" t="str">
        <f t="shared" si="3"/>
        <v>T</v>
      </c>
      <c r="O31" s="145" t="e">
        <f>IF('GIA CONG ACRYLIC'!#REF!='GIA CONG ACRYLIC'!#REF!,"V","T")</f>
        <v>#REF!</v>
      </c>
      <c r="P31" s="143">
        <v>1.0000000000000001E-5</v>
      </c>
      <c r="Q31" s="143">
        <v>1.0000000000000001E-5</v>
      </c>
      <c r="R31" s="143">
        <v>1.0000000000000001E-5</v>
      </c>
      <c r="S31" s="143">
        <v>1.0000000000000001E-5</v>
      </c>
      <c r="T31" s="146" t="e">
        <f>'GIA CONG ACRYLIC'!#REF!</f>
        <v>#REF!</v>
      </c>
    </row>
    <row r="32" spans="1:30" s="147" customFormat="1" ht="31.5" x14ac:dyDescent="0.25">
      <c r="A32" s="143" t="str">
        <f t="shared" si="0"/>
        <v>V</v>
      </c>
      <c r="B32" s="143" t="str">
        <f t="shared" si="1"/>
        <v>ACRILYC</v>
      </c>
      <c r="C32" s="144" t="str">
        <f>RIGHT('GIA CONG ACRYLIC'!$C$8,LEN('GIA CONG ACRYLIC'!$C$8)-LEN("Khách hàng: "))&amp;" "&amp;'GIA CONG ACRYLIC'!$H$7</f>
        <v>KH0457D - Anh Giang Kle (Chinh) L3287</v>
      </c>
      <c r="D32" s="143" t="e">
        <f>'GIA CONG ACRYLIC'!$H$7&amp;"."&amp;'GIA CONG ACRYLIC'!#REF!&amp;"."&amp;IF(LEN('GIA CONG ACRYLIC'!#REF!)=1,"00"&amp;'GIA CONG ACRYLIC'!#REF!,IF(LEN('GIA CONG ACRYLIC'!#REF!)=2,"0"&amp;'GIA CONG ACRYLIC'!#REF!,'GIA CONG ACRYLIC'!#REF!))</f>
        <v>#REF!</v>
      </c>
      <c r="E32" s="143" t="e">
        <f>IF('GIA CONG ACRYLIC'!#REF!=0,"",'GIA CONG ACRYLIC'!#REF!)</f>
        <v>#REF!</v>
      </c>
      <c r="F32" s="143" t="e">
        <f>+'GIA CONG ACRYLIC'!#REF!</f>
        <v>#REF!</v>
      </c>
      <c r="G32" s="143" t="e">
        <f>+'GIA CONG ACRYLIC'!#REF!</f>
        <v>#REF!</v>
      </c>
      <c r="H32" s="143" t="e">
        <f>+'GIA CONG ACRYLIC'!#REF!</f>
        <v>#REF!</v>
      </c>
      <c r="I32" s="143">
        <v>19</v>
      </c>
      <c r="J32" s="143">
        <v>2</v>
      </c>
      <c r="K32" s="143" t="e">
        <f>+'GIA CONG ACRYLIC'!#REF!</f>
        <v>#REF!</v>
      </c>
      <c r="L32" s="145" t="str">
        <f t="shared" si="2"/>
        <v>T</v>
      </c>
      <c r="M32" s="145" t="e">
        <f>IF('GIA CONG ACRYLIC'!#REF!='GIA CONG ACRYLIC'!#REF!,"V","T")</f>
        <v>#REF!</v>
      </c>
      <c r="N32" s="145" t="str">
        <f t="shared" si="3"/>
        <v>T</v>
      </c>
      <c r="O32" s="145" t="e">
        <f>IF('GIA CONG ACRYLIC'!#REF!='GIA CONG ACRYLIC'!#REF!,"V","T")</f>
        <v>#REF!</v>
      </c>
      <c r="P32" s="143">
        <v>1.0000000000000001E-5</v>
      </c>
      <c r="Q32" s="143">
        <v>1.0000000000000001E-5</v>
      </c>
      <c r="R32" s="143">
        <v>1.0000000000000001E-5</v>
      </c>
      <c r="S32" s="143">
        <v>1.0000000000000001E-5</v>
      </c>
      <c r="T32" s="146" t="e">
        <f>'GIA CONG ACRYLIC'!#REF!</f>
        <v>#REF!</v>
      </c>
    </row>
    <row r="33" spans="1:30" s="147" customFormat="1" ht="31.5" x14ac:dyDescent="0.25">
      <c r="A33" s="143" t="str">
        <f t="shared" si="0"/>
        <v>V</v>
      </c>
      <c r="B33" s="143" t="str">
        <f t="shared" si="1"/>
        <v>ACRILYC</v>
      </c>
      <c r="C33" s="144" t="str">
        <f>RIGHT('GIA CONG ACRYLIC'!$C$8,LEN('GIA CONG ACRYLIC'!$C$8)-LEN("Khách hàng: "))&amp;" "&amp;'GIA CONG ACRYLIC'!$H$7</f>
        <v>KH0457D - Anh Giang Kle (Chinh) L3287</v>
      </c>
      <c r="D33" s="143" t="e">
        <f>'GIA CONG ACRYLIC'!$H$7&amp;"."&amp;'GIA CONG ACRYLIC'!#REF!&amp;"."&amp;IF(LEN('GIA CONG ACRYLIC'!#REF!)=1,"00"&amp;'GIA CONG ACRYLIC'!#REF!,IF(LEN('GIA CONG ACRYLIC'!#REF!)=2,"0"&amp;'GIA CONG ACRYLIC'!#REF!,'GIA CONG ACRYLIC'!#REF!))</f>
        <v>#REF!</v>
      </c>
      <c r="E33" s="143" t="e">
        <f>IF('GIA CONG ACRYLIC'!#REF!=0,"",'GIA CONG ACRYLIC'!#REF!)</f>
        <v>#REF!</v>
      </c>
      <c r="F33" s="143" t="e">
        <f>+'GIA CONG ACRYLIC'!#REF!</f>
        <v>#REF!</v>
      </c>
      <c r="G33" s="143" t="e">
        <f>+'GIA CONG ACRYLIC'!#REF!</f>
        <v>#REF!</v>
      </c>
      <c r="H33" s="143" t="e">
        <f>+'GIA CONG ACRYLIC'!#REF!</f>
        <v>#REF!</v>
      </c>
      <c r="I33" s="143">
        <v>19</v>
      </c>
      <c r="J33" s="143">
        <v>2</v>
      </c>
      <c r="K33" s="143" t="e">
        <f>+'GIA CONG ACRYLIC'!#REF!</f>
        <v>#REF!</v>
      </c>
      <c r="L33" s="145" t="str">
        <f t="shared" si="2"/>
        <v>T</v>
      </c>
      <c r="M33" s="145" t="e">
        <f>IF('GIA CONG ACRYLIC'!#REF!='GIA CONG ACRYLIC'!#REF!,"V","T")</f>
        <v>#REF!</v>
      </c>
      <c r="N33" s="145" t="str">
        <f t="shared" si="3"/>
        <v>T</v>
      </c>
      <c r="O33" s="145" t="e">
        <f>IF('GIA CONG ACRYLIC'!#REF!='GIA CONG ACRYLIC'!#REF!,"V","T")</f>
        <v>#REF!</v>
      </c>
      <c r="P33" s="143">
        <v>1.0000000000000001E-5</v>
      </c>
      <c r="Q33" s="143">
        <v>1.0000000000000001E-5</v>
      </c>
      <c r="R33" s="143">
        <v>1.0000000000000001E-5</v>
      </c>
      <c r="S33" s="143">
        <v>1.0000000000000001E-5</v>
      </c>
      <c r="T33" s="146" t="e">
        <f>'GIA CONG ACRYLIC'!#REF!</f>
        <v>#REF!</v>
      </c>
    </row>
    <row r="34" spans="1:30" s="147" customFormat="1" ht="31.5" x14ac:dyDescent="0.25">
      <c r="A34" s="143" t="str">
        <f t="shared" si="0"/>
        <v>V</v>
      </c>
      <c r="B34" s="143" t="str">
        <f t="shared" si="1"/>
        <v>ACRILYC</v>
      </c>
      <c r="C34" s="144" t="str">
        <f>RIGHT('GIA CONG ACRYLIC'!$C$8,LEN('GIA CONG ACRYLIC'!$C$8)-LEN("Khách hàng: "))&amp;" "&amp;'GIA CONG ACRYLIC'!$H$7</f>
        <v>KH0457D - Anh Giang Kle (Chinh) L3287</v>
      </c>
      <c r="D34" s="143" t="e">
        <f>'GIA CONG ACRYLIC'!$H$7&amp;"."&amp;'GIA CONG ACRYLIC'!#REF!&amp;"."&amp;IF(LEN('GIA CONG ACRYLIC'!#REF!)=1,"00"&amp;'GIA CONG ACRYLIC'!#REF!,IF(LEN('GIA CONG ACRYLIC'!#REF!)=2,"0"&amp;'GIA CONG ACRYLIC'!#REF!,'GIA CONG ACRYLIC'!#REF!))</f>
        <v>#REF!</v>
      </c>
      <c r="E34" s="143" t="e">
        <f>IF('GIA CONG ACRYLIC'!#REF!=0,"",'GIA CONG ACRYLIC'!#REF!)</f>
        <v>#REF!</v>
      </c>
      <c r="F34" s="143" t="e">
        <f>+'GIA CONG ACRYLIC'!#REF!</f>
        <v>#REF!</v>
      </c>
      <c r="G34" s="143" t="e">
        <f>+'GIA CONG ACRYLIC'!#REF!</f>
        <v>#REF!</v>
      </c>
      <c r="H34" s="143" t="e">
        <f>+'GIA CONG ACRYLIC'!#REF!</f>
        <v>#REF!</v>
      </c>
      <c r="I34" s="143">
        <v>19</v>
      </c>
      <c r="J34" s="143">
        <v>2</v>
      </c>
      <c r="K34" s="143" t="e">
        <f>+'GIA CONG ACRYLIC'!#REF!</f>
        <v>#REF!</v>
      </c>
      <c r="L34" s="145" t="str">
        <f t="shared" si="2"/>
        <v>T</v>
      </c>
      <c r="M34" s="145" t="e">
        <f>IF('GIA CONG ACRYLIC'!#REF!='GIA CONG ACRYLIC'!#REF!,"V","T")</f>
        <v>#REF!</v>
      </c>
      <c r="N34" s="145" t="str">
        <f t="shared" si="3"/>
        <v>T</v>
      </c>
      <c r="O34" s="145" t="e">
        <f>IF('GIA CONG ACRYLIC'!#REF!='GIA CONG ACRYLIC'!#REF!,"V","T")</f>
        <v>#REF!</v>
      </c>
      <c r="P34" s="143">
        <v>1.0000000000000001E-5</v>
      </c>
      <c r="Q34" s="143">
        <v>1.0000000000000001E-5</v>
      </c>
      <c r="R34" s="143">
        <v>1.0000000000000001E-5</v>
      </c>
      <c r="S34" s="143">
        <v>1.0000000000000001E-5</v>
      </c>
      <c r="T34" s="146" t="e">
        <f>'GIA CONG ACRYLIC'!#REF!</f>
        <v>#REF!</v>
      </c>
      <c r="U34" s="147">
        <v>70</v>
      </c>
      <c r="V34" s="147">
        <v>70</v>
      </c>
      <c r="W34" s="147">
        <v>70</v>
      </c>
      <c r="X34" s="147">
        <v>70</v>
      </c>
      <c r="Y34" s="147">
        <v>60</v>
      </c>
      <c r="Z34" s="147">
        <v>60</v>
      </c>
      <c r="AA34" s="147">
        <v>60</v>
      </c>
      <c r="AB34" s="147">
        <v>60</v>
      </c>
      <c r="AC34" s="147">
        <v>10</v>
      </c>
      <c r="AD34" s="147">
        <v>6</v>
      </c>
    </row>
  </sheetData>
  <pageMargins left="0.7" right="0.7" top="0.75" bottom="0.75" header="0.3" footer="0.3"/>
  <pageSetup paperSize="257"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GIA CONG ACRYLIC</vt:lpstr>
      <vt:lpstr>LENH GIA CONG TAM</vt:lpstr>
      <vt:lpstr>DH LEN PHAN MEM</vt:lpstr>
      <vt:lpstr>BAZIS</vt:lpstr>
      <vt:lpstr>BAZIS-PM</vt:lpstr>
      <vt:lpstr>'GIA CONG ACRYLIC'!Print_Area</vt:lpstr>
      <vt:lpstr>'LENH GIA CONG TAM'!Print_Area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10</cp:lastModifiedBy>
  <cp:lastPrinted>2025-09-09T11:00:03Z</cp:lastPrinted>
  <dcterms:created xsi:type="dcterms:W3CDTF">2019-03-01T08:17:59Z</dcterms:created>
  <dcterms:modified xsi:type="dcterms:W3CDTF">2026-06-23T09:19:27Z</dcterms:modified>
</cp:coreProperties>
</file>