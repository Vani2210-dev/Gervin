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8_{3F588AF4-CAD4-4DF5-B92C-57E0D492CA96}" xr6:coauthVersionLast="47" xr6:coauthVersionMax="47" xr10:uidLastSave="{00000000-0000-0000-0000-000000000000}"/>
  <bookViews>
    <workbookView xWindow="-120" yWindow="-120" windowWidth="29040" windowHeight="16440" tabRatio="895" activeTab="1" xr2:uid="{00000000-000D-0000-FFFF-FFFF00000000}"/>
  </bookViews>
  <sheets>
    <sheet name="GIA CONG ACRYLIC" sheetId="18" r:id="rId1"/>
    <sheet name="BAZIS-PM" sheetId="21" r:id="rId2"/>
  </sheets>
  <definedNames>
    <definedName name="_xlnm._FilterDatabase" localSheetId="0" hidden="1">'GIA CONG ACRYLIC'!$D$13:$E$47</definedName>
    <definedName name="_xlnm.Print_Area" localSheetId="0">'GIA CONG ACRYLIC'!$A$1:$M$53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7" i="18" l="1"/>
  <c r="G37" i="18" s="1"/>
  <c r="I37" i="18"/>
  <c r="L37" i="18" s="1"/>
  <c r="N36" i="18"/>
  <c r="G36" i="18" s="1"/>
  <c r="I36" i="18"/>
  <c r="L36" i="18" s="1"/>
  <c r="N35" i="18"/>
  <c r="G35" i="18" s="1"/>
  <c r="I35" i="18"/>
  <c r="L35" i="18" s="1"/>
  <c r="N34" i="18"/>
  <c r="G34" i="18" s="1"/>
  <c r="I34" i="18"/>
  <c r="L34" i="18" s="1"/>
  <c r="N33" i="18"/>
  <c r="G33" i="18" s="1"/>
  <c r="I33" i="18"/>
  <c r="L33" i="18" s="1"/>
  <c r="N32" i="18"/>
  <c r="G32" i="18" s="1"/>
  <c r="I32" i="18"/>
  <c r="L32" i="18" s="1"/>
  <c r="N31" i="18"/>
  <c r="G31" i="18" s="1"/>
  <c r="I31" i="18"/>
  <c r="L31" i="18" s="1"/>
  <c r="N30" i="18"/>
  <c r="I30" i="18"/>
  <c r="L30" i="18" s="1"/>
  <c r="G30" i="18"/>
  <c r="N29" i="18"/>
  <c r="G29" i="18" s="1"/>
  <c r="I29" i="18"/>
  <c r="L29" i="18" s="1"/>
  <c r="N28" i="18"/>
  <c r="G28" i="18" s="1"/>
  <c r="I28" i="18"/>
  <c r="L28" i="18" s="1"/>
  <c r="N27" i="18"/>
  <c r="G27" i="18" s="1"/>
  <c r="I27" i="18"/>
  <c r="L27" i="18" s="1"/>
  <c r="N26" i="18"/>
  <c r="G26" i="18" s="1"/>
  <c r="I26" i="18"/>
  <c r="L26" i="18" s="1"/>
  <c r="N25" i="18"/>
  <c r="G25" i="18" s="1"/>
  <c r="I25" i="18"/>
  <c r="L25" i="18" s="1"/>
  <c r="N24" i="18"/>
  <c r="G24" i="18" s="1"/>
  <c r="I24" i="18"/>
  <c r="L24" i="18" s="1"/>
  <c r="N23" i="18"/>
  <c r="G23" i="18" s="1"/>
  <c r="I23" i="18"/>
  <c r="L23" i="18" s="1"/>
  <c r="N22" i="18"/>
  <c r="G22" i="18" s="1"/>
  <c r="I22" i="18"/>
  <c r="L22" i="18" s="1"/>
  <c r="N21" i="18"/>
  <c r="I21" i="18"/>
  <c r="L21" i="18" s="1"/>
  <c r="G21" i="18"/>
  <c r="N20" i="18"/>
  <c r="I20" i="18"/>
  <c r="L20" i="18" s="1"/>
  <c r="G20" i="18"/>
  <c r="N19" i="18"/>
  <c r="G19" i="18" s="1"/>
  <c r="I19" i="18"/>
  <c r="L19" i="18" s="1"/>
  <c r="N18" i="18"/>
  <c r="G18" i="18" s="1"/>
  <c r="I18" i="18"/>
  <c r="L18" i="18" s="1"/>
  <c r="N17" i="18"/>
  <c r="G17" i="18" s="1"/>
  <c r="I17" i="18"/>
  <c r="L17" i="18" s="1"/>
  <c r="N16" i="18"/>
  <c r="G16" i="18" s="1"/>
  <c r="I16" i="18"/>
  <c r="L16" i="18" s="1"/>
  <c r="E39" i="18" l="1"/>
  <c r="D39" i="18"/>
  <c r="L39" i="18"/>
  <c r="N15" i="18" l="1"/>
  <c r="G15" i="18" s="1"/>
  <c r="F14" i="18" l="1"/>
  <c r="F38" i="18" s="1"/>
  <c r="J14" i="18" l="1"/>
  <c r="J38" i="18" s="1"/>
  <c r="M8" i="18" l="1"/>
  <c r="T14" i="21" l="1"/>
  <c r="T1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 i="21"/>
  <c r="A4" i="21"/>
  <c r="B4" i="21"/>
  <c r="D4" i="21"/>
  <c r="F4" i="21"/>
  <c r="G4" i="21"/>
  <c r="H4" i="21"/>
  <c r="K4" i="21"/>
  <c r="L4" i="21"/>
  <c r="N4" i="21"/>
  <c r="A5" i="21"/>
  <c r="B5" i="21"/>
  <c r="D5" i="21"/>
  <c r="F5" i="21"/>
  <c r="G5" i="21"/>
  <c r="H5" i="21"/>
  <c r="K5" i="21"/>
  <c r="L5" i="21"/>
  <c r="N5" i="21"/>
  <c r="T5" i="21"/>
  <c r="A6" i="21"/>
  <c r="B6" i="21"/>
  <c r="D6" i="21"/>
  <c r="F6" i="21"/>
  <c r="G6" i="21"/>
  <c r="H6" i="21"/>
  <c r="K6" i="21"/>
  <c r="L6" i="21"/>
  <c r="N6" i="21"/>
  <c r="T6" i="21"/>
  <c r="A7" i="21"/>
  <c r="B7" i="21"/>
  <c r="D7" i="21"/>
  <c r="F7" i="21"/>
  <c r="G7" i="21"/>
  <c r="H7" i="21"/>
  <c r="K7" i="21"/>
  <c r="L7" i="21"/>
  <c r="N7" i="21"/>
  <c r="T7" i="21"/>
  <c r="A8" i="21"/>
  <c r="B8" i="21"/>
  <c r="D8" i="21"/>
  <c r="F8" i="21"/>
  <c r="G8" i="21"/>
  <c r="H8" i="21"/>
  <c r="K8" i="21"/>
  <c r="L8" i="21"/>
  <c r="M8" i="21"/>
  <c r="N8" i="21"/>
  <c r="A9" i="21"/>
  <c r="B9" i="21"/>
  <c r="D9" i="21"/>
  <c r="F9" i="21"/>
  <c r="G9" i="21"/>
  <c r="H9" i="21"/>
  <c r="K9" i="21"/>
  <c r="L9" i="21"/>
  <c r="N9" i="21"/>
  <c r="A10" i="21"/>
  <c r="B10" i="21"/>
  <c r="D10" i="21"/>
  <c r="F10" i="21"/>
  <c r="G10" i="21"/>
  <c r="H10" i="21"/>
  <c r="K10" i="21"/>
  <c r="L10" i="21"/>
  <c r="N10" i="21"/>
  <c r="A11" i="21"/>
  <c r="B11" i="21"/>
  <c r="D11" i="21"/>
  <c r="F11" i="21"/>
  <c r="G11" i="21"/>
  <c r="H11" i="21"/>
  <c r="K11" i="21"/>
  <c r="L11" i="21"/>
  <c r="M11" i="21"/>
  <c r="N11" i="21"/>
  <c r="T11" i="21"/>
  <c r="A12" i="21"/>
  <c r="B12" i="21"/>
  <c r="D12" i="21"/>
  <c r="F12" i="21"/>
  <c r="G12" i="21"/>
  <c r="H12" i="21"/>
  <c r="K12" i="21"/>
  <c r="L12" i="21"/>
  <c r="M12" i="21"/>
  <c r="N12" i="21"/>
  <c r="T12" i="21"/>
  <c r="A13" i="21"/>
  <c r="B13" i="21"/>
  <c r="D13" i="21"/>
  <c r="F13" i="21"/>
  <c r="G13" i="21"/>
  <c r="H13" i="21"/>
  <c r="K13" i="21"/>
  <c r="L13" i="21"/>
  <c r="M13" i="21"/>
  <c r="N13" i="21"/>
  <c r="O13" i="21"/>
  <c r="A14" i="21"/>
  <c r="B14" i="21"/>
  <c r="D14" i="21"/>
  <c r="F14" i="21"/>
  <c r="G14" i="21"/>
  <c r="H14" i="21"/>
  <c r="K14" i="21"/>
  <c r="L14" i="21"/>
  <c r="M14" i="21"/>
  <c r="N14" i="21"/>
  <c r="O14" i="21"/>
  <c r="A15" i="21"/>
  <c r="B15" i="21"/>
  <c r="D15" i="21"/>
  <c r="F15" i="21"/>
  <c r="G15" i="21"/>
  <c r="H15" i="21"/>
  <c r="K15" i="21"/>
  <c r="L15" i="21"/>
  <c r="N15" i="21"/>
  <c r="A16" i="21"/>
  <c r="B16" i="21"/>
  <c r="D16" i="21"/>
  <c r="F16" i="21"/>
  <c r="G16" i="21"/>
  <c r="H16" i="21"/>
  <c r="K16" i="21"/>
  <c r="L16" i="21"/>
  <c r="N16" i="21"/>
  <c r="A17" i="21"/>
  <c r="B17" i="21"/>
  <c r="D17" i="21"/>
  <c r="F17" i="21"/>
  <c r="G17" i="21"/>
  <c r="H17" i="21"/>
  <c r="K17" i="21"/>
  <c r="L17" i="21"/>
  <c r="M17" i="21"/>
  <c r="N17" i="21"/>
  <c r="A18" i="21"/>
  <c r="B18" i="21"/>
  <c r="D18" i="21"/>
  <c r="F18" i="21"/>
  <c r="G18" i="21"/>
  <c r="H18" i="21"/>
  <c r="K18" i="21"/>
  <c r="L18" i="21"/>
  <c r="N18" i="21"/>
  <c r="A19" i="21"/>
  <c r="B19" i="21"/>
  <c r="D19" i="21"/>
  <c r="F19" i="21"/>
  <c r="G19" i="21"/>
  <c r="H19" i="21"/>
  <c r="K19" i="21"/>
  <c r="L19" i="21"/>
  <c r="M19" i="21"/>
  <c r="N19" i="21"/>
  <c r="A20" i="21"/>
  <c r="B20" i="21"/>
  <c r="D20" i="21"/>
  <c r="F20" i="21"/>
  <c r="G20" i="21"/>
  <c r="H20" i="21"/>
  <c r="K20" i="21"/>
  <c r="L20" i="21"/>
  <c r="M20" i="21"/>
  <c r="N20" i="21"/>
  <c r="A21" i="21"/>
  <c r="B21" i="21"/>
  <c r="D21" i="21"/>
  <c r="F21" i="21"/>
  <c r="G21" i="21"/>
  <c r="H21" i="21"/>
  <c r="K21" i="21"/>
  <c r="L21" i="21"/>
  <c r="M21" i="21"/>
  <c r="N21" i="21"/>
  <c r="A22" i="21"/>
  <c r="B22" i="21"/>
  <c r="D22" i="21"/>
  <c r="F22" i="21"/>
  <c r="G22" i="21"/>
  <c r="H22" i="21"/>
  <c r="K22" i="21"/>
  <c r="L22" i="21"/>
  <c r="M22" i="21"/>
  <c r="N22" i="21"/>
  <c r="A23" i="21"/>
  <c r="B23" i="21"/>
  <c r="D23" i="21"/>
  <c r="F23" i="21"/>
  <c r="G23" i="21"/>
  <c r="H23" i="21"/>
  <c r="K23" i="21"/>
  <c r="L23" i="21"/>
  <c r="N23" i="21"/>
  <c r="A24" i="21"/>
  <c r="B24" i="21"/>
  <c r="D24" i="21"/>
  <c r="F24" i="21"/>
  <c r="G24" i="21"/>
  <c r="H24" i="21"/>
  <c r="K24" i="21"/>
  <c r="L24" i="21"/>
  <c r="N24" i="21"/>
  <c r="A25" i="21"/>
  <c r="B25" i="21"/>
  <c r="D25" i="21"/>
  <c r="F25" i="21"/>
  <c r="G25" i="21"/>
  <c r="H25" i="21"/>
  <c r="K25" i="21"/>
  <c r="L25" i="21"/>
  <c r="N25" i="21"/>
  <c r="A26" i="21"/>
  <c r="B26" i="21"/>
  <c r="D26" i="21"/>
  <c r="F26" i="21"/>
  <c r="G26" i="21"/>
  <c r="H26" i="21"/>
  <c r="K26" i="21"/>
  <c r="L26" i="21"/>
  <c r="N26" i="21"/>
  <c r="A27" i="21"/>
  <c r="B27" i="21"/>
  <c r="D27" i="21"/>
  <c r="F27" i="21"/>
  <c r="G27" i="21"/>
  <c r="H27" i="21"/>
  <c r="K27" i="21"/>
  <c r="L27" i="21"/>
  <c r="N27" i="21"/>
  <c r="A28" i="21"/>
  <c r="B28" i="21"/>
  <c r="D28" i="21"/>
  <c r="F28" i="21"/>
  <c r="G28" i="21"/>
  <c r="H28" i="21"/>
  <c r="K28" i="21"/>
  <c r="L28" i="21"/>
  <c r="M28" i="21"/>
  <c r="N28" i="21"/>
  <c r="O28" i="21"/>
  <c r="T28" i="21"/>
  <c r="A29" i="21"/>
  <c r="B29" i="21"/>
  <c r="D29" i="21"/>
  <c r="F29" i="21"/>
  <c r="G29" i="21"/>
  <c r="H29" i="21"/>
  <c r="K29" i="21"/>
  <c r="L29" i="21"/>
  <c r="N29" i="21"/>
  <c r="A30" i="21"/>
  <c r="B30" i="21"/>
  <c r="D30" i="21"/>
  <c r="F30" i="21"/>
  <c r="G30" i="21"/>
  <c r="H30" i="21"/>
  <c r="K30" i="21"/>
  <c r="L30" i="21"/>
  <c r="N30" i="21"/>
  <c r="A31" i="21"/>
  <c r="B31" i="21"/>
  <c r="D31" i="21"/>
  <c r="F31" i="21"/>
  <c r="G31" i="21"/>
  <c r="H31" i="21"/>
  <c r="K31" i="21"/>
  <c r="L31" i="21"/>
  <c r="M31" i="21"/>
  <c r="N31" i="21"/>
  <c r="T31" i="21"/>
  <c r="A32" i="21"/>
  <c r="B32" i="21"/>
  <c r="D32" i="21"/>
  <c r="F32" i="21"/>
  <c r="G32" i="21"/>
  <c r="H32" i="21"/>
  <c r="K32" i="21"/>
  <c r="L32" i="21"/>
  <c r="M32" i="21"/>
  <c r="N32" i="21"/>
  <c r="T32" i="21"/>
  <c r="A33" i="21"/>
  <c r="B33" i="21"/>
  <c r="D33" i="21"/>
  <c r="F33" i="21"/>
  <c r="G33" i="21"/>
  <c r="H33" i="21"/>
  <c r="K33" i="21"/>
  <c r="L33" i="21"/>
  <c r="M33" i="21"/>
  <c r="N33" i="21"/>
  <c r="T33" i="21"/>
  <c r="A34" i="21"/>
  <c r="B34" i="21"/>
  <c r="D34" i="21"/>
  <c r="F34" i="21"/>
  <c r="G34" i="21"/>
  <c r="H34" i="21"/>
  <c r="K34" i="21"/>
  <c r="L34" i="21"/>
  <c r="M34" i="21"/>
  <c r="N34" i="21"/>
  <c r="T34" i="21"/>
  <c r="O3" i="21"/>
  <c r="M3" i="21"/>
  <c r="N3" i="21"/>
  <c r="L3" i="21"/>
  <c r="K3" i="21"/>
  <c r="H3" i="21"/>
  <c r="G3" i="21"/>
  <c r="F3" i="21"/>
  <c r="D3" i="21"/>
  <c r="B3" i="21"/>
  <c r="A3" i="21"/>
  <c r="M15" i="21"/>
  <c r="O8" i="21"/>
  <c r="T19" i="21" l="1"/>
  <c r="T20" i="21"/>
  <c r="T21" i="21"/>
  <c r="T22" i="21"/>
  <c r="T17" i="21"/>
  <c r="T18" i="21"/>
  <c r="T16" i="21"/>
  <c r="T10" i="21"/>
  <c r="T4" i="21"/>
  <c r="O34" i="21"/>
  <c r="O33" i="21"/>
  <c r="O32" i="21"/>
  <c r="O31" i="21"/>
  <c r="O23" i="21"/>
  <c r="O22" i="21"/>
  <c r="O21" i="21"/>
  <c r="O20" i="21"/>
  <c r="O19" i="21"/>
  <c r="O18" i="21"/>
  <c r="O17" i="21"/>
  <c r="O16" i="21"/>
  <c r="O15" i="21"/>
  <c r="O12" i="21"/>
  <c r="O11" i="21"/>
  <c r="O10" i="21"/>
  <c r="O9" i="21"/>
  <c r="O7" i="21"/>
  <c r="O6" i="21"/>
  <c r="O5" i="21"/>
  <c r="O4" i="21"/>
  <c r="T23" i="21"/>
  <c r="T15" i="21"/>
  <c r="T9" i="21"/>
  <c r="T8" i="21"/>
  <c r="M23" i="21"/>
  <c r="M18" i="21"/>
  <c r="M16" i="21"/>
  <c r="M10" i="21"/>
  <c r="M9" i="21"/>
  <c r="M7" i="21"/>
  <c r="M6" i="21"/>
  <c r="M5" i="21"/>
  <c r="M4" i="21"/>
  <c r="O30" i="21" l="1"/>
  <c r="M30" i="21"/>
  <c r="M27" i="21"/>
  <c r="O27" i="21"/>
  <c r="M25" i="21"/>
  <c r="O25" i="21"/>
  <c r="O29" i="21"/>
  <c r="M29" i="21"/>
  <c r="M26" i="21"/>
  <c r="O26" i="21"/>
  <c r="M24" i="21"/>
  <c r="O24" i="21"/>
  <c r="T3" i="21"/>
  <c r="T27" i="21" l="1"/>
  <c r="T24" i="21"/>
  <c r="T25" i="21"/>
  <c r="T29" i="21"/>
  <c r="T30" i="21"/>
  <c r="T26" i="21"/>
  <c r="I15" i="18" l="1"/>
  <c r="I14" i="18" l="1"/>
  <c r="I38" i="18" s="1"/>
  <c r="L15" i="18"/>
  <c r="L40" i="18" s="1"/>
  <c r="AW48" i="18" l="1"/>
  <c r="AX48" i="18" l="1"/>
  <c r="BD49" i="18" l="1"/>
  <c r="BD53" i="18" s="1"/>
  <c r="BJ49" i="18"/>
  <c r="BB49" i="18"/>
  <c r="BB53" i="18" s="1"/>
  <c r="BH49" i="18"/>
  <c r="BH53" i="18" s="1"/>
  <c r="AZ49" i="18"/>
  <c r="AZ53" i="18" s="1"/>
  <c r="AY49" i="18"/>
  <c r="AY53" i="18" s="1"/>
  <c r="BF49" i="18"/>
  <c r="BF53" i="18" s="1"/>
  <c r="BE49" i="18"/>
  <c r="BE53" i="18" s="1"/>
  <c r="BC49" i="18"/>
  <c r="BC53" i="18" s="1"/>
  <c r="BI49" i="18"/>
  <c r="BI53" i="18" s="1"/>
  <c r="BA49" i="18"/>
  <c r="BA53" i="18" s="1"/>
  <c r="BG49" i="18"/>
  <c r="BG53" i="18" s="1"/>
</calcChain>
</file>

<file path=xl/sharedStrings.xml><?xml version="1.0" encoding="utf-8"?>
<sst xmlns="http://schemas.openxmlformats.org/spreadsheetml/2006/main" count="144" uniqueCount="118">
  <si>
    <t>STT</t>
  </si>
  <si>
    <t>GHI CHÚ</t>
  </si>
  <si>
    <t>XÁC NHẬN BÊN MUA HÀNG</t>
  </si>
  <si>
    <t>(Ký, ghi rõ họ tên)</t>
  </si>
  <si>
    <t>®ång</t>
  </si>
  <si>
    <t>TỔNG TIỀN HÀNG:</t>
  </si>
  <si>
    <t>Quý khách có thể thanh toán bằng tiền mặt hoặc chuyển khoản vào một trong các tài khoản sau:</t>
  </si>
  <si>
    <t>BÁO GIÁ KIÊM ĐƠN ĐẶT HÀNG</t>
  </si>
  <si>
    <t>Công ty TNHH Gỗ GERVIN xin cảm ơn quý khách hàng đã tin dùng sản phẩm của chúng tôi và xin được báo giá như sau:</t>
  </si>
  <si>
    <t>I</t>
  </si>
  <si>
    <t>Số lượng</t>
  </si>
  <si>
    <t xml:space="preserve">Ứng trước 50% tiền đơn hàng gia công, thanh toán 50% còn lại trước khi lấy hàng tại kho, giao hàng tại nhà máy bên bán sau 2 đến 3 ngày. </t>
  </si>
  <si>
    <t>NGƯỜI CHÀO GIÁ</t>
  </si>
  <si>
    <t>Stt</t>
  </si>
  <si>
    <t>Tên hàng hóa, dịch vụ</t>
  </si>
  <si>
    <t xml:space="preserve"> Kích thước (mm) </t>
  </si>
  <si>
    <t>Rộng</t>
  </si>
  <si>
    <t>Acrylic màu 1</t>
  </si>
  <si>
    <t>Khi mua tấm Quý khách vui lòng thanh toán 100% tiền hàng trước khi chuyển hàng ra khỏi kho bên bán.</t>
  </si>
  <si>
    <t>Bảo hành cong vênh, bong tróc 12 tháng, bảo trì vĩnh viễn. Không bảo hành mối và ngập nước.</t>
  </si>
  <si>
    <t>Thanh phào (m)</t>
  </si>
  <si>
    <t>Cánh (m2)</t>
  </si>
  <si>
    <t>Lưu ý:</t>
  </si>
  <si>
    <t>+ Khách hàng phải kiểm tra và xác nhận đã nhận đầy đủ số lượng, tình trạng bên ngoài của hàng như hàng không bị xước hoặc hư hỏng.</t>
  </si>
  <si>
    <t>+ Nếu khách hàng nhận hàng mà không kiểm tra hoặc bỏ qua bước kiểm tra và ký nhận thì bên cung cấp hàng không chịu trách nhiệm về việc hư hỏng hay thiếu sót hàng tính từ thời điểm giao xong hàng.</t>
  </si>
  <si>
    <t>Ngày………….đã nhận đủ số lượng và đã kiểm tra hàng không bị xước hoặc hư hỏng.</t>
  </si>
  <si>
    <t>Cạnh vát</t>
  </si>
  <si>
    <t>Chiều vân</t>
  </si>
  <si>
    <t xml:space="preserve">Vân dọc </t>
  </si>
  <si>
    <t>Đơn giá</t>
  </si>
  <si>
    <t>Thành tiền</t>
  </si>
  <si>
    <t xml:space="preserve">Vát </t>
  </si>
  <si>
    <t xml:space="preserve">Cao (chiều vân gỗ) </t>
  </si>
  <si>
    <t xml:space="preserve">Số phiếu: </t>
  </si>
  <si>
    <t xml:space="preserve">Rộng
</t>
  </si>
  <si>
    <t>Kính đố 70 hèm s5r10</t>
  </si>
  <si>
    <t>CNC như hình vẽ</t>
  </si>
  <si>
    <r>
      <t>Địa chỉ:</t>
    </r>
    <r>
      <rPr>
        <b/>
        <sz val="11"/>
        <color theme="1"/>
        <rFont val="Times New Roman"/>
        <family val="1"/>
      </rPr>
      <t xml:space="preserve"> </t>
    </r>
  </si>
  <si>
    <t>Đơn giá trên chưa bao gồm VAT. Đúng sai ±1 mm.</t>
  </si>
  <si>
    <t xml:space="preserve">
Mã hàng</t>
  </si>
  <si>
    <t>KẾ TOÁN XÁC NHẬN</t>
  </si>
  <si>
    <t>Ngày giờ chốt đơn:</t>
  </si>
  <si>
    <t>Số ngày phải giao từ lúc chốt đơn:</t>
  </si>
  <si>
    <t>Ngày giờ phải giao hàng:</t>
  </si>
  <si>
    <t>Cắt</t>
  </si>
  <si>
    <t>Đơn hàng</t>
  </si>
  <si>
    <t>Sản phẩm</t>
  </si>
  <si>
    <t>Tên</t>
  </si>
  <si>
    <t>Vật liệu</t>
  </si>
  <si>
    <t>Dài</t>
  </si>
  <si>
    <t>Dày</t>
  </si>
  <si>
    <t>Kí hiệu nẹp L1</t>
  </si>
  <si>
    <t>Kí hiệu nẹp L2</t>
  </si>
  <si>
    <t>Kí hiệu nẹp W1</t>
  </si>
  <si>
    <t>Kí hiệu nẹp W2</t>
  </si>
  <si>
    <t>Dày nẹp L1</t>
  </si>
  <si>
    <t>Dày nẹp L2</t>
  </si>
  <si>
    <t>Dày nẹp W1</t>
  </si>
  <si>
    <t>Dày nẹp W2</t>
  </si>
  <si>
    <t>Ghi chú</t>
  </si>
  <si>
    <t>Bao trong-Dịch trái</t>
  </si>
  <si>
    <t>Bao trong-Dịch phải</t>
  </si>
  <si>
    <t>Bao trong-Dịch trên</t>
  </si>
  <si>
    <t>Bao trong-Dịch dưới</t>
  </si>
  <si>
    <t>Xoi-Dịch trái-1</t>
  </si>
  <si>
    <t>Xoi-Dịch phải-1</t>
  </si>
  <si>
    <t>Xoi-Dịch trên-1</t>
  </si>
  <si>
    <t>Xoi-Dịch dưới-1</t>
  </si>
  <si>
    <t>Xoi-Rộng-1</t>
  </si>
  <si>
    <t>Xoi-Sâu-1</t>
  </si>
  <si>
    <t>Xoi-Dịch trái-2</t>
  </si>
  <si>
    <t>Xoi-Dịch phải-2</t>
  </si>
  <si>
    <t>Xoi-Dịch trên-2</t>
  </si>
  <si>
    <t>Xoi-Dịch dưới-2</t>
  </si>
  <si>
    <t>Xoi-Rộng-2</t>
  </si>
  <si>
    <t>Xoi-Sâu-2</t>
  </si>
  <si>
    <t>Cutting</t>
  </si>
  <si>
    <t>Order</t>
  </si>
  <si>
    <t>Product Name</t>
  </si>
  <si>
    <t>Order Number</t>
  </si>
  <si>
    <t>Detail Name</t>
  </si>
  <si>
    <t>Material</t>
  </si>
  <si>
    <t>Height</t>
  </si>
  <si>
    <t>Width</t>
  </si>
  <si>
    <t>Thickness</t>
  </si>
  <si>
    <t>Texture Orientation</t>
  </si>
  <si>
    <t>Quantity</t>
  </si>
  <si>
    <t>Edge Banding L1</t>
  </si>
  <si>
    <t>Edge Banding L2</t>
  </si>
  <si>
    <t>Edge Banding W1</t>
  </si>
  <si>
    <t>Edge Banding W2</t>
  </si>
  <si>
    <t>L1 Thickness</t>
  </si>
  <si>
    <t>L2 Thickness</t>
  </si>
  <si>
    <t>W1 Thickness</t>
  </si>
  <si>
    <t>W2 Thickness</t>
  </si>
  <si>
    <t>Note</t>
  </si>
  <si>
    <t>Internal Cutting Left Offset</t>
  </si>
  <si>
    <t>Internal Cutting Right Offset</t>
  </si>
  <si>
    <t>Internal Cutting Top Offset</t>
  </si>
  <si>
    <t>Internal Cutting Bottom Offset</t>
  </si>
  <si>
    <t>Milling Left Offset 1</t>
  </si>
  <si>
    <t>Milling Right Offset 1</t>
  </si>
  <si>
    <t>Milling Top Offset 1</t>
  </si>
  <si>
    <t>Milling Bottom Offset 1</t>
  </si>
  <si>
    <t>Milling Width 1</t>
  </si>
  <si>
    <t>Milling Depth 1</t>
  </si>
  <si>
    <t>Milling Left Offset 2</t>
  </si>
  <si>
    <t>Milling Right Offset 2</t>
  </si>
  <si>
    <t>Milling Top Offset 2</t>
  </si>
  <si>
    <t>Milling Bottom Offset 2</t>
  </si>
  <si>
    <t>Milling Width 2</t>
  </si>
  <si>
    <t>Milling Depth 2</t>
  </si>
  <si>
    <t>Tặng kính giá bát</t>
  </si>
  <si>
    <t xml:space="preserve">Chính sách KH: </t>
  </si>
  <si>
    <r>
      <t xml:space="preserve">Khách hàng: </t>
    </r>
    <r>
      <rPr>
        <b/>
        <sz val="11"/>
        <color theme="1"/>
        <rFont val="Times New Roman"/>
        <family val="1"/>
      </rPr>
      <t>KH0000 - Tên Khách hàng</t>
    </r>
  </si>
  <si>
    <t>Ngày 10 tháng 03 năm 2026</t>
  </si>
  <si>
    <t>GV00.TP</t>
  </si>
  <si>
    <r>
      <rPr>
        <b/>
        <sz val="11"/>
        <rFont val="Times New Roman"/>
        <family val="1"/>
      </rPr>
      <t>Cốt MDF chống ẩm 17mm</t>
    </r>
    <r>
      <rPr>
        <sz val="11"/>
        <rFont val="Times New Roman"/>
        <family val="1"/>
      </rPr>
      <t xml:space="preserve">, 1 mặt </t>
    </r>
    <r>
      <rPr>
        <b/>
        <sz val="11"/>
        <rFont val="Times New Roman"/>
        <family val="1"/>
      </rPr>
      <t xml:space="preserve">Acrylic GV00 chống xước cao, </t>
    </r>
    <r>
      <rPr>
        <sz val="11"/>
        <rFont val="Times New Roman"/>
        <family val="1"/>
      </rPr>
      <t>1 mặt acrylic chống cong vênh trắng bóng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</si>
</sst>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_);_(* \(#,##0.00\);_(* &quot;-&quot;??_);_(@_)"/>
    <numFmt numFmtId="166" formatCode="_(* #,##0_);_(* \(#,##0\);_(* &quot;-&quot;??_);_(@_)"/>
    <numFmt numFmtId="170" formatCode="dd/mm/yyyy\ h:mm:ss"/>
  </numFmts>
  <fonts count="34">
    <font>
      <sz val="12"/>
      <color theme="1"/>
      <name val="Times New Roman"/>
      <family val="2"/>
    </font>
    <font>
      <sz val="11"/>
      <color theme="1"/>
      <name val="Arial"/>
      <family val="2"/>
      <scheme val="minor"/>
    </font>
    <font>
      <sz val="12"/>
      <color theme="1"/>
      <name val="Times New Roman"/>
      <family val="1"/>
    </font>
    <font>
      <sz val="11"/>
      <name val="Times New Roman"/>
      <family val="1"/>
    </font>
    <font>
      <sz val="11"/>
      <color theme="1"/>
      <name val="Times New Roman"/>
      <family val="1"/>
    </font>
    <font>
      <b/>
      <sz val="11"/>
      <color theme="1"/>
      <name val="Times New Roman"/>
      <family val="1"/>
    </font>
    <font>
      <sz val="12"/>
      <color theme="1"/>
      <name val="Times New Roman"/>
      <family val="2"/>
    </font>
    <font>
      <sz val="9"/>
      <color theme="1"/>
      <name val="Times New Roman"/>
      <family val="1"/>
    </font>
    <font>
      <sz val="9"/>
      <name val="Times New Roman"/>
      <family val="1"/>
    </font>
    <font>
      <b/>
      <i/>
      <sz val="11"/>
      <name val="Times New Roman"/>
      <family val="1"/>
    </font>
    <font>
      <b/>
      <sz val="11"/>
      <name val="Times New Roman"/>
      <family val="1"/>
    </font>
    <font>
      <sz val="11"/>
      <name val="VNI-Times"/>
    </font>
    <font>
      <b/>
      <sz val="9"/>
      <color theme="1"/>
      <name val=".VnTime"/>
      <family val="2"/>
    </font>
    <font>
      <sz val="10"/>
      <name val="VNI-Times"/>
    </font>
    <font>
      <b/>
      <sz val="9"/>
      <name val=".VnTime"/>
      <family val="2"/>
    </font>
    <font>
      <sz val="9"/>
      <color theme="1"/>
      <name val=".VnTime"/>
      <family val="2"/>
    </font>
    <font>
      <sz val="9"/>
      <name val=".VnTime"/>
      <family val="2"/>
    </font>
    <font>
      <sz val="10"/>
      <name val=".VnArial"/>
      <family val="2"/>
    </font>
    <font>
      <sz val="11"/>
      <color theme="1"/>
      <name val="Times New Roman"/>
      <family val="2"/>
    </font>
    <font>
      <b/>
      <i/>
      <sz val="11"/>
      <name val=".VnTime"/>
      <family val="2"/>
    </font>
    <font>
      <b/>
      <sz val="18"/>
      <color theme="1"/>
      <name val="Times New Roman"/>
      <family val="1"/>
    </font>
    <font>
      <b/>
      <i/>
      <sz val="11"/>
      <color rgb="FFFF0000"/>
      <name val="Times New Roman"/>
      <family val="1"/>
    </font>
    <font>
      <b/>
      <sz val="12"/>
      <color theme="1"/>
      <name val="Times New Roman"/>
      <family val="1"/>
    </font>
    <font>
      <sz val="11"/>
      <color indexed="8"/>
      <name val="Calibri"/>
      <family val="2"/>
      <charset val="1"/>
    </font>
    <font>
      <sz val="12"/>
      <name val="Times New Roman"/>
      <family val="1"/>
      <charset val="163"/>
    </font>
    <font>
      <sz val="14"/>
      <color indexed="8"/>
      <name val="Times New Roman"/>
      <family val="1"/>
    </font>
    <font>
      <sz val="11"/>
      <color indexed="8"/>
      <name val="Times New Roman"/>
      <family val="1"/>
    </font>
    <font>
      <b/>
      <sz val="11"/>
      <color rgb="FFFF0000"/>
      <name val="Times New Roman"/>
      <family val="1"/>
    </font>
    <font>
      <sz val="10"/>
      <color rgb="FF000000"/>
      <name val="Arial"/>
      <family val="2"/>
      <scheme val="minor"/>
    </font>
    <font>
      <sz val="12"/>
      <color rgb="FF000000"/>
      <name val="Times New Roman"/>
      <family val="1"/>
    </font>
    <font>
      <sz val="12"/>
      <color rgb="FFFF0000"/>
      <name val="Times New Roman"/>
      <family val="2"/>
    </font>
    <font>
      <sz val="12"/>
      <name val="Times New Roman"/>
      <family val="2"/>
    </font>
    <font>
      <sz val="11"/>
      <name val="Times New Roman"/>
      <family val="2"/>
    </font>
    <font>
      <b/>
      <sz val="16"/>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0"/>
        <bgColor indexed="26"/>
      </patternFill>
    </fill>
    <fill>
      <patternFill patternType="solid">
        <fgColor theme="8" tint="0.59999389629810485"/>
        <bgColor indexed="64"/>
      </patternFill>
    </fill>
    <fill>
      <patternFill patternType="solid">
        <fgColor theme="8" tint="0.59999389629810485"/>
        <bgColor indexed="26"/>
      </patternFill>
    </fill>
    <fill>
      <patternFill patternType="solid">
        <fgColor theme="9"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0" fontId="1" fillId="0" borderId="0"/>
    <xf numFmtId="165" fontId="1" fillId="0" borderId="0" applyFont="0" applyFill="0" applyBorder="0" applyAlignment="0" applyProtection="0"/>
    <xf numFmtId="165" fontId="6" fillId="0" borderId="0" applyFont="0" applyFill="0" applyBorder="0" applyAlignment="0" applyProtection="0"/>
    <xf numFmtId="0" fontId="11" fillId="0" borderId="0"/>
    <xf numFmtId="0" fontId="13" fillId="0" borderId="0"/>
    <xf numFmtId="0" fontId="17" fillId="0" borderId="0"/>
    <xf numFmtId="0" fontId="23" fillId="0" borderId="0"/>
    <xf numFmtId="0" fontId="28" fillId="0" borderId="0"/>
  </cellStyleXfs>
  <cellXfs count="140">
    <xf numFmtId="0" fontId="0" fillId="0" borderId="0" xfId="0"/>
    <xf numFmtId="0" fontId="4" fillId="0" borderId="0" xfId="0" applyFont="1" applyAlignment="1" applyProtection="1">
      <alignment vertical="center"/>
      <protection locked="0"/>
    </xf>
    <xf numFmtId="0" fontId="3"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protection locked="0"/>
    </xf>
    <xf numFmtId="165" fontId="18" fillId="0" borderId="0" xfId="3" applyFont="1" applyAlignment="1" applyProtection="1">
      <alignment horizontal="center" vertical="center"/>
      <protection locked="0"/>
    </xf>
    <xf numFmtId="0" fontId="18" fillId="0" borderId="0" xfId="0" applyFont="1" applyAlignment="1" applyProtection="1">
      <alignment horizontal="left" vertical="center"/>
      <protection locked="0"/>
    </xf>
    <xf numFmtId="0" fontId="5"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left" vertical="center"/>
      <protection locked="0"/>
    </xf>
    <xf numFmtId="0" fontId="10" fillId="4" borderId="1" xfId="1" applyFont="1" applyFill="1" applyBorder="1" applyAlignment="1" applyProtection="1">
      <alignment horizontal="center" vertical="center" wrapText="1"/>
      <protection locked="0"/>
    </xf>
    <xf numFmtId="2" fontId="10" fillId="4" borderId="1" xfId="1"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5" fillId="2" borderId="1" xfId="0" applyFont="1" applyFill="1" applyBorder="1" applyAlignment="1" applyProtection="1">
      <alignment vertical="center"/>
      <protection locked="0"/>
    </xf>
    <xf numFmtId="0" fontId="5" fillId="2" borderId="1" xfId="0"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6" borderId="1" xfId="0" applyFont="1" applyFill="1" applyBorder="1" applyAlignment="1" applyProtection="1">
      <alignment horizontal="center" vertical="center"/>
      <protection locked="0"/>
    </xf>
    <xf numFmtId="0" fontId="4" fillId="6" borderId="1" xfId="0" applyFont="1" applyFill="1" applyBorder="1" applyAlignment="1" applyProtection="1">
      <alignment vertical="center" wrapText="1"/>
      <protection locked="0"/>
    </xf>
    <xf numFmtId="166" fontId="18" fillId="0" borderId="0" xfId="3" applyNumberFormat="1" applyFont="1" applyAlignment="1" applyProtection="1">
      <alignment horizontal="center" vertical="center"/>
      <protection locked="0"/>
    </xf>
    <xf numFmtId="166" fontId="3" fillId="6" borderId="1" xfId="3" applyNumberFormat="1" applyFont="1" applyFill="1" applyBorder="1" applyAlignment="1" applyProtection="1">
      <alignment horizontal="center" vertical="center" wrapText="1"/>
      <protection locked="0"/>
    </xf>
    <xf numFmtId="166" fontId="5" fillId="2" borderId="1" xfId="3" applyNumberFormat="1" applyFont="1" applyFill="1" applyBorder="1" applyAlignment="1" applyProtection="1">
      <alignment horizontal="center" vertical="center"/>
      <protection locked="0"/>
    </xf>
    <xf numFmtId="1" fontId="3" fillId="5" borderId="1" xfId="7" applyNumberFormat="1" applyFont="1" applyFill="1" applyBorder="1" applyAlignment="1" applyProtection="1">
      <alignment horizontal="center" vertical="center"/>
      <protection locked="0"/>
    </xf>
    <xf numFmtId="0" fontId="18" fillId="0" borderId="0" xfId="0" applyFont="1" applyAlignment="1">
      <alignment horizontal="center" vertical="center"/>
    </xf>
    <xf numFmtId="0" fontId="5" fillId="0" borderId="0" xfId="0" applyFont="1" applyAlignment="1">
      <alignment horizontal="left" vertical="center"/>
    </xf>
    <xf numFmtId="0" fontId="18" fillId="0" borderId="0" xfId="0" applyFont="1" applyAlignment="1">
      <alignment vertical="center"/>
    </xf>
    <xf numFmtId="165" fontId="18" fillId="0" borderId="0" xfId="3" applyFont="1" applyAlignment="1" applyProtection="1">
      <alignment horizontal="center" vertical="center"/>
    </xf>
    <xf numFmtId="166" fontId="18" fillId="0" borderId="0" xfId="3" applyNumberFormat="1" applyFont="1" applyAlignment="1" applyProtection="1">
      <alignment horizontal="center" vertical="center"/>
    </xf>
    <xf numFmtId="0" fontId="18" fillId="0" borderId="0" xfId="0" applyFont="1" applyAlignment="1">
      <alignment horizontal="left" vertical="center"/>
    </xf>
    <xf numFmtId="0" fontId="5" fillId="0" borderId="0" xfId="0" applyFont="1" applyAlignment="1">
      <alignment horizontal="center" vertical="center"/>
    </xf>
    <xf numFmtId="0" fontId="20" fillId="0" borderId="0" xfId="0" applyFont="1" applyAlignment="1">
      <alignment horizontal="center" vertical="center"/>
    </xf>
    <xf numFmtId="165" fontId="5" fillId="0" borderId="0" xfId="3" applyFont="1" applyAlignment="1" applyProtection="1">
      <alignment horizontal="center" vertical="center"/>
    </xf>
    <xf numFmtId="166" fontId="5" fillId="0" borderId="0" xfId="3" applyNumberFormat="1" applyFont="1" applyAlignment="1" applyProtection="1">
      <alignment horizontal="center" vertical="center"/>
    </xf>
    <xf numFmtId="0" fontId="27"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22" fillId="0" borderId="0" xfId="0" applyFont="1" applyAlignment="1">
      <alignment horizontal="left" vertical="center" indent="1"/>
    </xf>
    <xf numFmtId="0" fontId="9" fillId="0" borderId="0" xfId="0" applyFont="1" applyAlignment="1">
      <alignment vertical="center" wrapText="1"/>
    </xf>
    <xf numFmtId="0" fontId="19" fillId="0" borderId="0" xfId="0" applyFont="1" applyAlignment="1">
      <alignment horizontal="center" vertical="center" wrapText="1"/>
    </xf>
    <xf numFmtId="166" fontId="19" fillId="0" borderId="0" xfId="0" applyNumberFormat="1" applyFont="1" applyAlignment="1">
      <alignment horizontal="center" vertical="center" wrapText="1"/>
    </xf>
    <xf numFmtId="166" fontId="19" fillId="0" borderId="0" xfId="3" applyNumberFormat="1" applyFont="1" applyBorder="1" applyAlignment="1" applyProtection="1">
      <alignment horizontal="center" vertical="center" wrapText="1"/>
    </xf>
    <xf numFmtId="0" fontId="21" fillId="0" borderId="0" xfId="0" applyFont="1" applyAlignment="1">
      <alignment horizontal="left" vertical="center"/>
    </xf>
    <xf numFmtId="0" fontId="4" fillId="0" borderId="0" xfId="0" quotePrefix="1" applyFont="1" applyAlignment="1">
      <alignment vertical="center"/>
    </xf>
    <xf numFmtId="166" fontId="4" fillId="0" borderId="0" xfId="0" quotePrefix="1" applyNumberFormat="1" applyFont="1" applyAlignment="1">
      <alignment horizontal="left" vertical="center" wrapText="1"/>
    </xf>
    <xf numFmtId="166" fontId="4" fillId="0" borderId="0" xfId="3" quotePrefix="1" applyNumberFormat="1" applyFont="1" applyAlignment="1" applyProtection="1">
      <alignment horizontal="left" vertical="center" wrapText="1"/>
    </xf>
    <xf numFmtId="0" fontId="4" fillId="0" borderId="0" xfId="0" quotePrefix="1" applyFont="1" applyAlignment="1">
      <alignment vertical="center" wrapText="1"/>
    </xf>
    <xf numFmtId="0" fontId="9" fillId="0" borderId="0" xfId="0" applyFont="1" applyAlignment="1">
      <alignment horizontal="left" vertical="center"/>
    </xf>
    <xf numFmtId="165" fontId="4" fillId="0" borderId="0" xfId="3" applyFont="1" applyAlignment="1" applyProtection="1">
      <alignment horizontal="center" vertical="center"/>
    </xf>
    <xf numFmtId="0" fontId="10" fillId="0" borderId="0" xfId="0" applyFont="1" applyAlignment="1">
      <alignment horizontal="center" vertical="center"/>
    </xf>
    <xf numFmtId="166" fontId="4" fillId="0" borderId="0" xfId="3" applyNumberFormat="1" applyFont="1" applyAlignment="1" applyProtection="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165" fontId="3" fillId="0" borderId="0" xfId="3" applyFont="1" applyAlignment="1" applyProtection="1">
      <alignment horizontal="center" vertical="center"/>
    </xf>
    <xf numFmtId="165" fontId="3" fillId="0" borderId="0" xfId="3" applyFont="1" applyBorder="1" applyAlignment="1" applyProtection="1">
      <alignment horizontal="center" vertical="center" wrapText="1"/>
    </xf>
    <xf numFmtId="166" fontId="3" fillId="0" borderId="0" xfId="3" applyNumberFormat="1" applyFont="1" applyBorder="1" applyAlignment="1" applyProtection="1">
      <alignment horizontal="center" vertical="center" wrapText="1"/>
    </xf>
    <xf numFmtId="0" fontId="2" fillId="0" borderId="0" xfId="0" applyFont="1" applyAlignment="1">
      <alignment vertical="center"/>
    </xf>
    <xf numFmtId="0" fontId="4" fillId="0" borderId="0" xfId="0" applyFont="1" applyAlignment="1">
      <alignment horizontal="left" vertical="center"/>
    </xf>
    <xf numFmtId="166" fontId="3" fillId="0" borderId="0" xfId="3" applyNumberFormat="1" applyFont="1" applyAlignment="1" applyProtection="1">
      <alignment horizontal="center" vertical="center"/>
    </xf>
    <xf numFmtId="0" fontId="3" fillId="0" borderId="0" xfId="0" applyFont="1" applyAlignment="1">
      <alignment horizontal="left" vertical="center"/>
    </xf>
    <xf numFmtId="166" fontId="3" fillId="0" borderId="0" xfId="3" applyNumberFormat="1" applyFont="1" applyAlignment="1" applyProtection="1">
      <alignment vertical="center"/>
    </xf>
    <xf numFmtId="0" fontId="10" fillId="0" borderId="0" xfId="0" applyFont="1" applyAlignment="1">
      <alignment vertical="center"/>
    </xf>
    <xf numFmtId="0" fontId="10" fillId="4" borderId="1" xfId="1" applyFont="1" applyFill="1" applyBorder="1" applyAlignment="1">
      <alignment horizontal="center" vertical="center" wrapText="1"/>
    </xf>
    <xf numFmtId="0" fontId="18" fillId="2" borderId="1" xfId="0" applyFont="1" applyFill="1" applyBorder="1" applyAlignment="1">
      <alignment horizontal="center" vertical="center"/>
    </xf>
    <xf numFmtId="165" fontId="10" fillId="4" borderId="1" xfId="1" applyNumberFormat="1" applyFont="1" applyFill="1" applyBorder="1" applyAlignment="1" applyProtection="1">
      <alignment horizontal="center" vertical="center" wrapText="1"/>
      <protection locked="0"/>
    </xf>
    <xf numFmtId="0" fontId="5" fillId="0" borderId="1" xfId="0" applyFont="1" applyBorder="1" applyAlignment="1">
      <alignment vertical="center" wrapText="1"/>
    </xf>
    <xf numFmtId="1" fontId="10" fillId="4" borderId="1" xfId="1" applyNumberFormat="1" applyFont="1" applyFill="1" applyBorder="1" applyAlignment="1" applyProtection="1">
      <alignment horizontal="center" vertical="center" wrapText="1"/>
      <protection locked="0"/>
    </xf>
    <xf numFmtId="1" fontId="3" fillId="5" borderId="1" xfId="7" applyNumberFormat="1" applyFont="1" applyFill="1" applyBorder="1" applyAlignment="1">
      <alignment horizontal="center" vertical="center"/>
    </xf>
    <xf numFmtId="0" fontId="4" fillId="0" borderId="0" xfId="0" quotePrefix="1" applyFont="1" applyAlignment="1">
      <alignment horizontal="center" vertical="center" wrapText="1"/>
    </xf>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165" fontId="3" fillId="0" borderId="0" xfId="3" applyFont="1" applyAlignment="1" applyProtection="1">
      <alignment vertical="center"/>
    </xf>
    <xf numFmtId="166" fontId="12" fillId="0" borderId="0" xfId="4" applyNumberFormat="1" applyFont="1" applyAlignme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5" fillId="0" borderId="0" xfId="4" applyFont="1" applyAlignment="1">
      <alignment vertical="center"/>
    </xf>
    <xf numFmtId="0" fontId="15" fillId="0" borderId="0" xfId="5" applyFont="1" applyAlignment="1">
      <alignment vertical="center"/>
    </xf>
    <xf numFmtId="0" fontId="16" fillId="0" borderId="0" xfId="5" applyFont="1" applyAlignment="1">
      <alignment vertical="center"/>
    </xf>
    <xf numFmtId="0" fontId="15" fillId="0" borderId="0" xfId="6" applyFont="1" applyAlignment="1">
      <alignment horizontal="center" vertical="center"/>
    </xf>
    <xf numFmtId="0" fontId="16" fillId="0" borderId="0" xfId="6" applyFont="1" applyAlignment="1">
      <alignment horizontal="center" vertical="center"/>
    </xf>
    <xf numFmtId="0" fontId="15" fillId="0" borderId="0" xfId="5" applyFont="1" applyAlignment="1">
      <alignment horizontal="center" vertical="center"/>
    </xf>
    <xf numFmtId="0" fontId="16" fillId="0" borderId="0" xfId="5" applyFont="1" applyAlignment="1">
      <alignment horizontal="center" vertical="center"/>
    </xf>
    <xf numFmtId="166" fontId="5" fillId="2" borderId="1" xfId="0" applyNumberFormat="1" applyFont="1" applyFill="1" applyBorder="1" applyAlignment="1">
      <alignment horizontal="center" vertical="center"/>
    </xf>
    <xf numFmtId="0" fontId="5" fillId="2" borderId="1" xfId="0" applyFont="1" applyFill="1" applyBorder="1" applyAlignment="1">
      <alignment horizontal="right" vertical="center"/>
    </xf>
    <xf numFmtId="0" fontId="3" fillId="5" borderId="1" xfId="7" applyFont="1" applyFill="1" applyBorder="1" applyAlignment="1" applyProtection="1">
      <alignment horizontal="center" vertical="center"/>
      <protection locked="0"/>
    </xf>
    <xf numFmtId="0" fontId="24" fillId="7" borderId="1" xfId="7" applyFont="1" applyFill="1" applyBorder="1" applyAlignment="1" applyProtection="1">
      <alignment horizontal="center" vertical="center"/>
      <protection locked="0"/>
    </xf>
    <xf numFmtId="1" fontId="25" fillId="7" borderId="1" xfId="7" applyNumberFormat="1" applyFont="1" applyFill="1" applyBorder="1" applyAlignment="1" applyProtection="1">
      <alignment vertical="center" wrapText="1"/>
      <protection locked="0"/>
    </xf>
    <xf numFmtId="0" fontId="4" fillId="3" borderId="1" xfId="0" applyFont="1" applyFill="1" applyBorder="1" applyAlignment="1">
      <alignment horizontal="center" vertical="center"/>
    </xf>
    <xf numFmtId="0" fontId="18" fillId="3" borderId="0" xfId="0" applyFont="1" applyFill="1" applyAlignment="1">
      <alignment vertical="center"/>
    </xf>
    <xf numFmtId="0" fontId="18" fillId="2" borderId="1" xfId="0" applyFont="1" applyFill="1" applyBorder="1" applyAlignment="1">
      <alignment horizontal="center" vertical="center" wrapText="1"/>
    </xf>
    <xf numFmtId="0" fontId="18" fillId="3" borderId="0" xfId="0" applyFont="1" applyFill="1" applyAlignment="1">
      <alignment horizontal="center" vertical="center"/>
    </xf>
    <xf numFmtId="1" fontId="10" fillId="7" borderId="1" xfId="7" applyNumberFormat="1" applyFont="1" applyFill="1" applyBorder="1" applyAlignment="1" applyProtection="1">
      <alignment horizontal="center" vertical="center"/>
      <protection locked="0"/>
    </xf>
    <xf numFmtId="2" fontId="10" fillId="7" borderId="1" xfId="7" applyNumberFormat="1" applyFont="1" applyFill="1" applyBorder="1" applyAlignment="1" applyProtection="1">
      <alignment horizontal="center" vertical="center"/>
      <protection locked="0"/>
    </xf>
    <xf numFmtId="165" fontId="3" fillId="3" borderId="1" xfId="3" applyFont="1" applyFill="1" applyBorder="1" applyAlignment="1" applyProtection="1">
      <alignment horizontal="center" vertical="center" wrapText="1"/>
      <protection locked="0"/>
    </xf>
    <xf numFmtId="166" fontId="3" fillId="3" borderId="1" xfId="3" applyNumberFormat="1" applyFont="1" applyFill="1" applyBorder="1" applyAlignment="1" applyProtection="1">
      <alignment horizontal="center" vertical="center" wrapText="1"/>
      <protection locked="0"/>
    </xf>
    <xf numFmtId="165" fontId="3" fillId="3" borderId="1" xfId="3" applyFont="1" applyFill="1" applyBorder="1" applyAlignment="1" applyProtection="1">
      <alignment horizontal="center" vertical="center" wrapText="1"/>
    </xf>
    <xf numFmtId="166" fontId="3" fillId="3" borderId="1" xfId="3" applyNumberFormat="1" applyFont="1" applyFill="1" applyBorder="1" applyAlignment="1" applyProtection="1">
      <alignment horizontal="center" vertical="center" wrapText="1"/>
    </xf>
    <xf numFmtId="165" fontId="10" fillId="6" borderId="1" xfId="3"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protection locked="0"/>
    </xf>
    <xf numFmtId="0" fontId="18" fillId="3" borderId="1" xfId="0" applyFont="1" applyFill="1" applyBorder="1" applyAlignment="1">
      <alignment horizontal="center" vertical="center" wrapText="1"/>
    </xf>
    <xf numFmtId="165" fontId="18" fillId="2" borderId="1" xfId="3" applyFont="1" applyFill="1" applyBorder="1" applyAlignment="1" applyProtection="1">
      <alignment horizontal="center" vertical="center"/>
      <protection locked="0"/>
    </xf>
    <xf numFmtId="166" fontId="18" fillId="2" borderId="1" xfId="3" applyNumberFormat="1" applyFont="1" applyFill="1" applyBorder="1" applyAlignment="1" applyProtection="1">
      <alignment horizontal="center" vertical="center"/>
      <protection locked="0"/>
    </xf>
    <xf numFmtId="166" fontId="18" fillId="2" borderId="1" xfId="3" applyNumberFormat="1" applyFont="1" applyFill="1" applyBorder="1" applyAlignment="1" applyProtection="1">
      <alignment horizontal="right" vertical="center"/>
      <protection locked="0"/>
    </xf>
    <xf numFmtId="170" fontId="29" fillId="8" borderId="6" xfId="8" applyNumberFormat="1" applyFont="1" applyFill="1" applyBorder="1" applyAlignment="1">
      <alignment horizontal="center" vertical="center"/>
    </xf>
    <xf numFmtId="0" fontId="2" fillId="8" borderId="1" xfId="0" applyFont="1" applyFill="1" applyBorder="1" applyAlignment="1" applyProtection="1">
      <alignment vertical="center"/>
      <protection locked="0"/>
    </xf>
    <xf numFmtId="22" fontId="29" fillId="8" borderId="6" xfId="8" applyNumberFormat="1" applyFont="1" applyFill="1" applyBorder="1" applyAlignment="1">
      <alignment horizontal="center" vertical="center"/>
    </xf>
    <xf numFmtId="0" fontId="5" fillId="0" borderId="0" xfId="0" applyFont="1" applyAlignment="1" applyProtection="1">
      <alignment vertical="center"/>
      <protection locked="0"/>
    </xf>
    <xf numFmtId="0" fontId="5" fillId="2" borderId="5" xfId="0" applyFont="1" applyFill="1" applyBorder="1" applyAlignment="1" applyProtection="1">
      <alignment horizontal="center" vertical="center"/>
      <protection locked="0"/>
    </xf>
    <xf numFmtId="0" fontId="0" fillId="2" borderId="1" xfId="0" applyFill="1" applyBorder="1"/>
    <xf numFmtId="0" fontId="10" fillId="3" borderId="1" xfId="0" applyFont="1" applyFill="1" applyBorder="1" applyAlignment="1" applyProtection="1">
      <alignment vertical="center" wrapText="1"/>
      <protection locked="0"/>
    </xf>
    <xf numFmtId="0" fontId="0" fillId="2" borderId="1" xfId="0" applyFill="1" applyBorder="1" applyAlignment="1">
      <alignment horizontal="center"/>
    </xf>
    <xf numFmtId="0" fontId="0" fillId="0" borderId="0" xfId="0" applyAlignment="1">
      <alignment horizontal="center"/>
    </xf>
    <xf numFmtId="0" fontId="30" fillId="2" borderId="1" xfId="0" applyFont="1" applyFill="1" applyBorder="1"/>
    <xf numFmtId="0" fontId="31" fillId="0" borderId="1" xfId="0" applyFont="1" applyBorder="1"/>
    <xf numFmtId="0" fontId="31" fillId="0" borderId="1" xfId="0" applyFont="1" applyBorder="1" applyAlignment="1">
      <alignment wrapText="1"/>
    </xf>
    <xf numFmtId="0" fontId="31" fillId="0" borderId="1" xfId="0" applyFont="1" applyBorder="1" applyAlignment="1">
      <alignment horizontal="center"/>
    </xf>
    <xf numFmtId="1" fontId="31" fillId="0" borderId="1" xfId="0" applyNumberFormat="1" applyFont="1" applyBorder="1"/>
    <xf numFmtId="0" fontId="31" fillId="0" borderId="0" xfId="0" applyFont="1"/>
    <xf numFmtId="0" fontId="32" fillId="0" borderId="0" xfId="0" applyFont="1" applyAlignment="1" applyProtection="1">
      <alignment horizontal="center" vertical="center"/>
      <protection locked="0"/>
    </xf>
    <xf numFmtId="0" fontId="3" fillId="3" borderId="1" xfId="0" applyFont="1" applyFill="1" applyBorder="1" applyAlignment="1" applyProtection="1">
      <alignment vertical="center" wrapText="1"/>
      <protection locked="0"/>
    </xf>
    <xf numFmtId="166" fontId="33" fillId="0" borderId="0" xfId="3" applyNumberFormat="1" applyFont="1" applyFill="1" applyBorder="1" applyAlignment="1" applyProtection="1">
      <alignment vertical="center" wrapText="1"/>
    </xf>
    <xf numFmtId="0" fontId="4" fillId="3" borderId="1" xfId="0" applyFont="1" applyFill="1" applyBorder="1" applyAlignment="1" applyProtection="1">
      <alignment horizontal="center" vertical="center"/>
      <protection locked="0"/>
    </xf>
    <xf numFmtId="0" fontId="4" fillId="3" borderId="1" xfId="0" applyFont="1" applyFill="1" applyBorder="1" applyAlignment="1" applyProtection="1">
      <alignment vertical="center" wrapText="1"/>
      <protection locked="0"/>
    </xf>
    <xf numFmtId="2" fontId="3" fillId="5" borderId="4" xfId="7" applyNumberFormat="1" applyFont="1" applyFill="1" applyBorder="1" applyAlignment="1" applyProtection="1">
      <alignment horizontal="center" vertical="center"/>
      <protection locked="0"/>
    </xf>
    <xf numFmtId="1" fontId="26" fillId="5" borderId="5" xfId="7" applyNumberFormat="1" applyFont="1" applyFill="1" applyBorder="1" applyAlignment="1" applyProtection="1">
      <alignment vertical="center" wrapText="1"/>
      <protection locked="0"/>
    </xf>
    <xf numFmtId="0" fontId="4" fillId="3" borderId="0" xfId="0"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4" fillId="3" borderId="0" xfId="0" applyFont="1" applyFill="1" applyAlignment="1" applyProtection="1">
      <alignment vertical="center"/>
      <protection locked="0"/>
    </xf>
    <xf numFmtId="0" fontId="5" fillId="0" borderId="1" xfId="0" applyFont="1" applyBorder="1" applyAlignment="1">
      <alignment horizontal="center" vertical="center"/>
    </xf>
    <xf numFmtId="165" fontId="5" fillId="0" borderId="1" xfId="3" applyFont="1" applyBorder="1" applyAlignment="1" applyProtection="1">
      <alignment horizontal="center" vertical="center" wrapText="1"/>
    </xf>
    <xf numFmtId="0" fontId="5"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2" xfId="0" applyFont="1" applyBorder="1" applyAlignment="1">
      <alignment horizontal="center" vertical="center" wrapText="1"/>
    </xf>
    <xf numFmtId="166" fontId="5" fillId="2" borderId="1" xfId="3" applyNumberFormat="1" applyFont="1" applyFill="1" applyBorder="1" applyAlignment="1" applyProtection="1">
      <alignment horizontal="center" vertical="center" wrapText="1"/>
    </xf>
    <xf numFmtId="166" fontId="5" fillId="2" borderId="1" xfId="3" applyNumberFormat="1" applyFont="1" applyFill="1" applyBorder="1" applyAlignment="1" applyProtection="1">
      <alignment horizontal="center" vertical="center"/>
    </xf>
    <xf numFmtId="0" fontId="18" fillId="0" borderId="0" xfId="0" applyFont="1" applyAlignment="1" applyProtection="1">
      <alignment horizontal="left" vertical="center" wrapText="1"/>
      <protection locked="0"/>
    </xf>
    <xf numFmtId="0" fontId="4" fillId="0" borderId="0" xfId="0" quotePrefix="1" applyFont="1" applyAlignment="1">
      <alignment horizontal="left" vertical="center" wrapText="1"/>
    </xf>
    <xf numFmtId="166" fontId="5" fillId="0" borderId="1" xfId="3" applyNumberFormat="1" applyFont="1" applyBorder="1" applyAlignment="1" applyProtection="1">
      <alignment horizontal="center" vertical="center"/>
    </xf>
    <xf numFmtId="166" fontId="5" fillId="0" borderId="1" xfId="3" applyNumberFormat="1" applyFont="1" applyBorder="1" applyAlignment="1" applyProtection="1">
      <alignment horizontal="center" vertical="center" wrapText="1"/>
    </xf>
  </cellXfs>
  <cellStyles count="9">
    <cellStyle name="Comma" xfId="3" builtinId="3"/>
    <cellStyle name="Comma 2" xfId="2" xr:uid="{00000000-0005-0000-0000-000001000000}"/>
    <cellStyle name="Excel Built-in Normal" xfId="7" xr:uid="{00000000-0005-0000-0000-000002000000}"/>
    <cellStyle name="Normal" xfId="0" builtinId="0"/>
    <cellStyle name="Normal 2" xfId="1" xr:uid="{00000000-0005-0000-0000-000004000000}"/>
    <cellStyle name="Normal 3" xfId="8" xr:uid="{00000000-0005-0000-0000-000005000000}"/>
    <cellStyle name="Normal_Dichso" xfId="6" xr:uid="{00000000-0005-0000-0000-000006000000}"/>
    <cellStyle name="Normal_DocSoUnicode" xfId="5" xr:uid="{00000000-0005-0000-0000-000007000000}"/>
    <cellStyle name="Normal_NhatKy0403" xfId="4" xr:uid="{00000000-0005-0000-0000-000008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41910</xdr:colOff>
      <xdr:row>0</xdr:row>
      <xdr:rowOff>0</xdr:rowOff>
    </xdr:from>
    <xdr:ext cx="5156200" cy="1419227"/>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295650" y="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2</xdr:col>
      <xdr:colOff>60323</xdr:colOff>
      <xdr:row>0</xdr:row>
      <xdr:rowOff>158749</xdr:rowOff>
    </xdr:from>
    <xdr:to>
      <xdr:col>2</xdr:col>
      <xdr:colOff>1625946</xdr:colOff>
      <xdr:row>4</xdr:row>
      <xdr:rowOff>19050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898" y="158749"/>
          <a:ext cx="1565623" cy="143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79799</xdr:colOff>
      <xdr:row>41</xdr:row>
      <xdr:rowOff>69426</xdr:rowOff>
    </xdr:from>
    <xdr:to>
      <xdr:col>12</xdr:col>
      <xdr:colOff>1029393</xdr:colOff>
      <xdr:row>46</xdr:row>
      <xdr:rowOff>191559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0119149" y="15166551"/>
          <a:ext cx="949594" cy="1073574"/>
        </a:xfrm>
        <a:prstGeom prst="rect">
          <a:avLst/>
        </a:prstGeom>
      </xdr:spPr>
    </xdr:pic>
    <xdr:clientData/>
  </xdr:twoCellAnchor>
  <xdr:twoCellAnchor editAs="oneCell">
    <xdr:from>
      <xdr:col>15</xdr:col>
      <xdr:colOff>31750</xdr:colOff>
      <xdr:row>40</xdr:row>
      <xdr:rowOff>0</xdr:rowOff>
    </xdr:from>
    <xdr:to>
      <xdr:col>15</xdr:col>
      <xdr:colOff>336550</xdr:colOff>
      <xdr:row>41</xdr:row>
      <xdr:rowOff>105836</xdr:rowOff>
    </xdr:to>
    <xdr:sp macro="" textlink="">
      <xdr:nvSpPr>
        <xdr:cNvPr id="1025" name="AutoShape 1">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3980583" y="12879917"/>
          <a:ext cx="304800" cy="3069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40</xdr:row>
      <xdr:rowOff>0</xdr:rowOff>
    </xdr:from>
    <xdr:to>
      <xdr:col>15</xdr:col>
      <xdr:colOff>304800</xdr:colOff>
      <xdr:row>41</xdr:row>
      <xdr:rowOff>105836</xdr:rowOff>
    </xdr:to>
    <xdr:sp macro="" textlink="">
      <xdr:nvSpPr>
        <xdr:cNvPr id="1026" name="AutoShape 2">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40</xdr:row>
      <xdr:rowOff>0</xdr:rowOff>
    </xdr:from>
    <xdr:to>
      <xdr:col>15</xdr:col>
      <xdr:colOff>304800</xdr:colOff>
      <xdr:row>41</xdr:row>
      <xdr:rowOff>105836</xdr:rowOff>
    </xdr:to>
    <xdr:sp macro="" textlink="">
      <xdr:nvSpPr>
        <xdr:cNvPr id="1027" name="AutoShape 3">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40</xdr:row>
      <xdr:rowOff>0</xdr:rowOff>
    </xdr:from>
    <xdr:to>
      <xdr:col>15</xdr:col>
      <xdr:colOff>304800</xdr:colOff>
      <xdr:row>41</xdr:row>
      <xdr:rowOff>105836</xdr:rowOff>
    </xdr:to>
    <xdr:sp macro="" textlink="">
      <xdr:nvSpPr>
        <xdr:cNvPr id="1028" name="AutoShape 4">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107950</xdr:rowOff>
    </xdr:to>
    <xdr:sp macro="" textlink="">
      <xdr:nvSpPr>
        <xdr:cNvPr id="1029" name="AutoShape 5">
          <a:extLst>
            <a:ext uri="{FF2B5EF4-FFF2-40B4-BE49-F238E27FC236}">
              <a16:creationId xmlns:a16="http://schemas.microsoft.com/office/drawing/2014/main" id="{00000000-0008-0000-0000-000005040000}"/>
            </a:ext>
          </a:extLst>
        </xdr:cNvPr>
        <xdr:cNvSpPr>
          <a:spLocks noChangeAspect="1" noChangeArrowheads="1"/>
        </xdr:cNvSpPr>
      </xdr:nvSpPr>
      <xdr:spPr bwMode="auto">
        <a:xfrm>
          <a:off x="15481300" y="238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13</xdr:row>
      <xdr:rowOff>0</xdr:rowOff>
    </xdr:from>
    <xdr:to>
      <xdr:col>15</xdr:col>
      <xdr:colOff>304800</xdr:colOff>
      <xdr:row>14</xdr:row>
      <xdr:rowOff>40216</xdr:rowOff>
    </xdr:to>
    <xdr:sp macro="" textlink="">
      <xdr:nvSpPr>
        <xdr:cNvPr id="1030" name="AutoShape 6">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12719050" y="36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14</xdr:row>
      <xdr:rowOff>0</xdr:rowOff>
    </xdr:from>
    <xdr:ext cx="304800" cy="304800"/>
    <xdr:sp macro="" textlink="">
      <xdr:nvSpPr>
        <xdr:cNvPr id="13" name="AutoShape 6">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14</xdr:row>
      <xdr:rowOff>0</xdr:rowOff>
    </xdr:from>
    <xdr:ext cx="304800" cy="304800"/>
    <xdr:sp macro="" textlink="">
      <xdr:nvSpPr>
        <xdr:cNvPr id="17" name="AutoShape 6">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18" name="AutoShape 6">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13070417" y="439208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15</xdr:row>
      <xdr:rowOff>0</xdr:rowOff>
    </xdr:from>
    <xdr:ext cx="304800" cy="304800"/>
    <xdr:sp macro="" textlink="">
      <xdr:nvSpPr>
        <xdr:cNvPr id="16" name="AutoShape 6">
          <a:extLst>
            <a:ext uri="{FF2B5EF4-FFF2-40B4-BE49-F238E27FC236}">
              <a16:creationId xmlns:a16="http://schemas.microsoft.com/office/drawing/2014/main" id="{00000000-0008-0000-0000-000010000000}"/>
            </a:ext>
          </a:extLst>
        </xdr:cNvPr>
        <xdr:cNvSpPr>
          <a:spLocks noChangeAspect="1" noChangeArrowheads="1"/>
        </xdr:cNvSpPr>
      </xdr:nvSpPr>
      <xdr:spPr bwMode="auto">
        <a:xfrm>
          <a:off x="13070417" y="58949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39</xdr:row>
      <xdr:rowOff>0</xdr:rowOff>
    </xdr:from>
    <xdr:ext cx="304800" cy="304800"/>
    <xdr:sp macro="" textlink="">
      <xdr:nvSpPr>
        <xdr:cNvPr id="19" name="AutoShape 6">
          <a:extLst>
            <a:ext uri="{FF2B5EF4-FFF2-40B4-BE49-F238E27FC236}">
              <a16:creationId xmlns:a16="http://schemas.microsoft.com/office/drawing/2014/main" id="{00000000-0008-0000-0000-000013000000}"/>
            </a:ext>
          </a:extLst>
        </xdr:cNvPr>
        <xdr:cNvSpPr>
          <a:spLocks noChangeAspect="1" noChangeArrowheads="1"/>
        </xdr:cNvSpPr>
      </xdr:nvSpPr>
      <xdr:spPr bwMode="auto">
        <a:xfrm>
          <a:off x="13948833" y="1359958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20" name="AutoShape 6">
          <a:extLst>
            <a:ext uri="{FF2B5EF4-FFF2-40B4-BE49-F238E27FC236}">
              <a16:creationId xmlns:a16="http://schemas.microsoft.com/office/drawing/2014/main" id="{00000000-0008-0000-0000-000014000000}"/>
            </a:ext>
          </a:extLst>
        </xdr:cNvPr>
        <xdr:cNvSpPr>
          <a:spLocks noChangeAspect="1" noChangeArrowheads="1"/>
        </xdr:cNvSpPr>
      </xdr:nvSpPr>
      <xdr:spPr bwMode="auto">
        <a:xfrm>
          <a:off x="13954125" y="1237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16</xdr:col>
      <xdr:colOff>10584</xdr:colOff>
      <xdr:row>15</xdr:row>
      <xdr:rowOff>42334</xdr:rowOff>
    </xdr:from>
    <xdr:to>
      <xdr:col>22</xdr:col>
      <xdr:colOff>303301</xdr:colOff>
      <xdr:row>34</xdr:row>
      <xdr:rowOff>140415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15345834" y="5482167"/>
          <a:ext cx="4420217" cy="5125165"/>
        </a:xfrm>
        <a:prstGeom prst="rect">
          <a:avLst/>
        </a:prstGeom>
      </xdr:spPr>
    </xdr:pic>
    <xdr:clientData/>
  </xdr:twoCellAnchor>
  <xdr:twoCellAnchor editAs="oneCell">
    <xdr:from>
      <xdr:col>17</xdr:col>
      <xdr:colOff>0</xdr:colOff>
      <xdr:row>10</xdr:row>
      <xdr:rowOff>74083</xdr:rowOff>
    </xdr:from>
    <xdr:to>
      <xdr:col>18</xdr:col>
      <xdr:colOff>617190</xdr:colOff>
      <xdr:row>12</xdr:row>
      <xdr:rowOff>548352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stretch>
          <a:fillRect/>
        </a:stretch>
      </xdr:blipFill>
      <xdr:spPr>
        <a:xfrm>
          <a:off x="16023167" y="3376083"/>
          <a:ext cx="1305107" cy="971686"/>
        </a:xfrm>
        <a:prstGeom prst="rect">
          <a:avLst/>
        </a:prstGeom>
      </xdr:spPr>
    </xdr:pic>
    <xdr:clientData/>
  </xdr:twoCellAnchor>
  <xdr:oneCellAnchor>
    <xdr:from>
      <xdr:col>15</xdr:col>
      <xdr:colOff>0</xdr:colOff>
      <xdr:row>37</xdr:row>
      <xdr:rowOff>0</xdr:rowOff>
    </xdr:from>
    <xdr:ext cx="304800" cy="304800"/>
    <xdr:sp macro="" textlink="">
      <xdr:nvSpPr>
        <xdr:cNvPr id="21" name="AutoShape 6">
          <a:extLst>
            <a:ext uri="{FF2B5EF4-FFF2-40B4-BE49-F238E27FC236}">
              <a16:creationId xmlns:a16="http://schemas.microsoft.com/office/drawing/2014/main" id="{00000000-0008-0000-0000-000015000000}"/>
            </a:ext>
          </a:extLst>
        </xdr:cNvPr>
        <xdr:cNvSpPr>
          <a:spLocks noChangeAspect="1" noChangeArrowheads="1"/>
        </xdr:cNvSpPr>
      </xdr:nvSpPr>
      <xdr:spPr bwMode="auto">
        <a:xfrm>
          <a:off x="13954125" y="1659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37</xdr:row>
      <xdr:rowOff>0</xdr:rowOff>
    </xdr:from>
    <xdr:ext cx="304800" cy="304800"/>
    <xdr:sp macro="" textlink="">
      <xdr:nvSpPr>
        <xdr:cNvPr id="22" name="AutoShape 6">
          <a:extLst>
            <a:ext uri="{FF2B5EF4-FFF2-40B4-BE49-F238E27FC236}">
              <a16:creationId xmlns:a16="http://schemas.microsoft.com/office/drawing/2014/main" id="{00000000-0008-0000-0000-000016000000}"/>
            </a:ext>
          </a:extLst>
        </xdr:cNvPr>
        <xdr:cNvSpPr>
          <a:spLocks noChangeAspect="1" noChangeArrowheads="1"/>
        </xdr:cNvSpPr>
      </xdr:nvSpPr>
      <xdr:spPr bwMode="auto">
        <a:xfrm>
          <a:off x="13954125" y="1659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L53"/>
  <sheetViews>
    <sheetView zoomScale="90" zoomScaleNormal="90" zoomScaleSheetLayoutView="100" workbookViewId="0">
      <selection activeCell="N1" sqref="N1:N1048576"/>
    </sheetView>
  </sheetViews>
  <sheetFormatPr defaultColWidth="9" defaultRowHeight="15"/>
  <cols>
    <col min="1" max="1" width="5.375" style="3" customWidth="1"/>
    <col min="2" max="2" width="18.125" style="3" customWidth="1"/>
    <col min="3" max="3" width="38.75" style="6" customWidth="1"/>
    <col min="4" max="4" width="7.25" style="4" customWidth="1"/>
    <col min="5" max="5" width="5.75" style="4" customWidth="1"/>
    <col min="6" max="6" width="5.875" style="3" customWidth="1"/>
    <col min="7" max="7" width="10.5" style="4" customWidth="1"/>
    <col min="8" max="8" width="12.375" style="4" customWidth="1"/>
    <col min="9" max="9" width="7.5" style="5" customWidth="1"/>
    <col min="10" max="10" width="8.5" style="5" customWidth="1"/>
    <col min="11" max="11" width="10.75" style="18" customWidth="1"/>
    <col min="12" max="12" width="12.5" style="18" customWidth="1"/>
    <col min="13" max="13" width="20.75" style="4" customWidth="1"/>
    <col min="14" max="14" width="9.875" style="3" customWidth="1"/>
    <col min="15" max="15" width="11.625" style="3" customWidth="1"/>
    <col min="16" max="16" width="18.25" style="4" bestFit="1" customWidth="1"/>
    <col min="17" max="16384" width="9" style="4"/>
  </cols>
  <sheetData>
    <row r="1" spans="1:19" s="24" customFormat="1" ht="37.5" customHeight="1">
      <c r="A1" s="22"/>
      <c r="B1" s="22"/>
      <c r="C1" s="23"/>
      <c r="F1" s="22"/>
      <c r="I1" s="25"/>
      <c r="J1" s="25"/>
      <c r="K1" s="26"/>
      <c r="L1" s="26"/>
      <c r="N1" s="22"/>
      <c r="O1" s="22"/>
    </row>
    <row r="2" spans="1:19" s="24" customFormat="1" ht="37.5" customHeight="1">
      <c r="A2" s="22"/>
      <c r="B2" s="22"/>
      <c r="C2" s="27"/>
      <c r="F2" s="22"/>
      <c r="I2" s="25"/>
      <c r="J2" s="25"/>
      <c r="K2" s="26"/>
      <c r="L2" s="121"/>
      <c r="M2" s="121"/>
      <c r="N2" s="22"/>
      <c r="O2" s="22"/>
    </row>
    <row r="3" spans="1:19" s="24" customFormat="1" ht="37.5" customHeight="1">
      <c r="A3" s="22"/>
      <c r="B3" s="22"/>
      <c r="C3" s="27"/>
      <c r="F3" s="22"/>
      <c r="I3" s="25"/>
      <c r="J3" s="25"/>
      <c r="K3" s="26"/>
      <c r="L3" s="121"/>
      <c r="M3" s="121"/>
      <c r="N3" s="22"/>
      <c r="O3" s="22"/>
    </row>
    <row r="4" spans="1:19" ht="11.25" customHeight="1">
      <c r="L4" s="121"/>
      <c r="M4" s="121"/>
    </row>
    <row r="5" spans="1:19" s="24" customFormat="1" ht="22.5">
      <c r="A5" s="22"/>
      <c r="B5" s="22"/>
      <c r="C5" s="23"/>
      <c r="D5" s="28"/>
      <c r="E5" s="28"/>
      <c r="F5" s="22"/>
      <c r="G5" s="29" t="s">
        <v>7</v>
      </c>
      <c r="H5" s="29"/>
      <c r="I5" s="30"/>
      <c r="J5" s="30"/>
      <c r="K5" s="31"/>
      <c r="L5" s="31"/>
      <c r="N5" s="22"/>
      <c r="O5" s="22"/>
    </row>
    <row r="6" spans="1:19" ht="15.75">
      <c r="G6" s="3" t="s">
        <v>115</v>
      </c>
      <c r="H6" s="3"/>
      <c r="J6" s="101"/>
      <c r="K6" s="102"/>
      <c r="L6" s="103" t="s">
        <v>41</v>
      </c>
      <c r="M6" s="104">
        <v>46091.444444444445</v>
      </c>
      <c r="N6" s="106"/>
      <c r="R6" s="107"/>
    </row>
    <row r="7" spans="1:19" ht="15.75">
      <c r="G7" s="3" t="s">
        <v>33</v>
      </c>
      <c r="H7" s="119"/>
      <c r="J7" s="101"/>
      <c r="K7" s="102"/>
      <c r="L7" s="103" t="s">
        <v>42</v>
      </c>
      <c r="M7" s="105">
        <v>2</v>
      </c>
    </row>
    <row r="8" spans="1:19" ht="15.75" customHeight="1">
      <c r="C8" s="6" t="s">
        <v>114</v>
      </c>
      <c r="G8" s="3"/>
      <c r="H8" s="3"/>
      <c r="J8" s="101"/>
      <c r="K8" s="102"/>
      <c r="L8" s="103" t="s">
        <v>43</v>
      </c>
      <c r="M8" s="104">
        <f>M6+M7</f>
        <v>46093.444444444445</v>
      </c>
    </row>
    <row r="9" spans="1:19" ht="15.75" customHeight="1">
      <c r="C9" s="6" t="s">
        <v>37</v>
      </c>
      <c r="G9" s="3"/>
      <c r="H9" s="3"/>
      <c r="S9"/>
    </row>
    <row r="10" spans="1:19" ht="22.5" customHeight="1">
      <c r="C10" s="136" t="s">
        <v>113</v>
      </c>
      <c r="D10" s="136"/>
      <c r="E10" s="136"/>
      <c r="F10" s="136"/>
      <c r="G10" s="136"/>
      <c r="H10" s="136"/>
      <c r="I10" s="136"/>
      <c r="J10" s="136"/>
      <c r="K10" s="136"/>
      <c r="L10" s="136"/>
      <c r="M10" s="136"/>
      <c r="S10"/>
    </row>
    <row r="11" spans="1:19" s="24" customFormat="1">
      <c r="A11" s="22"/>
      <c r="B11" s="22"/>
      <c r="C11" s="27" t="s">
        <v>8</v>
      </c>
      <c r="F11" s="22"/>
      <c r="I11" s="25"/>
      <c r="J11" s="25"/>
      <c r="K11" s="26"/>
      <c r="L11" s="26"/>
      <c r="N11" s="91"/>
      <c r="O11" s="91"/>
      <c r="P11" s="89"/>
    </row>
    <row r="12" spans="1:19" s="22" customFormat="1" ht="24" customHeight="1">
      <c r="A12" s="129" t="s">
        <v>13</v>
      </c>
      <c r="B12" s="134" t="s">
        <v>39</v>
      </c>
      <c r="C12" s="129" t="s">
        <v>14</v>
      </c>
      <c r="D12" s="131" t="s">
        <v>15</v>
      </c>
      <c r="E12" s="131"/>
      <c r="F12" s="131" t="s">
        <v>10</v>
      </c>
      <c r="G12" s="132" t="s">
        <v>26</v>
      </c>
      <c r="H12" s="132" t="s">
        <v>27</v>
      </c>
      <c r="I12" s="130" t="s">
        <v>21</v>
      </c>
      <c r="J12" s="130" t="s">
        <v>20</v>
      </c>
      <c r="K12" s="139" t="s">
        <v>29</v>
      </c>
      <c r="L12" s="139" t="s">
        <v>30</v>
      </c>
      <c r="M12" s="138" t="s">
        <v>1</v>
      </c>
      <c r="N12" s="90" t="s">
        <v>35</v>
      </c>
      <c r="O12" s="90" t="s">
        <v>36</v>
      </c>
    </row>
    <row r="13" spans="1:19" s="22" customFormat="1" ht="49.5" customHeight="1">
      <c r="A13" s="129"/>
      <c r="B13" s="135"/>
      <c r="C13" s="129"/>
      <c r="D13" s="32" t="s">
        <v>32</v>
      </c>
      <c r="E13" s="65" t="s">
        <v>34</v>
      </c>
      <c r="F13" s="131"/>
      <c r="G13" s="133"/>
      <c r="H13" s="133"/>
      <c r="I13" s="130"/>
      <c r="J13" s="130"/>
      <c r="K13" s="139"/>
      <c r="L13" s="139"/>
      <c r="M13" s="138"/>
      <c r="N13" s="63" t="s">
        <v>31</v>
      </c>
      <c r="O13" s="63" t="s">
        <v>28</v>
      </c>
    </row>
    <row r="14" spans="1:19" s="2" customFormat="1" ht="21" customHeight="1">
      <c r="A14" s="7" t="s">
        <v>9</v>
      </c>
      <c r="B14" s="7"/>
      <c r="C14" s="8" t="s">
        <v>17</v>
      </c>
      <c r="D14" s="8"/>
      <c r="E14" s="9"/>
      <c r="F14" s="66">
        <f>SUM(F15:F37)</f>
        <v>0</v>
      </c>
      <c r="G14" s="9"/>
      <c r="H14" s="9"/>
      <c r="I14" s="64">
        <f>SUM(I15:I37)</f>
        <v>0</v>
      </c>
      <c r="J14" s="64">
        <f>SUM(J15:J37)</f>
        <v>0</v>
      </c>
      <c r="K14" s="10"/>
      <c r="L14" s="62"/>
      <c r="M14" s="9"/>
      <c r="P14"/>
    </row>
    <row r="15" spans="1:19" ht="59.25" customHeight="1">
      <c r="A15" s="11">
        <v>1</v>
      </c>
      <c r="B15" s="11" t="s">
        <v>116</v>
      </c>
      <c r="C15" s="120" t="s">
        <v>117</v>
      </c>
      <c r="D15" s="88"/>
      <c r="E15" s="88"/>
      <c r="F15" s="88"/>
      <c r="G15" s="67" t="str">
        <f t="shared" ref="G15" si="0">$N$13&amp;N15</f>
        <v>Vát 0</v>
      </c>
      <c r="H15" s="85"/>
      <c r="I15" s="96">
        <f t="shared" ref="I15" si="1">D15*E15*F15/1000000</f>
        <v>0</v>
      </c>
      <c r="J15" s="94"/>
      <c r="K15" s="95"/>
      <c r="L15" s="97">
        <f t="shared" ref="L15" si="2">ROUND((I15+J15)*K15,0)</f>
        <v>0</v>
      </c>
      <c r="M15" s="100"/>
      <c r="N15" s="21">
        <f t="shared" ref="N15" si="3">E15</f>
        <v>0</v>
      </c>
    </row>
    <row r="16" spans="1:19" ht="21" customHeight="1">
      <c r="A16" s="11">
        <v>2</v>
      </c>
      <c r="B16" s="11" t="s">
        <v>116</v>
      </c>
      <c r="C16" s="110"/>
      <c r="D16" s="88"/>
      <c r="E16" s="88"/>
      <c r="F16" s="88"/>
      <c r="G16" s="67" t="str">
        <f t="shared" ref="G16:G37" si="4">$N$13&amp;N16</f>
        <v>Vát 0</v>
      </c>
      <c r="H16" s="85"/>
      <c r="I16" s="96">
        <f t="shared" ref="I16:I37" si="5">D16*E16*F16/1000000</f>
        <v>0</v>
      </c>
      <c r="J16" s="94"/>
      <c r="K16" s="95"/>
      <c r="L16" s="97">
        <f t="shared" ref="L16:L37" si="6">ROUND((I16+J16)*K16,0)</f>
        <v>0</v>
      </c>
      <c r="M16" s="100"/>
      <c r="N16" s="21">
        <f t="shared" ref="N16:N37" si="7">E16</f>
        <v>0</v>
      </c>
    </row>
    <row r="17" spans="1:14" ht="21" customHeight="1">
      <c r="A17" s="11">
        <v>3</v>
      </c>
      <c r="B17" s="11" t="s">
        <v>116</v>
      </c>
      <c r="C17" s="110"/>
      <c r="D17" s="88"/>
      <c r="E17" s="88"/>
      <c r="F17" s="88"/>
      <c r="G17" s="67" t="str">
        <f t="shared" si="4"/>
        <v>Vát 0</v>
      </c>
      <c r="H17" s="85"/>
      <c r="I17" s="96">
        <f t="shared" si="5"/>
        <v>0</v>
      </c>
      <c r="J17" s="94"/>
      <c r="K17" s="95"/>
      <c r="L17" s="97">
        <f t="shared" si="6"/>
        <v>0</v>
      </c>
      <c r="M17" s="100"/>
      <c r="N17" s="21">
        <f t="shared" si="7"/>
        <v>0</v>
      </c>
    </row>
    <row r="18" spans="1:14" ht="21" customHeight="1">
      <c r="A18" s="11">
        <v>4</v>
      </c>
      <c r="B18" s="11" t="s">
        <v>116</v>
      </c>
      <c r="C18" s="110"/>
      <c r="D18" s="88"/>
      <c r="E18" s="88"/>
      <c r="F18" s="88"/>
      <c r="G18" s="67" t="str">
        <f t="shared" si="4"/>
        <v>Vát 0</v>
      </c>
      <c r="H18" s="85"/>
      <c r="I18" s="96">
        <f t="shared" si="5"/>
        <v>0</v>
      </c>
      <c r="J18" s="94"/>
      <c r="K18" s="95"/>
      <c r="L18" s="97">
        <f t="shared" si="6"/>
        <v>0</v>
      </c>
      <c r="M18" s="100"/>
      <c r="N18" s="21">
        <f t="shared" si="7"/>
        <v>0</v>
      </c>
    </row>
    <row r="19" spans="1:14" ht="21" customHeight="1">
      <c r="A19" s="11">
        <v>5</v>
      </c>
      <c r="B19" s="11" t="s">
        <v>116</v>
      </c>
      <c r="C19" s="110"/>
      <c r="D19" s="88"/>
      <c r="E19" s="88"/>
      <c r="F19" s="88"/>
      <c r="G19" s="67" t="str">
        <f t="shared" si="4"/>
        <v>Vát 0</v>
      </c>
      <c r="H19" s="85"/>
      <c r="I19" s="96">
        <f t="shared" si="5"/>
        <v>0</v>
      </c>
      <c r="J19" s="94"/>
      <c r="K19" s="95"/>
      <c r="L19" s="97">
        <f t="shared" si="6"/>
        <v>0</v>
      </c>
      <c r="M19" s="100"/>
      <c r="N19" s="21">
        <f t="shared" si="7"/>
        <v>0</v>
      </c>
    </row>
    <row r="20" spans="1:14" ht="21" customHeight="1">
      <c r="A20" s="11">
        <v>6</v>
      </c>
      <c r="B20" s="11" t="s">
        <v>116</v>
      </c>
      <c r="C20" s="110"/>
      <c r="D20" s="88"/>
      <c r="E20" s="88"/>
      <c r="F20" s="88"/>
      <c r="G20" s="67" t="str">
        <f t="shared" si="4"/>
        <v>Vát 0</v>
      </c>
      <c r="H20" s="85"/>
      <c r="I20" s="96">
        <f t="shared" si="5"/>
        <v>0</v>
      </c>
      <c r="J20" s="94"/>
      <c r="K20" s="95"/>
      <c r="L20" s="97">
        <f t="shared" si="6"/>
        <v>0</v>
      </c>
      <c r="M20" s="100"/>
      <c r="N20" s="21">
        <f t="shared" si="7"/>
        <v>0</v>
      </c>
    </row>
    <row r="21" spans="1:14" ht="21" customHeight="1">
      <c r="A21" s="11">
        <v>7</v>
      </c>
      <c r="B21" s="11" t="s">
        <v>116</v>
      </c>
      <c r="C21" s="110"/>
      <c r="D21" s="88"/>
      <c r="E21" s="88"/>
      <c r="F21" s="88"/>
      <c r="G21" s="67" t="str">
        <f t="shared" si="4"/>
        <v>Vát 0</v>
      </c>
      <c r="H21" s="85"/>
      <c r="I21" s="96">
        <f t="shared" si="5"/>
        <v>0</v>
      </c>
      <c r="J21" s="94"/>
      <c r="K21" s="95"/>
      <c r="L21" s="97">
        <f t="shared" si="6"/>
        <v>0</v>
      </c>
      <c r="M21" s="100"/>
      <c r="N21" s="21">
        <f t="shared" si="7"/>
        <v>0</v>
      </c>
    </row>
    <row r="22" spans="1:14" ht="21" customHeight="1">
      <c r="A22" s="11">
        <v>8</v>
      </c>
      <c r="B22" s="11" t="s">
        <v>116</v>
      </c>
      <c r="C22" s="110"/>
      <c r="D22" s="88"/>
      <c r="E22" s="88"/>
      <c r="F22" s="88"/>
      <c r="G22" s="67" t="str">
        <f t="shared" si="4"/>
        <v>Vát 0</v>
      </c>
      <c r="H22" s="85"/>
      <c r="I22" s="96">
        <f t="shared" si="5"/>
        <v>0</v>
      </c>
      <c r="J22" s="94"/>
      <c r="K22" s="95"/>
      <c r="L22" s="97">
        <f t="shared" si="6"/>
        <v>0</v>
      </c>
      <c r="M22" s="100"/>
      <c r="N22" s="21">
        <f t="shared" si="7"/>
        <v>0</v>
      </c>
    </row>
    <row r="23" spans="1:14" ht="21" customHeight="1">
      <c r="A23" s="11">
        <v>9</v>
      </c>
      <c r="B23" s="11" t="s">
        <v>116</v>
      </c>
      <c r="C23" s="110"/>
      <c r="D23" s="88"/>
      <c r="E23" s="88"/>
      <c r="F23" s="88"/>
      <c r="G23" s="67" t="str">
        <f t="shared" si="4"/>
        <v>Vát 0</v>
      </c>
      <c r="H23" s="85"/>
      <c r="I23" s="96">
        <f t="shared" si="5"/>
        <v>0</v>
      </c>
      <c r="J23" s="94"/>
      <c r="K23" s="95"/>
      <c r="L23" s="97">
        <f t="shared" si="6"/>
        <v>0</v>
      </c>
      <c r="M23" s="100"/>
      <c r="N23" s="21">
        <f t="shared" si="7"/>
        <v>0</v>
      </c>
    </row>
    <row r="24" spans="1:14" ht="21" customHeight="1">
      <c r="A24" s="11">
        <v>10</v>
      </c>
      <c r="B24" s="11" t="s">
        <v>116</v>
      </c>
      <c r="C24" s="110"/>
      <c r="D24" s="88"/>
      <c r="E24" s="88"/>
      <c r="F24" s="88"/>
      <c r="G24" s="67" t="str">
        <f t="shared" si="4"/>
        <v>Vát 0</v>
      </c>
      <c r="H24" s="85"/>
      <c r="I24" s="96">
        <f t="shared" si="5"/>
        <v>0</v>
      </c>
      <c r="J24" s="94"/>
      <c r="K24" s="95"/>
      <c r="L24" s="97">
        <f t="shared" si="6"/>
        <v>0</v>
      </c>
      <c r="M24" s="100"/>
      <c r="N24" s="21">
        <f t="shared" si="7"/>
        <v>0</v>
      </c>
    </row>
    <row r="25" spans="1:14" ht="21" customHeight="1">
      <c r="A25" s="11">
        <v>11</v>
      </c>
      <c r="B25" s="11" t="s">
        <v>116</v>
      </c>
      <c r="C25" s="110"/>
      <c r="D25" s="88"/>
      <c r="E25" s="88"/>
      <c r="F25" s="88"/>
      <c r="G25" s="67" t="str">
        <f t="shared" si="4"/>
        <v>Vát 0</v>
      </c>
      <c r="H25" s="85"/>
      <c r="I25" s="96">
        <f t="shared" si="5"/>
        <v>0</v>
      </c>
      <c r="J25" s="94"/>
      <c r="K25" s="95"/>
      <c r="L25" s="97">
        <f t="shared" si="6"/>
        <v>0</v>
      </c>
      <c r="M25" s="100"/>
      <c r="N25" s="21">
        <f t="shared" si="7"/>
        <v>0</v>
      </c>
    </row>
    <row r="26" spans="1:14" ht="21" customHeight="1">
      <c r="A26" s="11">
        <v>12</v>
      </c>
      <c r="B26" s="11" t="s">
        <v>116</v>
      </c>
      <c r="C26" s="110"/>
      <c r="D26" s="88"/>
      <c r="E26" s="88"/>
      <c r="F26" s="88"/>
      <c r="G26" s="67" t="str">
        <f t="shared" si="4"/>
        <v>Vát 0</v>
      </c>
      <c r="H26" s="85"/>
      <c r="I26" s="96">
        <f t="shared" si="5"/>
        <v>0</v>
      </c>
      <c r="J26" s="94"/>
      <c r="K26" s="95"/>
      <c r="L26" s="97">
        <f t="shared" si="6"/>
        <v>0</v>
      </c>
      <c r="M26" s="100"/>
      <c r="N26" s="21">
        <f t="shared" si="7"/>
        <v>0</v>
      </c>
    </row>
    <row r="27" spans="1:14" ht="21" customHeight="1">
      <c r="A27" s="11">
        <v>13</v>
      </c>
      <c r="B27" s="11" t="s">
        <v>116</v>
      </c>
      <c r="C27" s="110"/>
      <c r="D27" s="88"/>
      <c r="E27" s="88"/>
      <c r="F27" s="88"/>
      <c r="G27" s="67" t="str">
        <f t="shared" si="4"/>
        <v>Vát 0</v>
      </c>
      <c r="H27" s="85"/>
      <c r="I27" s="96">
        <f t="shared" si="5"/>
        <v>0</v>
      </c>
      <c r="J27" s="94"/>
      <c r="K27" s="95"/>
      <c r="L27" s="97">
        <f t="shared" si="6"/>
        <v>0</v>
      </c>
      <c r="M27" s="100"/>
      <c r="N27" s="21">
        <f t="shared" si="7"/>
        <v>0</v>
      </c>
    </row>
    <row r="28" spans="1:14" ht="21" customHeight="1">
      <c r="A28" s="11">
        <v>14</v>
      </c>
      <c r="B28" s="11" t="s">
        <v>116</v>
      </c>
      <c r="C28" s="110"/>
      <c r="D28" s="88"/>
      <c r="E28" s="88"/>
      <c r="F28" s="88"/>
      <c r="G28" s="67" t="str">
        <f t="shared" si="4"/>
        <v>Vát 0</v>
      </c>
      <c r="H28" s="85"/>
      <c r="I28" s="96">
        <f t="shared" si="5"/>
        <v>0</v>
      </c>
      <c r="J28" s="94"/>
      <c r="K28" s="95"/>
      <c r="L28" s="97">
        <f t="shared" si="6"/>
        <v>0</v>
      </c>
      <c r="M28" s="100"/>
      <c r="N28" s="21">
        <f t="shared" si="7"/>
        <v>0</v>
      </c>
    </row>
    <row r="29" spans="1:14" ht="21" customHeight="1">
      <c r="A29" s="11">
        <v>15</v>
      </c>
      <c r="B29" s="11" t="s">
        <v>116</v>
      </c>
      <c r="C29" s="110"/>
      <c r="D29" s="88"/>
      <c r="E29" s="88"/>
      <c r="F29" s="88"/>
      <c r="G29" s="67" t="str">
        <f t="shared" si="4"/>
        <v>Vát 0</v>
      </c>
      <c r="H29" s="85"/>
      <c r="I29" s="96">
        <f t="shared" si="5"/>
        <v>0</v>
      </c>
      <c r="J29" s="94"/>
      <c r="K29" s="95"/>
      <c r="L29" s="97">
        <f t="shared" si="6"/>
        <v>0</v>
      </c>
      <c r="M29" s="100"/>
      <c r="N29" s="21">
        <f t="shared" si="7"/>
        <v>0</v>
      </c>
    </row>
    <row r="30" spans="1:14" ht="21" customHeight="1">
      <c r="A30" s="11">
        <v>16</v>
      </c>
      <c r="B30" s="11" t="s">
        <v>116</v>
      </c>
      <c r="C30" s="110"/>
      <c r="D30" s="88"/>
      <c r="E30" s="88"/>
      <c r="F30" s="88"/>
      <c r="G30" s="67" t="str">
        <f t="shared" si="4"/>
        <v>Vát 0</v>
      </c>
      <c r="H30" s="85"/>
      <c r="I30" s="96">
        <f t="shared" si="5"/>
        <v>0</v>
      </c>
      <c r="J30" s="94"/>
      <c r="K30" s="95"/>
      <c r="L30" s="97">
        <f t="shared" si="6"/>
        <v>0</v>
      </c>
      <c r="M30" s="100"/>
      <c r="N30" s="21">
        <f t="shared" si="7"/>
        <v>0</v>
      </c>
    </row>
    <row r="31" spans="1:14" ht="21" customHeight="1">
      <c r="A31" s="11">
        <v>17</v>
      </c>
      <c r="B31" s="11" t="s">
        <v>116</v>
      </c>
      <c r="C31" s="110"/>
      <c r="D31" s="88"/>
      <c r="E31" s="88"/>
      <c r="F31" s="88"/>
      <c r="G31" s="67" t="str">
        <f t="shared" si="4"/>
        <v>Vát 0</v>
      </c>
      <c r="H31" s="85"/>
      <c r="I31" s="96">
        <f t="shared" si="5"/>
        <v>0</v>
      </c>
      <c r="J31" s="94"/>
      <c r="K31" s="95"/>
      <c r="L31" s="97">
        <f t="shared" si="6"/>
        <v>0</v>
      </c>
      <c r="M31" s="100"/>
      <c r="N31" s="21">
        <f t="shared" si="7"/>
        <v>0</v>
      </c>
    </row>
    <row r="32" spans="1:14" ht="21" customHeight="1">
      <c r="A32" s="11">
        <v>18</v>
      </c>
      <c r="B32" s="11" t="s">
        <v>116</v>
      </c>
      <c r="C32" s="110"/>
      <c r="D32" s="88"/>
      <c r="E32" s="88"/>
      <c r="F32" s="88"/>
      <c r="G32" s="67" t="str">
        <f t="shared" si="4"/>
        <v>Vát 0</v>
      </c>
      <c r="H32" s="85"/>
      <c r="I32" s="96">
        <f t="shared" si="5"/>
        <v>0</v>
      </c>
      <c r="J32" s="94"/>
      <c r="K32" s="95"/>
      <c r="L32" s="97">
        <f t="shared" si="6"/>
        <v>0</v>
      </c>
      <c r="M32" s="100"/>
      <c r="N32" s="21">
        <f t="shared" si="7"/>
        <v>0</v>
      </c>
    </row>
    <row r="33" spans="1:64" ht="21" customHeight="1">
      <c r="A33" s="11">
        <v>19</v>
      </c>
      <c r="B33" s="11" t="s">
        <v>116</v>
      </c>
      <c r="C33" s="110"/>
      <c r="D33" s="88"/>
      <c r="E33" s="88"/>
      <c r="F33" s="88"/>
      <c r="G33" s="67" t="str">
        <f t="shared" si="4"/>
        <v>Vát 0</v>
      </c>
      <c r="H33" s="85"/>
      <c r="I33" s="96">
        <f t="shared" si="5"/>
        <v>0</v>
      </c>
      <c r="J33" s="94"/>
      <c r="K33" s="95"/>
      <c r="L33" s="97">
        <f t="shared" si="6"/>
        <v>0</v>
      </c>
      <c r="M33" s="100"/>
      <c r="N33" s="21">
        <f t="shared" si="7"/>
        <v>0</v>
      </c>
    </row>
    <row r="34" spans="1:64" ht="21" customHeight="1">
      <c r="A34" s="11">
        <v>20</v>
      </c>
      <c r="B34" s="11" t="s">
        <v>116</v>
      </c>
      <c r="C34" s="110"/>
      <c r="D34" s="88"/>
      <c r="E34" s="88"/>
      <c r="F34" s="88"/>
      <c r="G34" s="67" t="str">
        <f t="shared" si="4"/>
        <v>Vát 0</v>
      </c>
      <c r="H34" s="85"/>
      <c r="I34" s="96">
        <f t="shared" si="5"/>
        <v>0</v>
      </c>
      <c r="J34" s="94"/>
      <c r="K34" s="95"/>
      <c r="L34" s="97">
        <f t="shared" si="6"/>
        <v>0</v>
      </c>
      <c r="M34" s="100"/>
      <c r="N34" s="21">
        <f t="shared" si="7"/>
        <v>0</v>
      </c>
    </row>
    <row r="35" spans="1:64" ht="21" customHeight="1">
      <c r="A35" s="11">
        <v>21</v>
      </c>
      <c r="B35" s="11" t="s">
        <v>116</v>
      </c>
      <c r="C35" s="110"/>
      <c r="D35" s="88"/>
      <c r="E35" s="88"/>
      <c r="F35" s="88"/>
      <c r="G35" s="67" t="str">
        <f t="shared" si="4"/>
        <v>Vát 0</v>
      </c>
      <c r="H35" s="85"/>
      <c r="I35" s="96">
        <f t="shared" si="5"/>
        <v>0</v>
      </c>
      <c r="J35" s="94"/>
      <c r="K35" s="95"/>
      <c r="L35" s="97">
        <f t="shared" si="6"/>
        <v>0</v>
      </c>
      <c r="M35" s="100"/>
      <c r="N35" s="21">
        <f t="shared" si="7"/>
        <v>0</v>
      </c>
    </row>
    <row r="36" spans="1:64" ht="21" customHeight="1">
      <c r="A36" s="11">
        <v>22</v>
      </c>
      <c r="B36" s="11" t="s">
        <v>116</v>
      </c>
      <c r="C36" s="110"/>
      <c r="D36" s="88"/>
      <c r="E36" s="88"/>
      <c r="F36" s="88"/>
      <c r="G36" s="67" t="str">
        <f t="shared" si="4"/>
        <v>Vát 0</v>
      </c>
      <c r="H36" s="85"/>
      <c r="I36" s="96">
        <f t="shared" si="5"/>
        <v>0</v>
      </c>
      <c r="J36" s="94"/>
      <c r="K36" s="95"/>
      <c r="L36" s="97">
        <f t="shared" si="6"/>
        <v>0</v>
      </c>
      <c r="M36" s="100"/>
      <c r="N36" s="21">
        <f t="shared" si="7"/>
        <v>0</v>
      </c>
    </row>
    <row r="37" spans="1:64" ht="21" customHeight="1">
      <c r="A37" s="11">
        <v>23</v>
      </c>
      <c r="B37" s="11" t="s">
        <v>116</v>
      </c>
      <c r="C37" s="110"/>
      <c r="D37" s="88"/>
      <c r="E37" s="88"/>
      <c r="F37" s="88"/>
      <c r="G37" s="67" t="str">
        <f t="shared" si="4"/>
        <v>Vát 0</v>
      </c>
      <c r="H37" s="85"/>
      <c r="I37" s="96">
        <f t="shared" si="5"/>
        <v>0</v>
      </c>
      <c r="J37" s="94"/>
      <c r="K37" s="95"/>
      <c r="L37" s="97">
        <f t="shared" si="6"/>
        <v>0</v>
      </c>
      <c r="M37" s="100"/>
      <c r="N37" s="21">
        <f t="shared" si="7"/>
        <v>0</v>
      </c>
    </row>
    <row r="38" spans="1:64" ht="21.75" customHeight="1">
      <c r="A38" s="16"/>
      <c r="B38" s="16"/>
      <c r="C38" s="17"/>
      <c r="D38" s="86"/>
      <c r="E38" s="86"/>
      <c r="F38" s="92">
        <f>F14</f>
        <v>0</v>
      </c>
      <c r="G38" s="92"/>
      <c r="H38" s="92"/>
      <c r="I38" s="93">
        <f>I14</f>
        <v>0</v>
      </c>
      <c r="J38" s="98">
        <f>J14</f>
        <v>0</v>
      </c>
      <c r="K38" s="19"/>
      <c r="L38" s="19"/>
      <c r="M38" s="87"/>
      <c r="N38" s="12"/>
    </row>
    <row r="39" spans="1:64" s="128" customFormat="1" ht="21.75" customHeight="1">
      <c r="A39" s="122"/>
      <c r="B39" s="122"/>
      <c r="C39" s="123" t="s">
        <v>112</v>
      </c>
      <c r="D39" s="85">
        <f>D16-123</f>
        <v>-123</v>
      </c>
      <c r="E39" s="85">
        <f>E16-123</f>
        <v>-123</v>
      </c>
      <c r="F39" s="21"/>
      <c r="G39" s="21"/>
      <c r="H39" s="21"/>
      <c r="I39" s="124"/>
      <c r="J39" s="94">
        <v>0</v>
      </c>
      <c r="K39" s="95">
        <v>0</v>
      </c>
      <c r="L39" s="95">
        <f>J39*K39</f>
        <v>0</v>
      </c>
      <c r="M39" s="125"/>
      <c r="N39" s="126"/>
      <c r="O39" s="127"/>
    </row>
    <row r="40" spans="1:64" s="1" customFormat="1" ht="21.75" customHeight="1">
      <c r="A40" s="13"/>
      <c r="B40" s="13"/>
      <c r="C40" s="13"/>
      <c r="D40" s="13"/>
      <c r="E40" s="13"/>
      <c r="F40" s="14"/>
      <c r="G40" s="13"/>
      <c r="H40" s="13"/>
      <c r="I40" s="99"/>
      <c r="J40" s="83"/>
      <c r="K40" s="84" t="s">
        <v>5</v>
      </c>
      <c r="L40" s="20">
        <f>SUM(L15:L39)</f>
        <v>0</v>
      </c>
      <c r="M40" s="108"/>
      <c r="N40" s="15"/>
      <c r="O40" s="15"/>
      <c r="AA40" s="4"/>
      <c r="AB40" s="4"/>
      <c r="AC40" s="4"/>
      <c r="AD40" s="4"/>
      <c r="AE40" s="4"/>
      <c r="AF40" s="4"/>
      <c r="AG40" s="4"/>
      <c r="BJ40" s="2"/>
      <c r="BK40" s="2"/>
      <c r="BL40" s="2"/>
    </row>
    <row r="41" spans="1:64" s="34" customFormat="1" ht="15.75">
      <c r="A41" s="35" t="s">
        <v>22</v>
      </c>
      <c r="B41" s="35"/>
      <c r="D41" s="36"/>
      <c r="E41" s="36"/>
      <c r="F41" s="37"/>
      <c r="G41" s="37"/>
      <c r="H41" s="37"/>
      <c r="I41" s="37"/>
      <c r="J41" s="37"/>
      <c r="K41" s="38"/>
      <c r="L41" s="39"/>
      <c r="M41" s="37"/>
      <c r="N41" s="37"/>
      <c r="O41" s="37"/>
      <c r="P41" s="37"/>
      <c r="S41" s="24"/>
      <c r="T41" s="24"/>
      <c r="U41" s="24"/>
      <c r="V41" s="24"/>
      <c r="W41" s="24"/>
      <c r="X41" s="24"/>
      <c r="Y41" s="24"/>
      <c r="BB41" s="51"/>
      <c r="BC41" s="51"/>
      <c r="BD41" s="51"/>
    </row>
    <row r="42" spans="1:64" s="34" customFormat="1">
      <c r="A42" s="40"/>
      <c r="B42" s="40"/>
      <c r="C42" s="41" t="s">
        <v>23</v>
      </c>
      <c r="D42" s="36"/>
      <c r="E42" s="36"/>
      <c r="F42" s="37"/>
      <c r="G42" s="37"/>
      <c r="H42" s="37"/>
      <c r="I42" s="37"/>
      <c r="J42" s="37"/>
      <c r="K42" s="38"/>
      <c r="L42" s="39"/>
      <c r="M42" s="37"/>
      <c r="N42" s="37"/>
      <c r="O42" s="37"/>
      <c r="P42" s="37"/>
      <c r="S42" s="24"/>
      <c r="T42" s="24"/>
      <c r="U42" s="24"/>
      <c r="V42" s="24"/>
      <c r="W42" s="24"/>
      <c r="X42" s="24"/>
      <c r="Y42" s="24"/>
      <c r="BB42" s="51"/>
      <c r="BC42" s="51"/>
      <c r="BD42" s="51"/>
    </row>
    <row r="43" spans="1:64" s="34" customFormat="1" ht="15" customHeight="1">
      <c r="A43" s="40"/>
      <c r="B43" s="40"/>
      <c r="C43" s="137" t="s">
        <v>24</v>
      </c>
      <c r="D43" s="137"/>
      <c r="E43" s="137"/>
      <c r="F43" s="137"/>
      <c r="G43" s="137"/>
      <c r="H43" s="137"/>
      <c r="I43" s="137"/>
      <c r="J43" s="137"/>
      <c r="K43" s="42"/>
      <c r="L43" s="43"/>
      <c r="M43" s="44"/>
      <c r="N43" s="68"/>
      <c r="O43" s="68"/>
      <c r="P43" s="44"/>
      <c r="Q43" s="44"/>
      <c r="R43" s="44"/>
      <c r="S43" s="24"/>
      <c r="T43" s="24"/>
      <c r="U43" s="24"/>
      <c r="V43" s="24"/>
      <c r="W43" s="24"/>
      <c r="X43" s="24"/>
      <c r="Y43" s="24"/>
      <c r="BB43" s="51"/>
      <c r="BC43" s="51"/>
      <c r="BD43" s="51"/>
    </row>
    <row r="44" spans="1:64" s="34" customFormat="1">
      <c r="A44" s="45"/>
      <c r="B44" s="45"/>
      <c r="C44" s="137"/>
      <c r="D44" s="137"/>
      <c r="E44" s="137"/>
      <c r="F44" s="137"/>
      <c r="G44" s="137"/>
      <c r="H44" s="137"/>
      <c r="I44" s="137"/>
      <c r="J44" s="137"/>
      <c r="K44" s="42"/>
      <c r="L44" s="43"/>
      <c r="M44" s="44"/>
      <c r="N44" s="68"/>
      <c r="O44" s="68"/>
      <c r="P44" s="44"/>
      <c r="Q44" s="44"/>
      <c r="R44" s="44"/>
      <c r="S44" s="24"/>
      <c r="T44" s="24"/>
      <c r="U44" s="24"/>
      <c r="V44" s="24"/>
      <c r="W44" s="24"/>
      <c r="X44" s="24"/>
      <c r="Y44" s="24"/>
      <c r="BB44" s="51"/>
      <c r="BC44" s="51"/>
      <c r="BD44" s="51"/>
    </row>
    <row r="45" spans="1:64" s="34" customFormat="1" ht="15" customHeight="1">
      <c r="A45" s="22"/>
      <c r="B45" s="22"/>
      <c r="C45" s="47" t="s">
        <v>2</v>
      </c>
      <c r="F45" s="33"/>
      <c r="G45" s="47" t="s">
        <v>12</v>
      </c>
      <c r="I45" s="46"/>
      <c r="K45" s="47" t="s">
        <v>40</v>
      </c>
      <c r="L45" s="48"/>
      <c r="N45" s="49"/>
      <c r="O45" s="49"/>
      <c r="P45" s="50"/>
      <c r="Q45" s="50"/>
      <c r="R45" s="50"/>
      <c r="S45" s="50"/>
      <c r="T45" s="50"/>
      <c r="AA45" s="24"/>
      <c r="AB45" s="24"/>
      <c r="AC45" s="24"/>
      <c r="AD45" s="24"/>
      <c r="AE45" s="24"/>
      <c r="AF45" s="24"/>
      <c r="AG45" s="24"/>
      <c r="BJ45" s="51"/>
      <c r="BK45" s="51"/>
      <c r="BL45" s="51"/>
    </row>
    <row r="46" spans="1:64" s="34" customFormat="1">
      <c r="B46" s="61" t="s">
        <v>25</v>
      </c>
      <c r="D46" s="51"/>
      <c r="E46" s="51"/>
      <c r="F46" s="52"/>
      <c r="G46" s="47" t="s">
        <v>3</v>
      </c>
      <c r="H46" s="51"/>
      <c r="I46" s="53"/>
      <c r="K46" s="47" t="s">
        <v>3</v>
      </c>
      <c r="L46" s="48"/>
      <c r="N46" s="49"/>
      <c r="O46" s="49"/>
      <c r="P46" s="50"/>
      <c r="Q46" s="50"/>
      <c r="R46" s="50"/>
      <c r="S46" s="50"/>
      <c r="T46" s="50"/>
      <c r="AA46" s="24"/>
      <c r="AB46" s="24"/>
      <c r="AC46" s="24"/>
      <c r="AD46" s="24"/>
      <c r="AE46" s="24"/>
      <c r="AF46" s="24"/>
      <c r="AG46" s="24"/>
      <c r="BJ46" s="51"/>
      <c r="BK46" s="51"/>
      <c r="BL46" s="51"/>
    </row>
    <row r="47" spans="1:64" s="56" customFormat="1" ht="20.25" customHeight="1">
      <c r="A47" s="33"/>
      <c r="B47" s="33"/>
      <c r="C47" s="47" t="s">
        <v>3</v>
      </c>
      <c r="D47" s="50"/>
      <c r="E47" s="50"/>
      <c r="F47" s="49"/>
      <c r="G47" s="50"/>
      <c r="H47" s="50"/>
      <c r="I47" s="54"/>
      <c r="J47" s="54"/>
      <c r="K47" s="55"/>
      <c r="L47" s="55"/>
      <c r="M47" s="50"/>
      <c r="N47" s="49"/>
      <c r="O47" s="49"/>
      <c r="P47" s="50"/>
      <c r="Q47" s="50"/>
      <c r="R47" s="50"/>
      <c r="Y47" s="69"/>
      <c r="Z47" s="69"/>
      <c r="AA47" s="69"/>
      <c r="AB47" s="69"/>
      <c r="AC47" s="69"/>
      <c r="AD47" s="69"/>
      <c r="AE47" s="69"/>
      <c r="AW47" s="70"/>
      <c r="AX47" s="70"/>
      <c r="AY47" s="70"/>
      <c r="AZ47" s="70"/>
      <c r="BA47" s="70"/>
      <c r="BB47" s="70"/>
      <c r="BC47" s="70"/>
      <c r="BD47" s="70"/>
      <c r="BE47" s="70"/>
      <c r="BF47" s="70"/>
      <c r="BG47" s="70"/>
      <c r="BH47" s="71"/>
      <c r="BI47" s="71"/>
      <c r="BJ47" s="71"/>
    </row>
    <row r="48" spans="1:64" s="56" customFormat="1" ht="47.25" customHeight="1">
      <c r="A48" s="33"/>
      <c r="B48" s="33"/>
      <c r="C48" s="57"/>
      <c r="D48" s="50"/>
      <c r="E48" s="50"/>
      <c r="F48" s="49"/>
      <c r="G48" s="50"/>
      <c r="H48" s="50"/>
      <c r="I48" s="54"/>
      <c r="J48" s="54"/>
      <c r="K48" s="55"/>
      <c r="L48" s="55"/>
      <c r="M48" s="50"/>
      <c r="N48" s="58"/>
      <c r="O48" s="53"/>
      <c r="P48" s="72"/>
      <c r="Q48" s="72"/>
      <c r="R48" s="51"/>
      <c r="Y48" s="69"/>
      <c r="Z48" s="69"/>
      <c r="AA48" s="69"/>
      <c r="AB48" s="69"/>
      <c r="AC48" s="69"/>
      <c r="AD48" s="69"/>
      <c r="AE48" s="69"/>
      <c r="AW48" s="73" t="e">
        <f>#REF!</f>
        <v>#REF!</v>
      </c>
      <c r="AX48" s="74" t="e">
        <f>RIGHT("000000000000"&amp;ROUND(AW48,0),12)</f>
        <v>#REF!</v>
      </c>
      <c r="AY48" s="74">
        <v>1</v>
      </c>
      <c r="AZ48" s="74">
        <v>2</v>
      </c>
      <c r="BA48" s="74">
        <v>3</v>
      </c>
      <c r="BB48" s="74">
        <v>4</v>
      </c>
      <c r="BC48" s="74">
        <v>5</v>
      </c>
      <c r="BD48" s="74">
        <v>6</v>
      </c>
      <c r="BE48" s="74">
        <v>7</v>
      </c>
      <c r="BF48" s="74">
        <v>8</v>
      </c>
      <c r="BG48" s="74">
        <v>9</v>
      </c>
      <c r="BH48" s="75">
        <v>10</v>
      </c>
      <c r="BI48" s="75">
        <v>11</v>
      </c>
      <c r="BJ48" s="75">
        <v>12</v>
      </c>
    </row>
    <row r="49" spans="1:62" s="56" customFormat="1" ht="20.25" customHeight="1">
      <c r="A49" s="22">
        <v>1</v>
      </c>
      <c r="B49" s="22"/>
      <c r="C49" s="34" t="s">
        <v>38</v>
      </c>
      <c r="D49" s="50"/>
      <c r="E49" s="50"/>
      <c r="F49" s="49"/>
      <c r="G49" s="50"/>
      <c r="H49" s="50"/>
      <c r="I49" s="54"/>
      <c r="J49" s="54"/>
      <c r="K49" s="55"/>
      <c r="L49" s="55"/>
      <c r="M49" s="50"/>
      <c r="N49" s="58"/>
      <c r="O49" s="53"/>
      <c r="P49" s="72"/>
      <c r="Q49" s="72"/>
      <c r="R49" s="51"/>
      <c r="Y49" s="69"/>
      <c r="Z49" s="69"/>
      <c r="AA49" s="69"/>
      <c r="AB49" s="69"/>
      <c r="AC49" s="69"/>
      <c r="AD49" s="69"/>
      <c r="AE49" s="69"/>
      <c r="AW49" s="76"/>
      <c r="AX49" s="77"/>
      <c r="AY49" s="77" t="e">
        <f>VALUE(MID(AX48,AY48,1))</f>
        <v>#REF!</v>
      </c>
      <c r="AZ49" s="77" t="e">
        <f>VALUE(MID(AX48,AZ48,1))</f>
        <v>#REF!</v>
      </c>
      <c r="BA49" s="77" t="e">
        <f>VALUE(MID(AX48,BA48,1))</f>
        <v>#REF!</v>
      </c>
      <c r="BB49" s="77" t="e">
        <f>VALUE(MID(AX48,BB48,1))</f>
        <v>#REF!</v>
      </c>
      <c r="BC49" s="77" t="e">
        <f>VALUE(MID(AX48,BC48,1))</f>
        <v>#REF!</v>
      </c>
      <c r="BD49" s="77" t="e">
        <f>VALUE(MID(AX48,BD48,1))</f>
        <v>#REF!</v>
      </c>
      <c r="BE49" s="77" t="e">
        <f>VALUE(MID(AX48,BE48,1))</f>
        <v>#REF!</v>
      </c>
      <c r="BF49" s="77" t="e">
        <f>VALUE(MID(AX48,BF48,1))</f>
        <v>#REF!</v>
      </c>
      <c r="BG49" s="77" t="e">
        <f>VALUE(MID(AX48,BG48,1))</f>
        <v>#REF!</v>
      </c>
      <c r="BH49" s="78" t="e">
        <f>VALUE(MID(AX48,BH48,1))</f>
        <v>#REF!</v>
      </c>
      <c r="BI49" s="78" t="e">
        <f>VALUE(MID(AX48,BI48,1))</f>
        <v>#REF!</v>
      </c>
      <c r="BJ49" s="78" t="e">
        <f>VALUE(MID(AX48,BJ48,1))</f>
        <v>#REF!</v>
      </c>
    </row>
    <row r="50" spans="1:62" s="56" customFormat="1" ht="20.25" customHeight="1">
      <c r="A50" s="22">
        <v>2</v>
      </c>
      <c r="B50" s="22"/>
      <c r="C50" s="59" t="s">
        <v>11</v>
      </c>
      <c r="D50" s="51"/>
      <c r="E50" s="51"/>
      <c r="F50" s="52"/>
      <c r="G50" s="51"/>
      <c r="H50" s="51"/>
      <c r="I50" s="53"/>
      <c r="J50" s="53"/>
      <c r="K50" s="58"/>
      <c r="L50" s="58"/>
      <c r="M50" s="51"/>
      <c r="N50" s="58"/>
      <c r="O50" s="53"/>
      <c r="P50" s="72"/>
      <c r="Q50" s="72"/>
      <c r="R50" s="51"/>
      <c r="Y50" s="69"/>
      <c r="Z50" s="69"/>
      <c r="AA50" s="69"/>
      <c r="AB50" s="69"/>
      <c r="AC50" s="69"/>
      <c r="AD50" s="69"/>
      <c r="AE50" s="69"/>
      <c r="AW50" s="76"/>
      <c r="AX50" s="77"/>
      <c r="AY50" s="77"/>
      <c r="AZ50" s="77"/>
      <c r="BA50" s="77"/>
      <c r="BB50" s="77"/>
      <c r="BC50" s="77"/>
      <c r="BD50" s="77"/>
      <c r="BE50" s="77"/>
      <c r="BF50" s="77"/>
      <c r="BG50" s="77"/>
      <c r="BH50" s="78"/>
      <c r="BI50" s="78"/>
      <c r="BJ50" s="78"/>
    </row>
    <row r="51" spans="1:62" s="56" customFormat="1" ht="20.25" customHeight="1">
      <c r="A51" s="22">
        <v>3</v>
      </c>
      <c r="B51" s="22"/>
      <c r="C51" s="59" t="s">
        <v>18</v>
      </c>
      <c r="D51" s="60"/>
      <c r="E51" s="60"/>
      <c r="F51" s="58"/>
      <c r="G51" s="51"/>
      <c r="H51" s="51"/>
      <c r="I51" s="53"/>
      <c r="J51" s="53"/>
      <c r="K51" s="58"/>
      <c r="L51" s="58"/>
      <c r="M51" s="51"/>
      <c r="N51" s="58"/>
      <c r="O51" s="53"/>
      <c r="P51" s="72"/>
      <c r="Q51" s="72"/>
      <c r="R51" s="51"/>
      <c r="Y51" s="69"/>
      <c r="Z51" s="69"/>
      <c r="AA51" s="69"/>
      <c r="AB51" s="69"/>
      <c r="AC51" s="69"/>
      <c r="AD51" s="69"/>
      <c r="AE51" s="69"/>
      <c r="AW51" s="76"/>
      <c r="AX51" s="77"/>
      <c r="AY51" s="77"/>
      <c r="AZ51" s="77"/>
      <c r="BA51" s="77"/>
      <c r="BB51" s="77"/>
      <c r="BC51" s="77"/>
      <c r="BD51" s="77"/>
      <c r="BE51" s="77"/>
      <c r="BF51" s="77"/>
      <c r="BG51" s="77"/>
      <c r="BH51" s="78"/>
      <c r="BI51" s="78"/>
      <c r="BJ51" s="78"/>
    </row>
    <row r="52" spans="1:62" s="56" customFormat="1" ht="20.25" customHeight="1">
      <c r="A52" s="22">
        <v>4</v>
      </c>
      <c r="B52" s="22"/>
      <c r="C52" s="59" t="s">
        <v>6</v>
      </c>
      <c r="D52" s="60"/>
      <c r="E52" s="60"/>
      <c r="F52" s="58"/>
      <c r="G52" s="51"/>
      <c r="H52" s="51"/>
      <c r="I52" s="53"/>
      <c r="J52" s="53"/>
      <c r="K52" s="58"/>
      <c r="L52" s="58"/>
      <c r="M52" s="51"/>
      <c r="N52" s="58"/>
      <c r="O52" s="53"/>
      <c r="P52" s="72"/>
      <c r="Q52" s="72"/>
      <c r="R52" s="51"/>
      <c r="Y52" s="69"/>
      <c r="Z52" s="69"/>
      <c r="AA52" s="69"/>
      <c r="AB52" s="69"/>
      <c r="AC52" s="69"/>
      <c r="AD52" s="69"/>
      <c r="AE52" s="69"/>
      <c r="AW52" s="76"/>
      <c r="AX52" s="77"/>
      <c r="AY52" s="79"/>
      <c r="AZ52" s="79"/>
      <c r="BA52" s="79"/>
      <c r="BB52" s="79"/>
      <c r="BC52" s="79"/>
      <c r="BD52" s="79"/>
      <c r="BE52" s="79"/>
      <c r="BF52" s="79"/>
      <c r="BG52" s="79"/>
      <c r="BH52" s="80"/>
      <c r="BI52" s="80"/>
      <c r="BJ52" s="80"/>
    </row>
    <row r="53" spans="1:62" s="56" customFormat="1" ht="20.25" customHeight="1">
      <c r="A53" s="22">
        <v>5</v>
      </c>
      <c r="B53" s="22"/>
      <c r="C53" s="59" t="s">
        <v>19</v>
      </c>
      <c r="D53" s="60"/>
      <c r="E53" s="60"/>
      <c r="F53" s="58"/>
      <c r="G53" s="51"/>
      <c r="H53" s="51"/>
      <c r="I53" s="53"/>
      <c r="J53" s="53"/>
      <c r="K53" s="58"/>
      <c r="L53" s="58"/>
      <c r="M53" s="51"/>
      <c r="N53" s="58"/>
      <c r="O53" s="53"/>
      <c r="P53" s="72"/>
      <c r="Q53" s="72"/>
      <c r="R53" s="51"/>
      <c r="Y53" s="69"/>
      <c r="Z53" s="69"/>
      <c r="AA53" s="69"/>
      <c r="AB53" s="69"/>
      <c r="AC53" s="69"/>
      <c r="AD53" s="69"/>
      <c r="AE53" s="69"/>
      <c r="AW53" s="76"/>
      <c r="AX53" s="77"/>
      <c r="AY53" s="81" t="e">
        <f>IF(AY49=0,"","tr¨m")</f>
        <v>#REF!</v>
      </c>
      <c r="AZ53" s="81" t="e">
        <f>IF(AZ49=0,"",IF(AZ49=1,"","m­¬i"))</f>
        <v>#REF!</v>
      </c>
      <c r="BA53" s="81" t="e">
        <f>IF(AND(BA49=0,#REF!=0),"","tû")</f>
        <v>#REF!</v>
      </c>
      <c r="BB53" s="81" t="e">
        <f>IF(BB49=0,"","tr¨m")</f>
        <v>#REF!</v>
      </c>
      <c r="BC53" s="81" t="e">
        <f>IF(BC49=0,"",IF(BC49=1,"","m­¬i"))</f>
        <v>#REF!</v>
      </c>
      <c r="BD53" s="81" t="e">
        <f>IF(AND(BD49=0,#REF!=0),"","triÖu")</f>
        <v>#REF!</v>
      </c>
      <c r="BE53" s="81" t="e">
        <f>IF(BE49=0,"","tr¨m")</f>
        <v>#REF!</v>
      </c>
      <c r="BF53" s="81" t="e">
        <f>IF(BF49=0,"",IF(BF49=1,"","m­¬i"))</f>
        <v>#REF!</v>
      </c>
      <c r="BG53" s="81" t="e">
        <f>IF(AND(BG49=0,#REF!=0),"","ngh×n")</f>
        <v>#REF!</v>
      </c>
      <c r="BH53" s="82" t="e">
        <f>IF(BH49=0,"","tr¨m")</f>
        <v>#REF!</v>
      </c>
      <c r="BI53" s="82" t="e">
        <f>IF(BI49=0,"",IF(BI49=1,"","m­¬i"))</f>
        <v>#REF!</v>
      </c>
      <c r="BJ53" s="82" t="s">
        <v>4</v>
      </c>
    </row>
  </sheetData>
  <mergeCells count="14">
    <mergeCell ref="C10:M10"/>
    <mergeCell ref="J12:J13"/>
    <mergeCell ref="C43:J44"/>
    <mergeCell ref="M12:M13"/>
    <mergeCell ref="C12:C13"/>
    <mergeCell ref="K12:K13"/>
    <mergeCell ref="L12:L13"/>
    <mergeCell ref="A12:A13"/>
    <mergeCell ref="I12:I13"/>
    <mergeCell ref="D12:E12"/>
    <mergeCell ref="F12:F13"/>
    <mergeCell ref="G12:G13"/>
    <mergeCell ref="H12:H13"/>
    <mergeCell ref="B12:B13"/>
  </mergeCells>
  <conditionalFormatting sqref="D15:E15">
    <cfRule type="cellIs" dxfId="1" priority="47" operator="between">
      <formula>0</formula>
      <formula>55</formula>
    </cfRule>
  </conditionalFormatting>
  <conditionalFormatting sqref="D16:E37">
    <cfRule type="cellIs" dxfId="0" priority="1" operator="between">
      <formula>0</formula>
      <formula>55</formula>
    </cfRule>
  </conditionalFormatting>
  <pageMargins left="0.45" right="0.2" top="0.5" bottom="0.25" header="0.3" footer="0.3"/>
  <pageSetup paperSize="9" scale="85" orientation="landscape" r:id="rId1"/>
  <colBreaks count="1" manualBreakCount="1">
    <brk id="1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34"/>
  <sheetViews>
    <sheetView tabSelected="1" workbookViewId="0">
      <selection activeCell="C17" sqref="C17"/>
    </sheetView>
  </sheetViews>
  <sheetFormatPr defaultRowHeight="15.75"/>
  <cols>
    <col min="1" max="1" width="6.25" bestFit="1" customWidth="1"/>
    <col min="2" max="2" width="15.25" customWidth="1"/>
    <col min="3" max="3" width="23.625" bestFit="1" customWidth="1"/>
    <col min="4" max="4" width="18.5" customWidth="1"/>
    <col min="5" max="5" width="16.25" customWidth="1"/>
    <col min="6" max="6" width="22.75" customWidth="1"/>
    <col min="7" max="7" width="5.75" bestFit="1" customWidth="1"/>
    <col min="8" max="8" width="5.875" bestFit="1" customWidth="1"/>
    <col min="9" max="9" width="8.375" bestFit="1" customWidth="1"/>
    <col min="10" max="10" width="15.625" bestFit="1" customWidth="1"/>
    <col min="11" max="11" width="7.75" bestFit="1" customWidth="1"/>
    <col min="12" max="13" width="14.125" style="112" bestFit="1" customWidth="1"/>
    <col min="14" max="15" width="14.875" style="112" bestFit="1" customWidth="1"/>
    <col min="16" max="17" width="11" bestFit="1" customWidth="1"/>
    <col min="18" max="19" width="11.75" bestFit="1" customWidth="1"/>
    <col min="20" max="20" width="8.625" bestFit="1" customWidth="1"/>
  </cols>
  <sheetData>
    <row r="1" spans="1:36">
      <c r="A1" s="109" t="s">
        <v>44</v>
      </c>
      <c r="B1" s="109" t="s">
        <v>45</v>
      </c>
      <c r="C1" s="109" t="s">
        <v>46</v>
      </c>
      <c r="D1" s="109" t="s">
        <v>0</v>
      </c>
      <c r="E1" s="109" t="s">
        <v>47</v>
      </c>
      <c r="F1" s="109" t="s">
        <v>48</v>
      </c>
      <c r="G1" s="109" t="s">
        <v>49</v>
      </c>
      <c r="H1" s="109" t="s">
        <v>16</v>
      </c>
      <c r="I1" s="109" t="s">
        <v>50</v>
      </c>
      <c r="J1" s="109" t="s">
        <v>27</v>
      </c>
      <c r="K1" s="109" t="s">
        <v>10</v>
      </c>
      <c r="L1" s="111" t="s">
        <v>51</v>
      </c>
      <c r="M1" s="111" t="s">
        <v>52</v>
      </c>
      <c r="N1" s="111" t="s">
        <v>53</v>
      </c>
      <c r="O1" s="111" t="s">
        <v>54</v>
      </c>
      <c r="P1" s="109" t="s">
        <v>55</v>
      </c>
      <c r="Q1" s="109" t="s">
        <v>56</v>
      </c>
      <c r="R1" s="109" t="s">
        <v>57</v>
      </c>
      <c r="S1" s="109" t="s">
        <v>58</v>
      </c>
      <c r="T1" s="109" t="s">
        <v>59</v>
      </c>
      <c r="U1" t="s">
        <v>60</v>
      </c>
      <c r="V1" t="s">
        <v>61</v>
      </c>
      <c r="W1" t="s">
        <v>62</v>
      </c>
      <c r="X1" t="s">
        <v>63</v>
      </c>
      <c r="Y1" t="s">
        <v>64</v>
      </c>
      <c r="Z1" t="s">
        <v>65</v>
      </c>
      <c r="AA1" t="s">
        <v>66</v>
      </c>
      <c r="AB1" t="s">
        <v>67</v>
      </c>
      <c r="AC1" t="s">
        <v>68</v>
      </c>
      <c r="AD1" t="s">
        <v>69</v>
      </c>
      <c r="AE1" t="s">
        <v>70</v>
      </c>
      <c r="AF1" t="s">
        <v>71</v>
      </c>
      <c r="AG1" t="s">
        <v>72</v>
      </c>
      <c r="AH1" t="s">
        <v>73</v>
      </c>
      <c r="AI1" t="s">
        <v>74</v>
      </c>
      <c r="AJ1" t="s">
        <v>75</v>
      </c>
    </row>
    <row r="2" spans="1:36">
      <c r="A2" s="109" t="s">
        <v>76</v>
      </c>
      <c r="B2" s="109" t="s">
        <v>77</v>
      </c>
      <c r="C2" s="109" t="s">
        <v>78</v>
      </c>
      <c r="D2" s="109" t="s">
        <v>79</v>
      </c>
      <c r="E2" s="109" t="s">
        <v>80</v>
      </c>
      <c r="F2" s="109" t="s">
        <v>81</v>
      </c>
      <c r="G2" s="109" t="s">
        <v>82</v>
      </c>
      <c r="H2" s="109" t="s">
        <v>83</v>
      </c>
      <c r="I2" s="113" t="s">
        <v>84</v>
      </c>
      <c r="J2" s="113" t="s">
        <v>85</v>
      </c>
      <c r="K2" s="109" t="s">
        <v>86</v>
      </c>
      <c r="L2" s="111" t="s">
        <v>87</v>
      </c>
      <c r="M2" s="111" t="s">
        <v>88</v>
      </c>
      <c r="N2" s="111" t="s">
        <v>89</v>
      </c>
      <c r="O2" s="111" t="s">
        <v>90</v>
      </c>
      <c r="P2" s="109" t="s">
        <v>91</v>
      </c>
      <c r="Q2" s="109" t="s">
        <v>92</v>
      </c>
      <c r="R2" s="109" t="s">
        <v>93</v>
      </c>
      <c r="S2" s="109" t="s">
        <v>94</v>
      </c>
      <c r="T2" s="109" t="s">
        <v>95</v>
      </c>
      <c r="U2" t="s">
        <v>96</v>
      </c>
      <c r="V2" t="s">
        <v>97</v>
      </c>
      <c r="W2" t="s">
        <v>98</v>
      </c>
      <c r="X2" t="s">
        <v>99</v>
      </c>
      <c r="Y2" t="s">
        <v>100</v>
      </c>
      <c r="Z2" t="s">
        <v>101</v>
      </c>
      <c r="AA2" t="s">
        <v>102</v>
      </c>
      <c r="AB2" t="s">
        <v>103</v>
      </c>
      <c r="AC2" t="s">
        <v>104</v>
      </c>
      <c r="AD2" t="s">
        <v>105</v>
      </c>
      <c r="AE2" t="s">
        <v>106</v>
      </c>
      <c r="AF2" t="s">
        <v>107</v>
      </c>
      <c r="AG2" t="s">
        <v>108</v>
      </c>
      <c r="AH2" t="s">
        <v>109</v>
      </c>
      <c r="AI2" t="s">
        <v>110</v>
      </c>
      <c r="AJ2" t="s">
        <v>111</v>
      </c>
    </row>
    <row r="3" spans="1:36" s="118" customFormat="1">
      <c r="A3" s="114" t="str">
        <f>"V"</f>
        <v>V</v>
      </c>
      <c r="B3" s="114" t="str">
        <f>"ACRILYC"</f>
        <v>ACRILYC</v>
      </c>
      <c r="C3" s="115" t="str">
        <f>RIGHT('GIA CONG ACRYLIC'!$C$8,LEN('GIA CONG ACRYLIC'!$C$8)-LEN("Khách hàng: "))&amp;" "&amp;'GIA CONG ACRYLIC'!$H$7</f>
        <v xml:space="preserve">KH0000 - Tên Khách hàng </v>
      </c>
      <c r="D3" s="114" t="str">
        <f>'GIA CONG ACRYLIC'!$H$7&amp;"."&amp;'GIA CONG ACRYLIC'!B15&amp;"."&amp;IF(LEN('GIA CONG ACRYLIC'!A15)=1,"00"&amp;'GIA CONG ACRYLIC'!A15,IF(LEN('GIA CONG ACRYLIC'!A15)=2,"0"&amp;'GIA CONG ACRYLIC'!A15,'GIA CONG ACRYLIC'!A15))</f>
        <v>.GV00.TP.001</v>
      </c>
      <c r="E3" s="114" t="str">
        <f>IF('GIA CONG ACRYLIC'!M15=0,"",'GIA CONG ACRYLIC'!M15)</f>
        <v/>
      </c>
      <c r="F3" s="114" t="str">
        <f>+'GIA CONG ACRYLIC'!C15</f>
        <v>Cốt MDF chống ẩm 17mm, 1 mặt Acrylic GV00 chống xước cao, 1 mặt acrylic chống cong vênh trắng bóng</v>
      </c>
      <c r="G3" s="114">
        <f>+'GIA CONG ACRYLIC'!D15</f>
        <v>0</v>
      </c>
      <c r="H3" s="114">
        <f>+'GIA CONG ACRYLIC'!E15</f>
        <v>0</v>
      </c>
      <c r="I3" s="114">
        <v>19</v>
      </c>
      <c r="J3" s="114">
        <v>2</v>
      </c>
      <c r="K3" s="114">
        <f>+'GIA CONG ACRYLIC'!F15</f>
        <v>0</v>
      </c>
      <c r="L3" s="116" t="str">
        <f>"T"</f>
        <v>T</v>
      </c>
      <c r="M3" s="116" t="str">
        <f>IF('GIA CONG ACRYLIC'!N15='GIA CONG ACRYLIC'!D15,"V","T")</f>
        <v>V</v>
      </c>
      <c r="N3" s="116" t="str">
        <f>"T"</f>
        <v>T</v>
      </c>
      <c r="O3" s="116" t="str">
        <f>IF('GIA CONG ACRYLIC'!N15='GIA CONG ACRYLIC'!E15,"V","T")</f>
        <v>V</v>
      </c>
      <c r="P3" s="114">
        <v>1.0000000000000001E-5</v>
      </c>
      <c r="Q3" s="114">
        <v>1.0000000000000001E-5</v>
      </c>
      <c r="R3" s="114">
        <v>1.0000000000000001E-5</v>
      </c>
      <c r="S3" s="114">
        <v>1.0000000000000001E-5</v>
      </c>
      <c r="T3" s="117" t="str">
        <f>'GIA CONG ACRYLIC'!G15</f>
        <v>Vát 0</v>
      </c>
    </row>
    <row r="4" spans="1:36" s="118" customFormat="1">
      <c r="A4" s="114" t="str">
        <f t="shared" ref="A4:A34" si="0">"V"</f>
        <v>V</v>
      </c>
      <c r="B4" s="114" t="str">
        <f t="shared" ref="B4:B34" si="1">"ACRILYC"</f>
        <v>ACRILYC</v>
      </c>
      <c r="C4" s="115" t="str">
        <f>RIGHT('GIA CONG ACRYLIC'!$C$8,LEN('GIA CONG ACRYLIC'!$C$8)-LEN("Khách hàng: "))&amp;" "&amp;'GIA CONG ACRYLIC'!$H$7</f>
        <v xml:space="preserve">KH0000 - Tên Khách hàng </v>
      </c>
      <c r="D4" s="114" t="str">
        <f>'GIA CONG ACRYLIC'!$H$7&amp;"."&amp;'GIA CONG ACRYLIC'!B16&amp;"."&amp;IF(LEN('GIA CONG ACRYLIC'!A16)=1,"00"&amp;'GIA CONG ACRYLIC'!A16,IF(LEN('GIA CONG ACRYLIC'!A16)=2,"0"&amp;'GIA CONG ACRYLIC'!A16,'GIA CONG ACRYLIC'!A16))</f>
        <v>.GV00.TP.002</v>
      </c>
      <c r="E4" s="114" t="str">
        <f>IF('GIA CONG ACRYLIC'!M16=0,"",'GIA CONG ACRYLIC'!M16)</f>
        <v/>
      </c>
      <c r="F4" s="114">
        <f>+'GIA CONG ACRYLIC'!C16</f>
        <v>0</v>
      </c>
      <c r="G4" s="114">
        <f>+'GIA CONG ACRYLIC'!D16</f>
        <v>0</v>
      </c>
      <c r="H4" s="114">
        <f>+'GIA CONG ACRYLIC'!E16</f>
        <v>0</v>
      </c>
      <c r="I4" s="114">
        <v>19</v>
      </c>
      <c r="J4" s="114">
        <v>2</v>
      </c>
      <c r="K4" s="114">
        <f>+'GIA CONG ACRYLIC'!F16</f>
        <v>0</v>
      </c>
      <c r="L4" s="116" t="str">
        <f t="shared" ref="L4:L34" si="2">"T"</f>
        <v>T</v>
      </c>
      <c r="M4" s="116" t="str">
        <f>IF('GIA CONG ACRYLIC'!N16='GIA CONG ACRYLIC'!D16,"V","T")</f>
        <v>V</v>
      </c>
      <c r="N4" s="116" t="str">
        <f t="shared" ref="N4:N34" si="3">"T"</f>
        <v>T</v>
      </c>
      <c r="O4" s="116" t="str">
        <f>IF('GIA CONG ACRYLIC'!N16='GIA CONG ACRYLIC'!E16,"V","T")</f>
        <v>V</v>
      </c>
      <c r="P4" s="114">
        <v>1.0000000000000001E-5</v>
      </c>
      <c r="Q4" s="114">
        <v>1.0000000000000001E-5</v>
      </c>
      <c r="R4" s="114">
        <v>1.0000000000000001E-5</v>
      </c>
      <c r="S4" s="114">
        <v>1.0000000000000001E-5</v>
      </c>
      <c r="T4" s="117" t="str">
        <f>'GIA CONG ACRYLIC'!G16</f>
        <v>Vát 0</v>
      </c>
    </row>
    <row r="5" spans="1:36" s="118" customFormat="1">
      <c r="A5" s="114" t="str">
        <f t="shared" si="0"/>
        <v>V</v>
      </c>
      <c r="B5" s="114" t="str">
        <f t="shared" si="1"/>
        <v>ACRILYC</v>
      </c>
      <c r="C5" s="115" t="str">
        <f>RIGHT('GIA CONG ACRYLIC'!$C$8,LEN('GIA CONG ACRYLIC'!$C$8)-LEN("Khách hàng: "))&amp;" "&amp;'GIA CONG ACRYLIC'!$H$7</f>
        <v xml:space="preserve">KH0000 - Tên Khách hàng </v>
      </c>
      <c r="D5" s="114" t="e">
        <f>'GIA CONG ACRYLIC'!$H$7&amp;"."&amp;'GIA CONG ACRYLIC'!#REF!&amp;"."&amp;IF(LEN('GIA CONG ACRYLIC'!#REF!)=1,"00"&amp;'GIA CONG ACRYLIC'!#REF!,IF(LEN('GIA CONG ACRYLIC'!#REF!)=2,"0"&amp;'GIA CONG ACRYLIC'!#REF!,'GIA CONG ACRYLIC'!#REF!))</f>
        <v>#REF!</v>
      </c>
      <c r="E5" s="114" t="e">
        <f>IF('GIA CONG ACRYLIC'!#REF!=0,"",'GIA CONG ACRYLIC'!#REF!)</f>
        <v>#REF!</v>
      </c>
      <c r="F5" s="114" t="e">
        <f>+'GIA CONG ACRYLIC'!#REF!</f>
        <v>#REF!</v>
      </c>
      <c r="G5" s="114" t="e">
        <f>+'GIA CONG ACRYLIC'!#REF!</f>
        <v>#REF!</v>
      </c>
      <c r="H5" s="114" t="e">
        <f>+'GIA CONG ACRYLIC'!#REF!</f>
        <v>#REF!</v>
      </c>
      <c r="I5" s="114">
        <v>19</v>
      </c>
      <c r="J5" s="114">
        <v>2</v>
      </c>
      <c r="K5" s="114" t="e">
        <f>+'GIA CONG ACRYLIC'!#REF!</f>
        <v>#REF!</v>
      </c>
      <c r="L5" s="116" t="str">
        <f t="shared" si="2"/>
        <v>T</v>
      </c>
      <c r="M5" s="116" t="e">
        <f>IF('GIA CONG ACRYLIC'!#REF!='GIA CONG ACRYLIC'!#REF!,"V","T")</f>
        <v>#REF!</v>
      </c>
      <c r="N5" s="116" t="str">
        <f t="shared" si="3"/>
        <v>T</v>
      </c>
      <c r="O5" s="116" t="e">
        <f>IF('GIA CONG ACRYLIC'!#REF!='GIA CONG ACRYLIC'!#REF!,"V","T")</f>
        <v>#REF!</v>
      </c>
      <c r="P5" s="114">
        <v>1.0000000000000001E-5</v>
      </c>
      <c r="Q5" s="114">
        <v>1.0000000000000001E-5</v>
      </c>
      <c r="R5" s="114">
        <v>1.0000000000000001E-5</v>
      </c>
      <c r="S5" s="114">
        <v>1.0000000000000001E-5</v>
      </c>
      <c r="T5" s="117" t="e">
        <f>'GIA CONG ACRYLIC'!#REF!</f>
        <v>#REF!</v>
      </c>
    </row>
    <row r="6" spans="1:36" s="118" customFormat="1">
      <c r="A6" s="114" t="str">
        <f t="shared" si="0"/>
        <v>V</v>
      </c>
      <c r="B6" s="114" t="str">
        <f t="shared" si="1"/>
        <v>ACRILYC</v>
      </c>
      <c r="C6" s="115" t="str">
        <f>RIGHT('GIA CONG ACRYLIC'!$C$8,LEN('GIA CONG ACRYLIC'!$C$8)-LEN("Khách hàng: "))&amp;" "&amp;'GIA CONG ACRYLIC'!$H$7</f>
        <v xml:space="preserve">KH0000 - Tên Khách hàng </v>
      </c>
      <c r="D6" s="114" t="e">
        <f>'GIA CONG ACRYLIC'!$H$7&amp;"."&amp;'GIA CONG ACRYLIC'!#REF!&amp;"."&amp;IF(LEN('GIA CONG ACRYLIC'!#REF!)=1,"00"&amp;'GIA CONG ACRYLIC'!#REF!,IF(LEN('GIA CONG ACRYLIC'!#REF!)=2,"0"&amp;'GIA CONG ACRYLIC'!#REF!,'GIA CONG ACRYLIC'!#REF!))</f>
        <v>#REF!</v>
      </c>
      <c r="E6" s="114" t="e">
        <f>IF('GIA CONG ACRYLIC'!#REF!=0,"",'GIA CONG ACRYLIC'!#REF!)</f>
        <v>#REF!</v>
      </c>
      <c r="F6" s="114" t="e">
        <f>+'GIA CONG ACRYLIC'!#REF!</f>
        <v>#REF!</v>
      </c>
      <c r="G6" s="114" t="e">
        <f>+'GIA CONG ACRYLIC'!#REF!</f>
        <v>#REF!</v>
      </c>
      <c r="H6" s="114" t="e">
        <f>+'GIA CONG ACRYLIC'!#REF!</f>
        <v>#REF!</v>
      </c>
      <c r="I6" s="114">
        <v>19</v>
      </c>
      <c r="J6" s="114">
        <v>2</v>
      </c>
      <c r="K6" s="114" t="e">
        <f>+'GIA CONG ACRYLIC'!#REF!</f>
        <v>#REF!</v>
      </c>
      <c r="L6" s="116" t="str">
        <f t="shared" si="2"/>
        <v>T</v>
      </c>
      <c r="M6" s="116" t="e">
        <f>IF('GIA CONG ACRYLIC'!#REF!='GIA CONG ACRYLIC'!#REF!,"V","T")</f>
        <v>#REF!</v>
      </c>
      <c r="N6" s="116" t="str">
        <f t="shared" si="3"/>
        <v>T</v>
      </c>
      <c r="O6" s="116" t="e">
        <f>IF('GIA CONG ACRYLIC'!#REF!='GIA CONG ACRYLIC'!#REF!,"V","T")</f>
        <v>#REF!</v>
      </c>
      <c r="P6" s="114">
        <v>1.0000000000000001E-5</v>
      </c>
      <c r="Q6" s="114">
        <v>1.0000000000000001E-5</v>
      </c>
      <c r="R6" s="114">
        <v>1.0000000000000001E-5</v>
      </c>
      <c r="S6" s="114">
        <v>1.0000000000000001E-5</v>
      </c>
      <c r="T6" s="117" t="e">
        <f>'GIA CONG ACRYLIC'!#REF!</f>
        <v>#REF!</v>
      </c>
    </row>
    <row r="7" spans="1:36" s="118" customFormat="1">
      <c r="A7" s="114" t="str">
        <f t="shared" si="0"/>
        <v>V</v>
      </c>
      <c r="B7" s="114" t="str">
        <f t="shared" si="1"/>
        <v>ACRILYC</v>
      </c>
      <c r="C7" s="115" t="str">
        <f>RIGHT('GIA CONG ACRYLIC'!$C$8,LEN('GIA CONG ACRYLIC'!$C$8)-LEN("Khách hàng: "))&amp;" "&amp;'GIA CONG ACRYLIC'!$H$7</f>
        <v xml:space="preserve">KH0000 - Tên Khách hàng </v>
      </c>
      <c r="D7" s="114" t="e">
        <f>'GIA CONG ACRYLIC'!$H$7&amp;"."&amp;'GIA CONG ACRYLIC'!#REF!&amp;"."&amp;IF(LEN('GIA CONG ACRYLIC'!#REF!)=1,"00"&amp;'GIA CONG ACRYLIC'!#REF!,IF(LEN('GIA CONG ACRYLIC'!#REF!)=2,"0"&amp;'GIA CONG ACRYLIC'!#REF!,'GIA CONG ACRYLIC'!#REF!))</f>
        <v>#REF!</v>
      </c>
      <c r="E7" s="114" t="e">
        <f>IF('GIA CONG ACRYLIC'!#REF!=0,"",'GIA CONG ACRYLIC'!#REF!)</f>
        <v>#REF!</v>
      </c>
      <c r="F7" s="114" t="e">
        <f>+'GIA CONG ACRYLIC'!#REF!</f>
        <v>#REF!</v>
      </c>
      <c r="G7" s="114" t="e">
        <f>+'GIA CONG ACRYLIC'!#REF!</f>
        <v>#REF!</v>
      </c>
      <c r="H7" s="114" t="e">
        <f>+'GIA CONG ACRYLIC'!#REF!</f>
        <v>#REF!</v>
      </c>
      <c r="I7" s="114">
        <v>19</v>
      </c>
      <c r="J7" s="114">
        <v>2</v>
      </c>
      <c r="K7" s="114" t="e">
        <f>+'GIA CONG ACRYLIC'!#REF!</f>
        <v>#REF!</v>
      </c>
      <c r="L7" s="116" t="str">
        <f t="shared" si="2"/>
        <v>T</v>
      </c>
      <c r="M7" s="116" t="e">
        <f>IF('GIA CONG ACRYLIC'!#REF!='GIA CONG ACRYLIC'!#REF!,"V","T")</f>
        <v>#REF!</v>
      </c>
      <c r="N7" s="116" t="str">
        <f t="shared" si="3"/>
        <v>T</v>
      </c>
      <c r="O7" s="116" t="e">
        <f>IF('GIA CONG ACRYLIC'!#REF!='GIA CONG ACRYLIC'!#REF!,"V","T")</f>
        <v>#REF!</v>
      </c>
      <c r="P7" s="114">
        <v>1.0000000000000001E-5</v>
      </c>
      <c r="Q7" s="114">
        <v>1.0000000000000001E-5</v>
      </c>
      <c r="R7" s="114">
        <v>1.0000000000000001E-5</v>
      </c>
      <c r="S7" s="114">
        <v>1.0000000000000001E-5</v>
      </c>
      <c r="T7" s="117" t="e">
        <f>'GIA CONG ACRYLIC'!#REF!</f>
        <v>#REF!</v>
      </c>
    </row>
    <row r="8" spans="1:36" s="118" customFormat="1">
      <c r="A8" s="114" t="str">
        <f t="shared" si="0"/>
        <v>V</v>
      </c>
      <c r="B8" s="114" t="str">
        <f t="shared" si="1"/>
        <v>ACRILYC</v>
      </c>
      <c r="C8" s="115" t="str">
        <f>RIGHT('GIA CONG ACRYLIC'!$C$8,LEN('GIA CONG ACRYLIC'!$C$8)-LEN("Khách hàng: "))&amp;" "&amp;'GIA CONG ACRYLIC'!$H$7</f>
        <v xml:space="preserve">KH0000 - Tên Khách hàng </v>
      </c>
      <c r="D8" s="114" t="e">
        <f>'GIA CONG ACRYLIC'!$H$7&amp;"."&amp;'GIA CONG ACRYLIC'!#REF!&amp;"."&amp;IF(LEN('GIA CONG ACRYLIC'!#REF!)=1,"00"&amp;'GIA CONG ACRYLIC'!#REF!,IF(LEN('GIA CONG ACRYLIC'!#REF!)=2,"0"&amp;'GIA CONG ACRYLIC'!#REF!,'GIA CONG ACRYLIC'!#REF!))</f>
        <v>#REF!</v>
      </c>
      <c r="E8" s="114" t="e">
        <f>IF('GIA CONG ACRYLIC'!#REF!=0,"",'GIA CONG ACRYLIC'!#REF!)</f>
        <v>#REF!</v>
      </c>
      <c r="F8" s="114" t="e">
        <f>+'GIA CONG ACRYLIC'!#REF!</f>
        <v>#REF!</v>
      </c>
      <c r="G8" s="114" t="e">
        <f>+'GIA CONG ACRYLIC'!#REF!</f>
        <v>#REF!</v>
      </c>
      <c r="H8" s="114" t="e">
        <f>+'GIA CONG ACRYLIC'!#REF!</f>
        <v>#REF!</v>
      </c>
      <c r="I8" s="114">
        <v>19</v>
      </c>
      <c r="J8" s="114">
        <v>2</v>
      </c>
      <c r="K8" s="114" t="e">
        <f>+'GIA CONG ACRYLIC'!#REF!</f>
        <v>#REF!</v>
      </c>
      <c r="L8" s="116" t="str">
        <f t="shared" si="2"/>
        <v>T</v>
      </c>
      <c r="M8" s="116" t="e">
        <f>IF('GIA CONG ACRYLIC'!#REF!='GIA CONG ACRYLIC'!#REF!,"V","T")</f>
        <v>#REF!</v>
      </c>
      <c r="N8" s="116" t="str">
        <f t="shared" si="3"/>
        <v>T</v>
      </c>
      <c r="O8" s="116" t="e">
        <f>IF('GIA CONG ACRYLIC'!#REF!='GIA CONG ACRYLIC'!#REF!,"V","T")</f>
        <v>#REF!</v>
      </c>
      <c r="P8" s="114">
        <v>1.0000000000000001E-5</v>
      </c>
      <c r="Q8" s="114">
        <v>1.0000000000000001E-5</v>
      </c>
      <c r="R8" s="114">
        <v>1.0000000000000001E-5</v>
      </c>
      <c r="S8" s="114">
        <v>1.0000000000000001E-5</v>
      </c>
      <c r="T8" s="117" t="e">
        <f>'GIA CONG ACRYLIC'!#REF!</f>
        <v>#REF!</v>
      </c>
    </row>
    <row r="9" spans="1:36" s="118" customFormat="1">
      <c r="A9" s="114" t="str">
        <f t="shared" si="0"/>
        <v>V</v>
      </c>
      <c r="B9" s="114" t="str">
        <f t="shared" si="1"/>
        <v>ACRILYC</v>
      </c>
      <c r="C9" s="115" t="str">
        <f>RIGHT('GIA CONG ACRYLIC'!$C$8,LEN('GIA CONG ACRYLIC'!$C$8)-LEN("Khách hàng: "))&amp;" "&amp;'GIA CONG ACRYLIC'!$H$7</f>
        <v xml:space="preserve">KH0000 - Tên Khách hàng </v>
      </c>
      <c r="D9" s="114" t="e">
        <f>'GIA CONG ACRYLIC'!$H$7&amp;"."&amp;'GIA CONG ACRYLIC'!#REF!&amp;"."&amp;IF(LEN('GIA CONG ACRYLIC'!#REF!)=1,"00"&amp;'GIA CONG ACRYLIC'!#REF!,IF(LEN('GIA CONG ACRYLIC'!#REF!)=2,"0"&amp;'GIA CONG ACRYLIC'!#REF!,'GIA CONG ACRYLIC'!#REF!))</f>
        <v>#REF!</v>
      </c>
      <c r="E9" s="114" t="e">
        <f>IF('GIA CONG ACRYLIC'!#REF!=0,"",'GIA CONG ACRYLIC'!#REF!)</f>
        <v>#REF!</v>
      </c>
      <c r="F9" s="114" t="e">
        <f>+'GIA CONG ACRYLIC'!#REF!</f>
        <v>#REF!</v>
      </c>
      <c r="G9" s="114" t="e">
        <f>+'GIA CONG ACRYLIC'!#REF!</f>
        <v>#REF!</v>
      </c>
      <c r="H9" s="114" t="e">
        <f>+'GIA CONG ACRYLIC'!#REF!</f>
        <v>#REF!</v>
      </c>
      <c r="I9" s="114">
        <v>19</v>
      </c>
      <c r="J9" s="114">
        <v>2</v>
      </c>
      <c r="K9" s="114" t="e">
        <f>+'GIA CONG ACRYLIC'!#REF!</f>
        <v>#REF!</v>
      </c>
      <c r="L9" s="116" t="str">
        <f t="shared" si="2"/>
        <v>T</v>
      </c>
      <c r="M9" s="116" t="e">
        <f>IF('GIA CONG ACRYLIC'!#REF!='GIA CONG ACRYLIC'!#REF!,"V","T")</f>
        <v>#REF!</v>
      </c>
      <c r="N9" s="116" t="str">
        <f t="shared" si="3"/>
        <v>T</v>
      </c>
      <c r="O9" s="116" t="e">
        <f>IF('GIA CONG ACRYLIC'!#REF!='GIA CONG ACRYLIC'!#REF!,"V","T")</f>
        <v>#REF!</v>
      </c>
      <c r="P9" s="114">
        <v>1.0000000000000001E-5</v>
      </c>
      <c r="Q9" s="114">
        <v>1.0000000000000001E-5</v>
      </c>
      <c r="R9" s="114">
        <v>1.0000000000000001E-5</v>
      </c>
      <c r="S9" s="114">
        <v>1.0000000000000001E-5</v>
      </c>
      <c r="T9" s="117" t="e">
        <f>'GIA CONG ACRYLIC'!#REF!</f>
        <v>#REF!</v>
      </c>
    </row>
    <row r="10" spans="1:36" s="118" customFormat="1">
      <c r="A10" s="114" t="str">
        <f t="shared" si="0"/>
        <v>V</v>
      </c>
      <c r="B10" s="114" t="str">
        <f t="shared" si="1"/>
        <v>ACRILYC</v>
      </c>
      <c r="C10" s="115" t="str">
        <f>RIGHT('GIA CONG ACRYLIC'!$C$8,LEN('GIA CONG ACRYLIC'!$C$8)-LEN("Khách hàng: "))&amp;" "&amp;'GIA CONG ACRYLIC'!$H$7</f>
        <v xml:space="preserve">KH0000 - Tên Khách hàng </v>
      </c>
      <c r="D10" s="114" t="e">
        <f>'GIA CONG ACRYLIC'!$H$7&amp;"."&amp;'GIA CONG ACRYLIC'!#REF!&amp;"."&amp;IF(LEN('GIA CONG ACRYLIC'!#REF!)=1,"00"&amp;'GIA CONG ACRYLIC'!#REF!,IF(LEN('GIA CONG ACRYLIC'!#REF!)=2,"0"&amp;'GIA CONG ACRYLIC'!#REF!,'GIA CONG ACRYLIC'!#REF!))</f>
        <v>#REF!</v>
      </c>
      <c r="E10" s="114" t="e">
        <f>IF('GIA CONG ACRYLIC'!#REF!=0,"",'GIA CONG ACRYLIC'!#REF!)</f>
        <v>#REF!</v>
      </c>
      <c r="F10" s="114" t="e">
        <f>+'GIA CONG ACRYLIC'!#REF!</f>
        <v>#REF!</v>
      </c>
      <c r="G10" s="114" t="e">
        <f>+'GIA CONG ACRYLIC'!#REF!</f>
        <v>#REF!</v>
      </c>
      <c r="H10" s="114" t="e">
        <f>+'GIA CONG ACRYLIC'!#REF!</f>
        <v>#REF!</v>
      </c>
      <c r="I10" s="114">
        <v>19</v>
      </c>
      <c r="J10" s="114">
        <v>2</v>
      </c>
      <c r="K10" s="114" t="e">
        <f>+'GIA CONG ACRYLIC'!#REF!</f>
        <v>#REF!</v>
      </c>
      <c r="L10" s="116" t="str">
        <f t="shared" si="2"/>
        <v>T</v>
      </c>
      <c r="M10" s="116" t="e">
        <f>IF('GIA CONG ACRYLIC'!#REF!='GIA CONG ACRYLIC'!#REF!,"V","T")</f>
        <v>#REF!</v>
      </c>
      <c r="N10" s="116" t="str">
        <f t="shared" si="3"/>
        <v>T</v>
      </c>
      <c r="O10" s="116" t="e">
        <f>IF('GIA CONG ACRYLIC'!#REF!='GIA CONG ACRYLIC'!#REF!,"V","T")</f>
        <v>#REF!</v>
      </c>
      <c r="P10" s="114">
        <v>1.0000000000000001E-5</v>
      </c>
      <c r="Q10" s="114">
        <v>1.0000000000000001E-5</v>
      </c>
      <c r="R10" s="114">
        <v>1.0000000000000001E-5</v>
      </c>
      <c r="S10" s="114">
        <v>1.0000000000000001E-5</v>
      </c>
      <c r="T10" s="117" t="e">
        <f>'GIA CONG ACRYLIC'!#REF!</f>
        <v>#REF!</v>
      </c>
    </row>
    <row r="11" spans="1:36" s="118" customFormat="1">
      <c r="A11" s="114" t="str">
        <f t="shared" si="0"/>
        <v>V</v>
      </c>
      <c r="B11" s="114" t="str">
        <f t="shared" si="1"/>
        <v>ACRILYC</v>
      </c>
      <c r="C11" s="115" t="str">
        <f>RIGHT('GIA CONG ACRYLIC'!$C$8,LEN('GIA CONG ACRYLIC'!$C$8)-LEN("Khách hàng: "))&amp;" "&amp;'GIA CONG ACRYLIC'!$H$7</f>
        <v xml:space="preserve">KH0000 - Tên Khách hàng </v>
      </c>
      <c r="D11" s="114" t="e">
        <f>'GIA CONG ACRYLIC'!$H$7&amp;"."&amp;'GIA CONG ACRYLIC'!#REF!&amp;"."&amp;IF(LEN('GIA CONG ACRYLIC'!#REF!)=1,"00"&amp;'GIA CONG ACRYLIC'!#REF!,IF(LEN('GIA CONG ACRYLIC'!#REF!)=2,"0"&amp;'GIA CONG ACRYLIC'!#REF!,'GIA CONG ACRYLIC'!#REF!))</f>
        <v>#REF!</v>
      </c>
      <c r="E11" s="114" t="e">
        <f>IF('GIA CONG ACRYLIC'!#REF!=0,"",'GIA CONG ACRYLIC'!#REF!)</f>
        <v>#REF!</v>
      </c>
      <c r="F11" s="114" t="e">
        <f>+'GIA CONG ACRYLIC'!#REF!</f>
        <v>#REF!</v>
      </c>
      <c r="G11" s="114" t="e">
        <f>+'GIA CONG ACRYLIC'!#REF!</f>
        <v>#REF!</v>
      </c>
      <c r="H11" s="114" t="e">
        <f>+'GIA CONG ACRYLIC'!#REF!</f>
        <v>#REF!</v>
      </c>
      <c r="I11" s="114">
        <v>19</v>
      </c>
      <c r="J11" s="114">
        <v>2</v>
      </c>
      <c r="K11" s="114" t="e">
        <f>+'GIA CONG ACRYLIC'!#REF!</f>
        <v>#REF!</v>
      </c>
      <c r="L11" s="116" t="str">
        <f t="shared" si="2"/>
        <v>T</v>
      </c>
      <c r="M11" s="116" t="e">
        <f>IF('GIA CONG ACRYLIC'!#REF!='GIA CONG ACRYLIC'!#REF!,"V","T")</f>
        <v>#REF!</v>
      </c>
      <c r="N11" s="116" t="str">
        <f t="shared" si="3"/>
        <v>T</v>
      </c>
      <c r="O11" s="116" t="e">
        <f>IF('GIA CONG ACRYLIC'!#REF!='GIA CONG ACRYLIC'!#REF!,"V","T")</f>
        <v>#REF!</v>
      </c>
      <c r="P11" s="114">
        <v>1.0000000000000001E-5</v>
      </c>
      <c r="Q11" s="114">
        <v>1.0000000000000001E-5</v>
      </c>
      <c r="R11" s="114">
        <v>1.0000000000000001E-5</v>
      </c>
      <c r="S11" s="114">
        <v>1.0000000000000001E-5</v>
      </c>
      <c r="T11" s="117" t="e">
        <f>'GIA CONG ACRYLIC'!#REF!</f>
        <v>#REF!</v>
      </c>
    </row>
    <row r="12" spans="1:36" s="118" customFormat="1">
      <c r="A12" s="114" t="str">
        <f t="shared" si="0"/>
        <v>V</v>
      </c>
      <c r="B12" s="114" t="str">
        <f t="shared" si="1"/>
        <v>ACRILYC</v>
      </c>
      <c r="C12" s="115" t="str">
        <f>RIGHT('GIA CONG ACRYLIC'!$C$8,LEN('GIA CONG ACRYLIC'!$C$8)-LEN("Khách hàng: "))&amp;" "&amp;'GIA CONG ACRYLIC'!$H$7</f>
        <v xml:space="preserve">KH0000 - Tên Khách hàng </v>
      </c>
      <c r="D12" s="114" t="e">
        <f>'GIA CONG ACRYLIC'!$H$7&amp;"."&amp;'GIA CONG ACRYLIC'!#REF!&amp;"."&amp;IF(LEN('GIA CONG ACRYLIC'!#REF!)=1,"00"&amp;'GIA CONG ACRYLIC'!#REF!,IF(LEN('GIA CONG ACRYLIC'!#REF!)=2,"0"&amp;'GIA CONG ACRYLIC'!#REF!,'GIA CONG ACRYLIC'!#REF!))</f>
        <v>#REF!</v>
      </c>
      <c r="E12" s="114" t="e">
        <f>IF('GIA CONG ACRYLIC'!#REF!=0,"",'GIA CONG ACRYLIC'!#REF!)</f>
        <v>#REF!</v>
      </c>
      <c r="F12" s="114" t="e">
        <f>+'GIA CONG ACRYLIC'!#REF!</f>
        <v>#REF!</v>
      </c>
      <c r="G12" s="114" t="e">
        <f>+'GIA CONG ACRYLIC'!#REF!</f>
        <v>#REF!</v>
      </c>
      <c r="H12" s="114" t="e">
        <f>+'GIA CONG ACRYLIC'!#REF!</f>
        <v>#REF!</v>
      </c>
      <c r="I12" s="114">
        <v>19</v>
      </c>
      <c r="J12" s="114">
        <v>2</v>
      </c>
      <c r="K12" s="114" t="e">
        <f>+'GIA CONG ACRYLIC'!#REF!</f>
        <v>#REF!</v>
      </c>
      <c r="L12" s="116" t="str">
        <f t="shared" si="2"/>
        <v>T</v>
      </c>
      <c r="M12" s="116" t="e">
        <f>IF('GIA CONG ACRYLIC'!#REF!='GIA CONG ACRYLIC'!#REF!,"V","T")</f>
        <v>#REF!</v>
      </c>
      <c r="N12" s="116" t="str">
        <f t="shared" si="3"/>
        <v>T</v>
      </c>
      <c r="O12" s="116" t="e">
        <f>IF('GIA CONG ACRYLIC'!#REF!='GIA CONG ACRYLIC'!#REF!,"V","T")</f>
        <v>#REF!</v>
      </c>
      <c r="P12" s="114">
        <v>1.0000000000000001E-5</v>
      </c>
      <c r="Q12" s="114">
        <v>1.0000000000000001E-5</v>
      </c>
      <c r="R12" s="114">
        <v>1.0000000000000001E-5</v>
      </c>
      <c r="S12" s="114">
        <v>1.0000000000000001E-5</v>
      </c>
      <c r="T12" s="117" t="e">
        <f>'GIA CONG ACRYLIC'!#REF!</f>
        <v>#REF!</v>
      </c>
    </row>
    <row r="13" spans="1:36" s="118" customFormat="1">
      <c r="A13" s="114" t="str">
        <f t="shared" si="0"/>
        <v>V</v>
      </c>
      <c r="B13" s="114" t="str">
        <f t="shared" si="1"/>
        <v>ACRILYC</v>
      </c>
      <c r="C13" s="115" t="str">
        <f>RIGHT('GIA CONG ACRYLIC'!$C$8,LEN('GIA CONG ACRYLIC'!$C$8)-LEN("Khách hàng: "))&amp;" "&amp;'GIA CONG ACRYLIC'!$H$7</f>
        <v xml:space="preserve">KH0000 - Tên Khách hàng </v>
      </c>
      <c r="D13" s="114" t="e">
        <f>'GIA CONG ACRYLIC'!$H$7&amp;"."&amp;'GIA CONG ACRYLIC'!#REF!&amp;"."&amp;IF(LEN('GIA CONG ACRYLIC'!#REF!)=1,"00"&amp;'GIA CONG ACRYLIC'!#REF!,IF(LEN('GIA CONG ACRYLIC'!#REF!)=2,"0"&amp;'GIA CONG ACRYLIC'!#REF!,'GIA CONG ACRYLIC'!#REF!))</f>
        <v>#REF!</v>
      </c>
      <c r="E13" s="114" t="e">
        <f>IF('GIA CONG ACRYLIC'!#REF!=0,"",'GIA CONG ACRYLIC'!#REF!)</f>
        <v>#REF!</v>
      </c>
      <c r="F13" s="114" t="e">
        <f>+'GIA CONG ACRYLIC'!#REF!</f>
        <v>#REF!</v>
      </c>
      <c r="G13" s="114" t="e">
        <f>+'GIA CONG ACRYLIC'!#REF!</f>
        <v>#REF!</v>
      </c>
      <c r="H13" s="114" t="e">
        <f>+'GIA CONG ACRYLIC'!#REF!</f>
        <v>#REF!</v>
      </c>
      <c r="I13" s="114">
        <v>19</v>
      </c>
      <c r="J13" s="114">
        <v>2</v>
      </c>
      <c r="K13" s="114" t="e">
        <f>+'GIA CONG ACRYLIC'!#REF!</f>
        <v>#REF!</v>
      </c>
      <c r="L13" s="116" t="str">
        <f t="shared" si="2"/>
        <v>T</v>
      </c>
      <c r="M13" s="116" t="e">
        <f>IF('GIA CONG ACRYLIC'!#REF!='GIA CONG ACRYLIC'!#REF!,"V","T")</f>
        <v>#REF!</v>
      </c>
      <c r="N13" s="116" t="str">
        <f t="shared" si="3"/>
        <v>T</v>
      </c>
      <c r="O13" s="116" t="e">
        <f>IF('GIA CONG ACRYLIC'!#REF!='GIA CONG ACRYLIC'!#REF!,"V","T")</f>
        <v>#REF!</v>
      </c>
      <c r="P13" s="114">
        <v>1.0000000000000001E-5</v>
      </c>
      <c r="Q13" s="114">
        <v>1.0000000000000001E-5</v>
      </c>
      <c r="R13" s="114">
        <v>1.0000000000000001E-5</v>
      </c>
      <c r="S13" s="114">
        <v>1.0000000000000001E-5</v>
      </c>
      <c r="T13" s="117" t="e">
        <f>'GIA CONG ACRYLIC'!#REF!</f>
        <v>#REF!</v>
      </c>
    </row>
    <row r="14" spans="1:36" s="118" customFormat="1">
      <c r="A14" s="114" t="str">
        <f t="shared" si="0"/>
        <v>V</v>
      </c>
      <c r="B14" s="114" t="str">
        <f t="shared" si="1"/>
        <v>ACRILYC</v>
      </c>
      <c r="C14" s="115" t="str">
        <f>RIGHT('GIA CONG ACRYLIC'!$C$8,LEN('GIA CONG ACRYLIC'!$C$8)-LEN("Khách hàng: "))&amp;" "&amp;'GIA CONG ACRYLIC'!$H$7</f>
        <v xml:space="preserve">KH0000 - Tên Khách hàng </v>
      </c>
      <c r="D14" s="114" t="e">
        <f>'GIA CONG ACRYLIC'!$H$7&amp;"."&amp;'GIA CONG ACRYLIC'!#REF!&amp;"."&amp;IF(LEN('GIA CONG ACRYLIC'!#REF!)=1,"00"&amp;'GIA CONG ACRYLIC'!#REF!,IF(LEN('GIA CONG ACRYLIC'!#REF!)=2,"0"&amp;'GIA CONG ACRYLIC'!#REF!,'GIA CONG ACRYLIC'!#REF!))</f>
        <v>#REF!</v>
      </c>
      <c r="E14" s="114" t="e">
        <f>IF('GIA CONG ACRYLIC'!#REF!=0,"",'GIA CONG ACRYLIC'!#REF!)</f>
        <v>#REF!</v>
      </c>
      <c r="F14" s="114" t="e">
        <f>+'GIA CONG ACRYLIC'!#REF!</f>
        <v>#REF!</v>
      </c>
      <c r="G14" s="114" t="e">
        <f>+'GIA CONG ACRYLIC'!#REF!</f>
        <v>#REF!</v>
      </c>
      <c r="H14" s="114" t="e">
        <f>+'GIA CONG ACRYLIC'!#REF!</f>
        <v>#REF!</v>
      </c>
      <c r="I14" s="114">
        <v>19</v>
      </c>
      <c r="J14" s="114">
        <v>2</v>
      </c>
      <c r="K14" s="114" t="e">
        <f>+'GIA CONG ACRYLIC'!#REF!</f>
        <v>#REF!</v>
      </c>
      <c r="L14" s="116" t="str">
        <f t="shared" si="2"/>
        <v>T</v>
      </c>
      <c r="M14" s="116" t="e">
        <f>IF('GIA CONG ACRYLIC'!#REF!='GIA CONG ACRYLIC'!#REF!,"V","T")</f>
        <v>#REF!</v>
      </c>
      <c r="N14" s="116" t="str">
        <f t="shared" si="3"/>
        <v>T</v>
      </c>
      <c r="O14" s="116" t="e">
        <f>IF('GIA CONG ACRYLIC'!#REF!='GIA CONG ACRYLIC'!#REF!,"V","T")</f>
        <v>#REF!</v>
      </c>
      <c r="P14" s="114">
        <v>1.0000000000000001E-5</v>
      </c>
      <c r="Q14" s="114">
        <v>1.0000000000000001E-5</v>
      </c>
      <c r="R14" s="114">
        <v>1.0000000000000001E-5</v>
      </c>
      <c r="S14" s="114">
        <v>1.0000000000000001E-5</v>
      </c>
      <c r="T14" s="117" t="e">
        <f>'GIA CONG ACRYLIC'!#REF!</f>
        <v>#REF!</v>
      </c>
    </row>
    <row r="15" spans="1:36" s="118" customFormat="1">
      <c r="A15" s="114" t="str">
        <f t="shared" si="0"/>
        <v>V</v>
      </c>
      <c r="B15" s="114" t="str">
        <f t="shared" si="1"/>
        <v>ACRILYC</v>
      </c>
      <c r="C15" s="115" t="str">
        <f>RIGHT('GIA CONG ACRYLIC'!$C$8,LEN('GIA CONG ACRYLIC'!$C$8)-LEN("Khách hàng: "))&amp;" "&amp;'GIA CONG ACRYLIC'!$H$7</f>
        <v xml:space="preserve">KH0000 - Tên Khách hàng </v>
      </c>
      <c r="D15" s="114" t="e">
        <f>'GIA CONG ACRYLIC'!$H$7&amp;"."&amp;'GIA CONG ACRYLIC'!#REF!&amp;"."&amp;IF(LEN('GIA CONG ACRYLIC'!#REF!)=1,"00"&amp;'GIA CONG ACRYLIC'!#REF!,IF(LEN('GIA CONG ACRYLIC'!#REF!)=2,"0"&amp;'GIA CONG ACRYLIC'!#REF!,'GIA CONG ACRYLIC'!#REF!))</f>
        <v>#REF!</v>
      </c>
      <c r="E15" s="114" t="e">
        <f>IF('GIA CONG ACRYLIC'!#REF!=0,"",'GIA CONG ACRYLIC'!#REF!)</f>
        <v>#REF!</v>
      </c>
      <c r="F15" s="114" t="e">
        <f>+'GIA CONG ACRYLIC'!#REF!</f>
        <v>#REF!</v>
      </c>
      <c r="G15" s="114" t="e">
        <f>+'GIA CONG ACRYLIC'!#REF!</f>
        <v>#REF!</v>
      </c>
      <c r="H15" s="114" t="e">
        <f>+'GIA CONG ACRYLIC'!#REF!</f>
        <v>#REF!</v>
      </c>
      <c r="I15" s="114">
        <v>19</v>
      </c>
      <c r="J15" s="114">
        <v>2</v>
      </c>
      <c r="K15" s="114" t="e">
        <f>+'GIA CONG ACRYLIC'!#REF!</f>
        <v>#REF!</v>
      </c>
      <c r="L15" s="116" t="str">
        <f t="shared" si="2"/>
        <v>T</v>
      </c>
      <c r="M15" s="116" t="e">
        <f>IF('GIA CONG ACRYLIC'!#REF!='GIA CONG ACRYLIC'!#REF!,"V","T")</f>
        <v>#REF!</v>
      </c>
      <c r="N15" s="116" t="str">
        <f t="shared" si="3"/>
        <v>T</v>
      </c>
      <c r="O15" s="116" t="e">
        <f>IF('GIA CONG ACRYLIC'!#REF!='GIA CONG ACRYLIC'!#REF!,"V","T")</f>
        <v>#REF!</v>
      </c>
      <c r="P15" s="114">
        <v>1.0000000000000001E-5</v>
      </c>
      <c r="Q15" s="114">
        <v>1.0000000000000001E-5</v>
      </c>
      <c r="R15" s="114">
        <v>1.0000000000000001E-5</v>
      </c>
      <c r="S15" s="114">
        <v>1.0000000000000001E-5</v>
      </c>
      <c r="T15" s="117" t="e">
        <f>'GIA CONG ACRYLIC'!#REF!</f>
        <v>#REF!</v>
      </c>
    </row>
    <row r="16" spans="1:36" s="118" customFormat="1">
      <c r="A16" s="114" t="str">
        <f t="shared" si="0"/>
        <v>V</v>
      </c>
      <c r="B16" s="114" t="str">
        <f t="shared" si="1"/>
        <v>ACRILYC</v>
      </c>
      <c r="C16" s="115" t="str">
        <f>RIGHT('GIA CONG ACRYLIC'!$C$8,LEN('GIA CONG ACRYLIC'!$C$8)-LEN("Khách hàng: "))&amp;" "&amp;'GIA CONG ACRYLIC'!$H$7</f>
        <v xml:space="preserve">KH0000 - Tên Khách hàng </v>
      </c>
      <c r="D16" s="114" t="e">
        <f>'GIA CONG ACRYLIC'!$H$7&amp;"."&amp;'GIA CONG ACRYLIC'!#REF!&amp;"."&amp;IF(LEN('GIA CONG ACRYLIC'!#REF!)=1,"00"&amp;'GIA CONG ACRYLIC'!#REF!,IF(LEN('GIA CONG ACRYLIC'!#REF!)=2,"0"&amp;'GIA CONG ACRYLIC'!#REF!,'GIA CONG ACRYLIC'!#REF!))</f>
        <v>#REF!</v>
      </c>
      <c r="E16" s="114" t="e">
        <f>IF('GIA CONG ACRYLIC'!#REF!=0,"",'GIA CONG ACRYLIC'!#REF!)</f>
        <v>#REF!</v>
      </c>
      <c r="F16" s="114" t="e">
        <f>+'GIA CONG ACRYLIC'!#REF!</f>
        <v>#REF!</v>
      </c>
      <c r="G16" s="114" t="e">
        <f>+'GIA CONG ACRYLIC'!#REF!</f>
        <v>#REF!</v>
      </c>
      <c r="H16" s="114" t="e">
        <f>+'GIA CONG ACRYLIC'!#REF!</f>
        <v>#REF!</v>
      </c>
      <c r="I16" s="114">
        <v>19</v>
      </c>
      <c r="J16" s="114">
        <v>2</v>
      </c>
      <c r="K16" s="114" t="e">
        <f>+'GIA CONG ACRYLIC'!#REF!</f>
        <v>#REF!</v>
      </c>
      <c r="L16" s="116" t="str">
        <f t="shared" si="2"/>
        <v>T</v>
      </c>
      <c r="M16" s="116" t="e">
        <f>IF('GIA CONG ACRYLIC'!#REF!='GIA CONG ACRYLIC'!#REF!,"V","T")</f>
        <v>#REF!</v>
      </c>
      <c r="N16" s="116" t="str">
        <f t="shared" si="3"/>
        <v>T</v>
      </c>
      <c r="O16" s="116" t="e">
        <f>IF('GIA CONG ACRYLIC'!#REF!='GIA CONG ACRYLIC'!#REF!,"V","T")</f>
        <v>#REF!</v>
      </c>
      <c r="P16" s="114">
        <v>1.0000000000000001E-5</v>
      </c>
      <c r="Q16" s="114">
        <v>1.0000000000000001E-5</v>
      </c>
      <c r="R16" s="114">
        <v>1.0000000000000001E-5</v>
      </c>
      <c r="S16" s="114">
        <v>1.0000000000000001E-5</v>
      </c>
      <c r="T16" s="117" t="e">
        <f>'GIA CONG ACRYLIC'!#REF!</f>
        <v>#REF!</v>
      </c>
    </row>
    <row r="17" spans="1:30" s="118" customFormat="1">
      <c r="A17" s="114" t="str">
        <f t="shared" si="0"/>
        <v>V</v>
      </c>
      <c r="B17" s="114" t="str">
        <f t="shared" si="1"/>
        <v>ACRILYC</v>
      </c>
      <c r="C17" s="115" t="str">
        <f>RIGHT('GIA CONG ACRYLIC'!$C$8,LEN('GIA CONG ACRYLIC'!$C$8)-LEN("Khách hàng: "))&amp;" "&amp;'GIA CONG ACRYLIC'!$H$7</f>
        <v xml:space="preserve">KH0000 - Tên Khách hàng </v>
      </c>
      <c r="D17" s="114" t="e">
        <f>'GIA CONG ACRYLIC'!$H$7&amp;"."&amp;'GIA CONG ACRYLIC'!#REF!&amp;"."&amp;IF(LEN('GIA CONG ACRYLIC'!#REF!)=1,"00"&amp;'GIA CONG ACRYLIC'!#REF!,IF(LEN('GIA CONG ACRYLIC'!#REF!)=2,"0"&amp;'GIA CONG ACRYLIC'!#REF!,'GIA CONG ACRYLIC'!#REF!))</f>
        <v>#REF!</v>
      </c>
      <c r="E17" s="114" t="e">
        <f>IF('GIA CONG ACRYLIC'!#REF!=0,"",'GIA CONG ACRYLIC'!#REF!)</f>
        <v>#REF!</v>
      </c>
      <c r="F17" s="114" t="e">
        <f>+'GIA CONG ACRYLIC'!#REF!</f>
        <v>#REF!</v>
      </c>
      <c r="G17" s="114" t="e">
        <f>+'GIA CONG ACRYLIC'!#REF!</f>
        <v>#REF!</v>
      </c>
      <c r="H17" s="114" t="e">
        <f>+'GIA CONG ACRYLIC'!#REF!</f>
        <v>#REF!</v>
      </c>
      <c r="I17" s="114">
        <v>19</v>
      </c>
      <c r="J17" s="114">
        <v>2</v>
      </c>
      <c r="K17" s="114" t="e">
        <f>+'GIA CONG ACRYLIC'!#REF!</f>
        <v>#REF!</v>
      </c>
      <c r="L17" s="116" t="str">
        <f t="shared" si="2"/>
        <v>T</v>
      </c>
      <c r="M17" s="116" t="e">
        <f>IF('GIA CONG ACRYLIC'!#REF!='GIA CONG ACRYLIC'!#REF!,"V","T")</f>
        <v>#REF!</v>
      </c>
      <c r="N17" s="116" t="str">
        <f t="shared" si="3"/>
        <v>T</v>
      </c>
      <c r="O17" s="116" t="e">
        <f>IF('GIA CONG ACRYLIC'!#REF!='GIA CONG ACRYLIC'!#REF!,"V","T")</f>
        <v>#REF!</v>
      </c>
      <c r="P17" s="114">
        <v>1.0000000000000001E-5</v>
      </c>
      <c r="Q17" s="114">
        <v>1.0000000000000001E-5</v>
      </c>
      <c r="R17" s="114">
        <v>1.0000000000000001E-5</v>
      </c>
      <c r="S17" s="114">
        <v>1.0000000000000001E-5</v>
      </c>
      <c r="T17" s="117" t="e">
        <f>'GIA CONG ACRYLIC'!#REF!</f>
        <v>#REF!</v>
      </c>
    </row>
    <row r="18" spans="1:30" s="118" customFormat="1">
      <c r="A18" s="114" t="str">
        <f t="shared" si="0"/>
        <v>V</v>
      </c>
      <c r="B18" s="114" t="str">
        <f t="shared" si="1"/>
        <v>ACRILYC</v>
      </c>
      <c r="C18" s="115" t="str">
        <f>RIGHT('GIA CONG ACRYLIC'!$C$8,LEN('GIA CONG ACRYLIC'!$C$8)-LEN("Khách hàng: "))&amp;" "&amp;'GIA CONG ACRYLIC'!$H$7</f>
        <v xml:space="preserve">KH0000 - Tên Khách hàng </v>
      </c>
      <c r="D18" s="114" t="e">
        <f>'GIA CONG ACRYLIC'!$H$7&amp;"."&amp;'GIA CONG ACRYLIC'!#REF!&amp;"."&amp;IF(LEN('GIA CONG ACRYLIC'!#REF!)=1,"00"&amp;'GIA CONG ACRYLIC'!#REF!,IF(LEN('GIA CONG ACRYLIC'!#REF!)=2,"0"&amp;'GIA CONG ACRYLIC'!#REF!,'GIA CONG ACRYLIC'!#REF!))</f>
        <v>#REF!</v>
      </c>
      <c r="E18" s="114" t="e">
        <f>IF('GIA CONG ACRYLIC'!#REF!=0,"",'GIA CONG ACRYLIC'!#REF!)</f>
        <v>#REF!</v>
      </c>
      <c r="F18" s="114" t="e">
        <f>+'GIA CONG ACRYLIC'!#REF!</f>
        <v>#REF!</v>
      </c>
      <c r="G18" s="114" t="e">
        <f>+'GIA CONG ACRYLIC'!#REF!</f>
        <v>#REF!</v>
      </c>
      <c r="H18" s="114" t="e">
        <f>+'GIA CONG ACRYLIC'!#REF!</f>
        <v>#REF!</v>
      </c>
      <c r="I18" s="114">
        <v>19</v>
      </c>
      <c r="J18" s="114">
        <v>2</v>
      </c>
      <c r="K18" s="114" t="e">
        <f>+'GIA CONG ACRYLIC'!#REF!</f>
        <v>#REF!</v>
      </c>
      <c r="L18" s="116" t="str">
        <f t="shared" si="2"/>
        <v>T</v>
      </c>
      <c r="M18" s="116" t="e">
        <f>IF('GIA CONG ACRYLIC'!#REF!='GIA CONG ACRYLIC'!#REF!,"V","T")</f>
        <v>#REF!</v>
      </c>
      <c r="N18" s="116" t="str">
        <f t="shared" si="3"/>
        <v>T</v>
      </c>
      <c r="O18" s="116" t="e">
        <f>IF('GIA CONG ACRYLIC'!#REF!='GIA CONG ACRYLIC'!#REF!,"V","T")</f>
        <v>#REF!</v>
      </c>
      <c r="P18" s="114">
        <v>1.0000000000000001E-5</v>
      </c>
      <c r="Q18" s="114">
        <v>1.0000000000000001E-5</v>
      </c>
      <c r="R18" s="114">
        <v>1.0000000000000001E-5</v>
      </c>
      <c r="S18" s="114">
        <v>1.0000000000000001E-5</v>
      </c>
      <c r="T18" s="117" t="e">
        <f>'GIA CONG ACRYLIC'!#REF!</f>
        <v>#REF!</v>
      </c>
    </row>
    <row r="19" spans="1:30" s="118" customFormat="1">
      <c r="A19" s="114" t="str">
        <f t="shared" si="0"/>
        <v>V</v>
      </c>
      <c r="B19" s="114" t="str">
        <f t="shared" si="1"/>
        <v>ACRILYC</v>
      </c>
      <c r="C19" s="115" t="str">
        <f>RIGHT('GIA CONG ACRYLIC'!$C$8,LEN('GIA CONG ACRYLIC'!$C$8)-LEN("Khách hàng: "))&amp;" "&amp;'GIA CONG ACRYLIC'!$H$7</f>
        <v xml:space="preserve">KH0000 - Tên Khách hàng </v>
      </c>
      <c r="D19" s="114" t="e">
        <f>'GIA CONG ACRYLIC'!$H$7&amp;"."&amp;'GIA CONG ACRYLIC'!#REF!&amp;"."&amp;IF(LEN('GIA CONG ACRYLIC'!#REF!)=1,"00"&amp;'GIA CONG ACRYLIC'!#REF!,IF(LEN('GIA CONG ACRYLIC'!#REF!)=2,"0"&amp;'GIA CONG ACRYLIC'!#REF!,'GIA CONG ACRYLIC'!#REF!))</f>
        <v>#REF!</v>
      </c>
      <c r="E19" s="114" t="e">
        <f>IF('GIA CONG ACRYLIC'!#REF!=0,"",'GIA CONG ACRYLIC'!#REF!)</f>
        <v>#REF!</v>
      </c>
      <c r="F19" s="114" t="e">
        <f>+'GIA CONG ACRYLIC'!#REF!</f>
        <v>#REF!</v>
      </c>
      <c r="G19" s="114" t="e">
        <f>+'GIA CONG ACRYLIC'!#REF!</f>
        <v>#REF!</v>
      </c>
      <c r="H19" s="114" t="e">
        <f>+'GIA CONG ACRYLIC'!#REF!</f>
        <v>#REF!</v>
      </c>
      <c r="I19" s="114">
        <v>19</v>
      </c>
      <c r="J19" s="114">
        <v>2</v>
      </c>
      <c r="K19" s="114" t="e">
        <f>+'GIA CONG ACRYLIC'!#REF!</f>
        <v>#REF!</v>
      </c>
      <c r="L19" s="116" t="str">
        <f t="shared" si="2"/>
        <v>T</v>
      </c>
      <c r="M19" s="116" t="e">
        <f>IF('GIA CONG ACRYLIC'!#REF!='GIA CONG ACRYLIC'!#REF!,"V","T")</f>
        <v>#REF!</v>
      </c>
      <c r="N19" s="116" t="str">
        <f t="shared" si="3"/>
        <v>T</v>
      </c>
      <c r="O19" s="116" t="e">
        <f>IF('GIA CONG ACRYLIC'!#REF!='GIA CONG ACRYLIC'!#REF!,"V","T")</f>
        <v>#REF!</v>
      </c>
      <c r="P19" s="114">
        <v>1.0000000000000001E-5</v>
      </c>
      <c r="Q19" s="114">
        <v>1.0000000000000001E-5</v>
      </c>
      <c r="R19" s="114">
        <v>1.0000000000000001E-5</v>
      </c>
      <c r="S19" s="114">
        <v>1.0000000000000001E-5</v>
      </c>
      <c r="T19" s="117" t="e">
        <f>'GIA CONG ACRYLIC'!#REF!</f>
        <v>#REF!</v>
      </c>
    </row>
    <row r="20" spans="1:30" s="118" customFormat="1">
      <c r="A20" s="114" t="str">
        <f t="shared" si="0"/>
        <v>V</v>
      </c>
      <c r="B20" s="114" t="str">
        <f t="shared" si="1"/>
        <v>ACRILYC</v>
      </c>
      <c r="C20" s="115" t="str">
        <f>RIGHT('GIA CONG ACRYLIC'!$C$8,LEN('GIA CONG ACRYLIC'!$C$8)-LEN("Khách hàng: "))&amp;" "&amp;'GIA CONG ACRYLIC'!$H$7</f>
        <v xml:space="preserve">KH0000 - Tên Khách hàng </v>
      </c>
      <c r="D20" s="114" t="e">
        <f>'GIA CONG ACRYLIC'!$H$7&amp;"."&amp;'GIA CONG ACRYLIC'!#REF!&amp;"."&amp;IF(LEN('GIA CONG ACRYLIC'!#REF!)=1,"00"&amp;'GIA CONG ACRYLIC'!#REF!,IF(LEN('GIA CONG ACRYLIC'!#REF!)=2,"0"&amp;'GIA CONG ACRYLIC'!#REF!,'GIA CONG ACRYLIC'!#REF!))</f>
        <v>#REF!</v>
      </c>
      <c r="E20" s="114" t="e">
        <f>IF('GIA CONG ACRYLIC'!#REF!=0,"",'GIA CONG ACRYLIC'!#REF!)</f>
        <v>#REF!</v>
      </c>
      <c r="F20" s="114" t="e">
        <f>+'GIA CONG ACRYLIC'!#REF!</f>
        <v>#REF!</v>
      </c>
      <c r="G20" s="114" t="e">
        <f>+'GIA CONG ACRYLIC'!#REF!</f>
        <v>#REF!</v>
      </c>
      <c r="H20" s="114" t="e">
        <f>+'GIA CONG ACRYLIC'!#REF!</f>
        <v>#REF!</v>
      </c>
      <c r="I20" s="114">
        <v>19</v>
      </c>
      <c r="J20" s="114">
        <v>2</v>
      </c>
      <c r="K20" s="114" t="e">
        <f>+'GIA CONG ACRYLIC'!#REF!</f>
        <v>#REF!</v>
      </c>
      <c r="L20" s="116" t="str">
        <f t="shared" si="2"/>
        <v>T</v>
      </c>
      <c r="M20" s="116" t="e">
        <f>IF('GIA CONG ACRYLIC'!#REF!='GIA CONG ACRYLIC'!#REF!,"V","T")</f>
        <v>#REF!</v>
      </c>
      <c r="N20" s="116" t="str">
        <f t="shared" si="3"/>
        <v>T</v>
      </c>
      <c r="O20" s="116" t="e">
        <f>IF('GIA CONG ACRYLIC'!#REF!='GIA CONG ACRYLIC'!#REF!,"V","T")</f>
        <v>#REF!</v>
      </c>
      <c r="P20" s="114">
        <v>1.0000000000000001E-5</v>
      </c>
      <c r="Q20" s="114">
        <v>1.0000000000000001E-5</v>
      </c>
      <c r="R20" s="114">
        <v>1.0000000000000001E-5</v>
      </c>
      <c r="S20" s="114">
        <v>1.0000000000000001E-5</v>
      </c>
      <c r="T20" s="117" t="e">
        <f>'GIA CONG ACRYLIC'!#REF!</f>
        <v>#REF!</v>
      </c>
    </row>
    <row r="21" spans="1:30" s="118" customFormat="1">
      <c r="A21" s="114" t="str">
        <f t="shared" si="0"/>
        <v>V</v>
      </c>
      <c r="B21" s="114" t="str">
        <f t="shared" si="1"/>
        <v>ACRILYC</v>
      </c>
      <c r="C21" s="115" t="str">
        <f>RIGHT('GIA CONG ACRYLIC'!$C$8,LEN('GIA CONG ACRYLIC'!$C$8)-LEN("Khách hàng: "))&amp;" "&amp;'GIA CONG ACRYLIC'!$H$7</f>
        <v xml:space="preserve">KH0000 - Tên Khách hàng </v>
      </c>
      <c r="D21" s="114" t="e">
        <f>'GIA CONG ACRYLIC'!$H$7&amp;"."&amp;'GIA CONG ACRYLIC'!#REF!&amp;"."&amp;IF(LEN('GIA CONG ACRYLIC'!#REF!)=1,"00"&amp;'GIA CONG ACRYLIC'!#REF!,IF(LEN('GIA CONG ACRYLIC'!#REF!)=2,"0"&amp;'GIA CONG ACRYLIC'!#REF!,'GIA CONG ACRYLIC'!#REF!))</f>
        <v>#REF!</v>
      </c>
      <c r="E21" s="114" t="e">
        <f>IF('GIA CONG ACRYLIC'!#REF!=0,"",'GIA CONG ACRYLIC'!#REF!)</f>
        <v>#REF!</v>
      </c>
      <c r="F21" s="114" t="e">
        <f>+'GIA CONG ACRYLIC'!#REF!</f>
        <v>#REF!</v>
      </c>
      <c r="G21" s="114" t="e">
        <f>+'GIA CONG ACRYLIC'!#REF!</f>
        <v>#REF!</v>
      </c>
      <c r="H21" s="114" t="e">
        <f>+'GIA CONG ACRYLIC'!#REF!</f>
        <v>#REF!</v>
      </c>
      <c r="I21" s="114">
        <v>19</v>
      </c>
      <c r="J21" s="114">
        <v>2</v>
      </c>
      <c r="K21" s="114" t="e">
        <f>+'GIA CONG ACRYLIC'!#REF!</f>
        <v>#REF!</v>
      </c>
      <c r="L21" s="116" t="str">
        <f t="shared" si="2"/>
        <v>T</v>
      </c>
      <c r="M21" s="116" t="e">
        <f>IF('GIA CONG ACRYLIC'!#REF!='GIA CONG ACRYLIC'!#REF!,"V","T")</f>
        <v>#REF!</v>
      </c>
      <c r="N21" s="116" t="str">
        <f t="shared" si="3"/>
        <v>T</v>
      </c>
      <c r="O21" s="116" t="e">
        <f>IF('GIA CONG ACRYLIC'!#REF!='GIA CONG ACRYLIC'!#REF!,"V","T")</f>
        <v>#REF!</v>
      </c>
      <c r="P21" s="114">
        <v>1.0000000000000001E-5</v>
      </c>
      <c r="Q21" s="114">
        <v>1.0000000000000001E-5</v>
      </c>
      <c r="R21" s="114">
        <v>1.0000000000000001E-5</v>
      </c>
      <c r="S21" s="114">
        <v>1.0000000000000001E-5</v>
      </c>
      <c r="T21" s="117" t="e">
        <f>'GIA CONG ACRYLIC'!#REF!</f>
        <v>#REF!</v>
      </c>
    </row>
    <row r="22" spans="1:30" s="118" customFormat="1">
      <c r="A22" s="114" t="str">
        <f t="shared" si="0"/>
        <v>V</v>
      </c>
      <c r="B22" s="114" t="str">
        <f t="shared" si="1"/>
        <v>ACRILYC</v>
      </c>
      <c r="C22" s="115" t="str">
        <f>RIGHT('GIA CONG ACRYLIC'!$C$8,LEN('GIA CONG ACRYLIC'!$C$8)-LEN("Khách hàng: "))&amp;" "&amp;'GIA CONG ACRYLIC'!$H$7</f>
        <v xml:space="preserve">KH0000 - Tên Khách hàng </v>
      </c>
      <c r="D22" s="114" t="e">
        <f>'GIA CONG ACRYLIC'!$H$7&amp;"."&amp;'GIA CONG ACRYLIC'!#REF!&amp;"."&amp;IF(LEN('GIA CONG ACRYLIC'!#REF!)=1,"00"&amp;'GIA CONG ACRYLIC'!#REF!,IF(LEN('GIA CONG ACRYLIC'!#REF!)=2,"0"&amp;'GIA CONG ACRYLIC'!#REF!,'GIA CONG ACRYLIC'!#REF!))</f>
        <v>#REF!</v>
      </c>
      <c r="E22" s="114" t="e">
        <f>IF('GIA CONG ACRYLIC'!#REF!=0,"",'GIA CONG ACRYLIC'!#REF!)</f>
        <v>#REF!</v>
      </c>
      <c r="F22" s="114" t="e">
        <f>+'GIA CONG ACRYLIC'!#REF!</f>
        <v>#REF!</v>
      </c>
      <c r="G22" s="114" t="e">
        <f>+'GIA CONG ACRYLIC'!#REF!</f>
        <v>#REF!</v>
      </c>
      <c r="H22" s="114" t="e">
        <f>+'GIA CONG ACRYLIC'!#REF!</f>
        <v>#REF!</v>
      </c>
      <c r="I22" s="114">
        <v>19</v>
      </c>
      <c r="J22" s="114">
        <v>2</v>
      </c>
      <c r="K22" s="114" t="e">
        <f>+'GIA CONG ACRYLIC'!#REF!</f>
        <v>#REF!</v>
      </c>
      <c r="L22" s="116" t="str">
        <f t="shared" si="2"/>
        <v>T</v>
      </c>
      <c r="M22" s="116" t="e">
        <f>IF('GIA CONG ACRYLIC'!#REF!='GIA CONG ACRYLIC'!#REF!,"V","T")</f>
        <v>#REF!</v>
      </c>
      <c r="N22" s="116" t="str">
        <f t="shared" si="3"/>
        <v>T</v>
      </c>
      <c r="O22" s="116" t="e">
        <f>IF('GIA CONG ACRYLIC'!#REF!='GIA CONG ACRYLIC'!#REF!,"V","T")</f>
        <v>#REF!</v>
      </c>
      <c r="P22" s="114">
        <v>1.0000000000000001E-5</v>
      </c>
      <c r="Q22" s="114">
        <v>1.0000000000000001E-5</v>
      </c>
      <c r="R22" s="114">
        <v>1.0000000000000001E-5</v>
      </c>
      <c r="S22" s="114">
        <v>1.0000000000000001E-5</v>
      </c>
      <c r="T22" s="117" t="e">
        <f>'GIA CONG ACRYLIC'!#REF!</f>
        <v>#REF!</v>
      </c>
    </row>
    <row r="23" spans="1:30" s="118" customFormat="1">
      <c r="A23" s="114" t="str">
        <f t="shared" si="0"/>
        <v>V</v>
      </c>
      <c r="B23" s="114" t="str">
        <f t="shared" si="1"/>
        <v>ACRILYC</v>
      </c>
      <c r="C23" s="115" t="str">
        <f>RIGHT('GIA CONG ACRYLIC'!$C$8,LEN('GIA CONG ACRYLIC'!$C$8)-LEN("Khách hàng: "))&amp;" "&amp;'GIA CONG ACRYLIC'!$H$7</f>
        <v xml:space="preserve">KH0000 - Tên Khách hàng </v>
      </c>
      <c r="D23" s="114" t="e">
        <f>'GIA CONG ACRYLIC'!$H$7&amp;"."&amp;'GIA CONG ACRYLIC'!#REF!&amp;"."&amp;IF(LEN('GIA CONG ACRYLIC'!#REF!)=1,"00"&amp;'GIA CONG ACRYLIC'!#REF!,IF(LEN('GIA CONG ACRYLIC'!#REF!)=2,"0"&amp;'GIA CONG ACRYLIC'!#REF!,'GIA CONG ACRYLIC'!#REF!))</f>
        <v>#REF!</v>
      </c>
      <c r="E23" s="114" t="e">
        <f>IF('GIA CONG ACRYLIC'!#REF!=0,"",'GIA CONG ACRYLIC'!#REF!)</f>
        <v>#REF!</v>
      </c>
      <c r="F23" s="114" t="e">
        <f>+'GIA CONG ACRYLIC'!#REF!</f>
        <v>#REF!</v>
      </c>
      <c r="G23" s="114" t="e">
        <f>+'GIA CONG ACRYLIC'!#REF!</f>
        <v>#REF!</v>
      </c>
      <c r="H23" s="114" t="e">
        <f>+'GIA CONG ACRYLIC'!#REF!</f>
        <v>#REF!</v>
      </c>
      <c r="I23" s="114">
        <v>19</v>
      </c>
      <c r="J23" s="114">
        <v>2</v>
      </c>
      <c r="K23" s="114" t="e">
        <f>+'GIA CONG ACRYLIC'!#REF!</f>
        <v>#REF!</v>
      </c>
      <c r="L23" s="116" t="str">
        <f t="shared" si="2"/>
        <v>T</v>
      </c>
      <c r="M23" s="116" t="e">
        <f>IF('GIA CONG ACRYLIC'!#REF!='GIA CONG ACRYLIC'!#REF!,"V","T")</f>
        <v>#REF!</v>
      </c>
      <c r="N23" s="116" t="str">
        <f t="shared" si="3"/>
        <v>T</v>
      </c>
      <c r="O23" s="116" t="e">
        <f>IF('GIA CONG ACRYLIC'!#REF!='GIA CONG ACRYLIC'!#REF!,"V","T")</f>
        <v>#REF!</v>
      </c>
      <c r="P23" s="114">
        <v>1.0000000000000001E-5</v>
      </c>
      <c r="Q23" s="114">
        <v>1.0000000000000001E-5</v>
      </c>
      <c r="R23" s="114">
        <v>1.0000000000000001E-5</v>
      </c>
      <c r="S23" s="114">
        <v>1.0000000000000001E-5</v>
      </c>
      <c r="T23" s="117" t="e">
        <f>'GIA CONG ACRYLIC'!#REF!</f>
        <v>#REF!</v>
      </c>
    </row>
    <row r="24" spans="1:30" s="118" customFormat="1">
      <c r="A24" s="114" t="str">
        <f t="shared" si="0"/>
        <v>V</v>
      </c>
      <c r="B24" s="114" t="str">
        <f t="shared" si="1"/>
        <v>ACRILYC</v>
      </c>
      <c r="C24" s="115" t="str">
        <f>RIGHT('GIA CONG ACRYLIC'!$C$8,LEN('GIA CONG ACRYLIC'!$C$8)-LEN("Khách hàng: "))&amp;" "&amp;'GIA CONG ACRYLIC'!$H$7</f>
        <v xml:space="preserve">KH0000 - Tên Khách hàng </v>
      </c>
      <c r="D24" s="114" t="e">
        <f>'GIA CONG ACRYLIC'!$H$7&amp;"."&amp;'GIA CONG ACRYLIC'!#REF!&amp;"."&amp;IF(LEN('GIA CONG ACRYLIC'!#REF!)=1,"00"&amp;'GIA CONG ACRYLIC'!#REF!,IF(LEN('GIA CONG ACRYLIC'!#REF!)=2,"0"&amp;'GIA CONG ACRYLIC'!#REF!,'GIA CONG ACRYLIC'!#REF!))</f>
        <v>#REF!</v>
      </c>
      <c r="E24" s="114" t="e">
        <f>IF('GIA CONG ACRYLIC'!#REF!=0,"",'GIA CONG ACRYLIC'!#REF!)</f>
        <v>#REF!</v>
      </c>
      <c r="F24" s="114" t="e">
        <f>+'GIA CONG ACRYLIC'!#REF!</f>
        <v>#REF!</v>
      </c>
      <c r="G24" s="114" t="e">
        <f>+'GIA CONG ACRYLIC'!#REF!</f>
        <v>#REF!</v>
      </c>
      <c r="H24" s="114" t="e">
        <f>+'GIA CONG ACRYLIC'!#REF!</f>
        <v>#REF!</v>
      </c>
      <c r="I24" s="114">
        <v>19</v>
      </c>
      <c r="J24" s="114">
        <v>2</v>
      </c>
      <c r="K24" s="114" t="e">
        <f>+'GIA CONG ACRYLIC'!#REF!</f>
        <v>#REF!</v>
      </c>
      <c r="L24" s="116" t="str">
        <f t="shared" si="2"/>
        <v>T</v>
      </c>
      <c r="M24" s="116" t="e">
        <f>IF('GIA CONG ACRYLIC'!#REF!='GIA CONG ACRYLIC'!#REF!,"V","T")</f>
        <v>#REF!</v>
      </c>
      <c r="N24" s="116" t="str">
        <f t="shared" si="3"/>
        <v>T</v>
      </c>
      <c r="O24" s="116" t="e">
        <f>IF('GIA CONG ACRYLIC'!#REF!='GIA CONG ACRYLIC'!#REF!,"V","T")</f>
        <v>#REF!</v>
      </c>
      <c r="P24" s="114">
        <v>1.0000000000000001E-5</v>
      </c>
      <c r="Q24" s="114">
        <v>1.0000000000000001E-5</v>
      </c>
      <c r="R24" s="114">
        <v>1.0000000000000001E-5</v>
      </c>
      <c r="S24" s="114">
        <v>1.0000000000000001E-5</v>
      </c>
      <c r="T24" s="117" t="e">
        <f>'GIA CONG ACRYLIC'!#REF!</f>
        <v>#REF!</v>
      </c>
    </row>
    <row r="25" spans="1:30" s="118" customFormat="1">
      <c r="A25" s="114" t="str">
        <f t="shared" si="0"/>
        <v>V</v>
      </c>
      <c r="B25" s="114" t="str">
        <f t="shared" si="1"/>
        <v>ACRILYC</v>
      </c>
      <c r="C25" s="115" t="str">
        <f>RIGHT('GIA CONG ACRYLIC'!$C$8,LEN('GIA CONG ACRYLIC'!$C$8)-LEN("Khách hàng: "))&amp;" "&amp;'GIA CONG ACRYLIC'!$H$7</f>
        <v xml:space="preserve">KH0000 - Tên Khách hàng </v>
      </c>
      <c r="D25" s="114" t="e">
        <f>'GIA CONG ACRYLIC'!$H$7&amp;"."&amp;'GIA CONG ACRYLIC'!#REF!&amp;"."&amp;IF(LEN('GIA CONG ACRYLIC'!#REF!)=1,"00"&amp;'GIA CONG ACRYLIC'!#REF!,IF(LEN('GIA CONG ACRYLIC'!#REF!)=2,"0"&amp;'GIA CONG ACRYLIC'!#REF!,'GIA CONG ACRYLIC'!#REF!))</f>
        <v>#REF!</v>
      </c>
      <c r="E25" s="114" t="e">
        <f>IF('GIA CONG ACRYLIC'!#REF!=0,"",'GIA CONG ACRYLIC'!#REF!)</f>
        <v>#REF!</v>
      </c>
      <c r="F25" s="114" t="e">
        <f>+'GIA CONG ACRYLIC'!#REF!</f>
        <v>#REF!</v>
      </c>
      <c r="G25" s="114" t="e">
        <f>+'GIA CONG ACRYLIC'!#REF!</f>
        <v>#REF!</v>
      </c>
      <c r="H25" s="114" t="e">
        <f>+'GIA CONG ACRYLIC'!#REF!</f>
        <v>#REF!</v>
      </c>
      <c r="I25" s="114">
        <v>19</v>
      </c>
      <c r="J25" s="114">
        <v>2</v>
      </c>
      <c r="K25" s="114" t="e">
        <f>+'GIA CONG ACRYLIC'!#REF!</f>
        <v>#REF!</v>
      </c>
      <c r="L25" s="116" t="str">
        <f t="shared" si="2"/>
        <v>T</v>
      </c>
      <c r="M25" s="116" t="e">
        <f>IF('GIA CONG ACRYLIC'!#REF!='GIA CONG ACRYLIC'!#REF!,"V","T")</f>
        <v>#REF!</v>
      </c>
      <c r="N25" s="116" t="str">
        <f t="shared" si="3"/>
        <v>T</v>
      </c>
      <c r="O25" s="116" t="e">
        <f>IF('GIA CONG ACRYLIC'!#REF!='GIA CONG ACRYLIC'!#REF!,"V","T")</f>
        <v>#REF!</v>
      </c>
      <c r="P25" s="114">
        <v>1.0000000000000001E-5</v>
      </c>
      <c r="Q25" s="114">
        <v>1.0000000000000001E-5</v>
      </c>
      <c r="R25" s="114">
        <v>1.0000000000000001E-5</v>
      </c>
      <c r="S25" s="114">
        <v>1.0000000000000001E-5</v>
      </c>
      <c r="T25" s="117" t="e">
        <f>'GIA CONG ACRYLIC'!#REF!</f>
        <v>#REF!</v>
      </c>
    </row>
    <row r="26" spans="1:30" s="118" customFormat="1">
      <c r="A26" s="114" t="str">
        <f t="shared" si="0"/>
        <v>V</v>
      </c>
      <c r="B26" s="114" t="str">
        <f t="shared" si="1"/>
        <v>ACRILYC</v>
      </c>
      <c r="C26" s="115" t="str">
        <f>RIGHT('GIA CONG ACRYLIC'!$C$8,LEN('GIA CONG ACRYLIC'!$C$8)-LEN("Khách hàng: "))&amp;" "&amp;'GIA CONG ACRYLIC'!$H$7</f>
        <v xml:space="preserve">KH0000 - Tên Khách hàng </v>
      </c>
      <c r="D26" s="114" t="e">
        <f>'GIA CONG ACRYLIC'!$H$7&amp;"."&amp;'GIA CONG ACRYLIC'!#REF!&amp;"."&amp;IF(LEN('GIA CONG ACRYLIC'!#REF!)=1,"00"&amp;'GIA CONG ACRYLIC'!#REF!,IF(LEN('GIA CONG ACRYLIC'!#REF!)=2,"0"&amp;'GIA CONG ACRYLIC'!#REF!,'GIA CONG ACRYLIC'!#REF!))</f>
        <v>#REF!</v>
      </c>
      <c r="E26" s="114" t="e">
        <f>IF('GIA CONG ACRYLIC'!#REF!=0,"",'GIA CONG ACRYLIC'!#REF!)</f>
        <v>#REF!</v>
      </c>
      <c r="F26" s="114" t="e">
        <f>+'GIA CONG ACRYLIC'!#REF!</f>
        <v>#REF!</v>
      </c>
      <c r="G26" s="114" t="e">
        <f>+'GIA CONG ACRYLIC'!#REF!</f>
        <v>#REF!</v>
      </c>
      <c r="H26" s="114" t="e">
        <f>+'GIA CONG ACRYLIC'!#REF!</f>
        <v>#REF!</v>
      </c>
      <c r="I26" s="114">
        <v>19</v>
      </c>
      <c r="J26" s="114">
        <v>2</v>
      </c>
      <c r="K26" s="114" t="e">
        <f>+'GIA CONG ACRYLIC'!#REF!</f>
        <v>#REF!</v>
      </c>
      <c r="L26" s="116" t="str">
        <f t="shared" si="2"/>
        <v>T</v>
      </c>
      <c r="M26" s="116" t="e">
        <f>IF('GIA CONG ACRYLIC'!#REF!='GIA CONG ACRYLIC'!#REF!,"V","T")</f>
        <v>#REF!</v>
      </c>
      <c r="N26" s="116" t="str">
        <f t="shared" si="3"/>
        <v>T</v>
      </c>
      <c r="O26" s="116" t="e">
        <f>IF('GIA CONG ACRYLIC'!#REF!='GIA CONG ACRYLIC'!#REF!,"V","T")</f>
        <v>#REF!</v>
      </c>
      <c r="P26" s="114">
        <v>1.0000000000000001E-5</v>
      </c>
      <c r="Q26" s="114">
        <v>1.0000000000000001E-5</v>
      </c>
      <c r="R26" s="114">
        <v>1.0000000000000001E-5</v>
      </c>
      <c r="S26" s="114">
        <v>1.0000000000000001E-5</v>
      </c>
      <c r="T26" s="117" t="e">
        <f>'GIA CONG ACRYLIC'!#REF!</f>
        <v>#REF!</v>
      </c>
    </row>
    <row r="27" spans="1:30" s="118" customFormat="1">
      <c r="A27" s="114" t="str">
        <f t="shared" si="0"/>
        <v>V</v>
      </c>
      <c r="B27" s="114" t="str">
        <f t="shared" si="1"/>
        <v>ACRILYC</v>
      </c>
      <c r="C27" s="115" t="str">
        <f>RIGHT('GIA CONG ACRYLIC'!$C$8,LEN('GIA CONG ACRYLIC'!$C$8)-LEN("Khách hàng: "))&amp;" "&amp;'GIA CONG ACRYLIC'!$H$7</f>
        <v xml:space="preserve">KH0000 - Tên Khách hàng </v>
      </c>
      <c r="D27" s="114" t="e">
        <f>'GIA CONG ACRYLIC'!$H$7&amp;"."&amp;'GIA CONG ACRYLIC'!#REF!&amp;"."&amp;IF(LEN('GIA CONG ACRYLIC'!#REF!)=1,"00"&amp;'GIA CONG ACRYLIC'!#REF!,IF(LEN('GIA CONG ACRYLIC'!#REF!)=2,"0"&amp;'GIA CONG ACRYLIC'!#REF!,'GIA CONG ACRYLIC'!#REF!))</f>
        <v>#REF!</v>
      </c>
      <c r="E27" s="114" t="e">
        <f>IF('GIA CONG ACRYLIC'!#REF!=0,"",'GIA CONG ACRYLIC'!#REF!)</f>
        <v>#REF!</v>
      </c>
      <c r="F27" s="114" t="e">
        <f>+'GIA CONG ACRYLIC'!#REF!</f>
        <v>#REF!</v>
      </c>
      <c r="G27" s="114" t="e">
        <f>+'GIA CONG ACRYLIC'!#REF!</f>
        <v>#REF!</v>
      </c>
      <c r="H27" s="114" t="e">
        <f>+'GIA CONG ACRYLIC'!#REF!</f>
        <v>#REF!</v>
      </c>
      <c r="I27" s="114">
        <v>19</v>
      </c>
      <c r="J27" s="114">
        <v>2</v>
      </c>
      <c r="K27" s="114" t="e">
        <f>+'GIA CONG ACRYLIC'!#REF!</f>
        <v>#REF!</v>
      </c>
      <c r="L27" s="116" t="str">
        <f t="shared" si="2"/>
        <v>T</v>
      </c>
      <c r="M27" s="116" t="e">
        <f>IF('GIA CONG ACRYLIC'!#REF!='GIA CONG ACRYLIC'!#REF!,"V","T")</f>
        <v>#REF!</v>
      </c>
      <c r="N27" s="116" t="str">
        <f t="shared" si="3"/>
        <v>T</v>
      </c>
      <c r="O27" s="116" t="e">
        <f>IF('GIA CONG ACRYLIC'!#REF!='GIA CONG ACRYLIC'!#REF!,"V","T")</f>
        <v>#REF!</v>
      </c>
      <c r="P27" s="114">
        <v>1.0000000000000001E-5</v>
      </c>
      <c r="Q27" s="114">
        <v>1.0000000000000001E-5</v>
      </c>
      <c r="R27" s="114">
        <v>1.0000000000000001E-5</v>
      </c>
      <c r="S27" s="114">
        <v>1.0000000000000001E-5</v>
      </c>
      <c r="T27" s="117" t="e">
        <f>'GIA CONG ACRYLIC'!#REF!</f>
        <v>#REF!</v>
      </c>
      <c r="U27" s="118">
        <v>70</v>
      </c>
      <c r="V27" s="118">
        <v>70</v>
      </c>
      <c r="W27" s="118">
        <v>70</v>
      </c>
      <c r="X27" s="118">
        <v>70</v>
      </c>
      <c r="Y27" s="118">
        <v>60</v>
      </c>
      <c r="Z27" s="118">
        <v>60</v>
      </c>
      <c r="AA27" s="118">
        <v>60</v>
      </c>
      <c r="AB27" s="118">
        <v>60</v>
      </c>
      <c r="AC27" s="118">
        <v>10</v>
      </c>
      <c r="AD27" s="118">
        <v>6</v>
      </c>
    </row>
    <row r="28" spans="1:30" s="118" customFormat="1">
      <c r="A28" s="114" t="str">
        <f t="shared" si="0"/>
        <v>V</v>
      </c>
      <c r="B28" s="114" t="str">
        <f t="shared" si="1"/>
        <v>ACRILYC</v>
      </c>
      <c r="C28" s="115" t="str">
        <f>RIGHT('GIA CONG ACRYLIC'!$C$8,LEN('GIA CONG ACRYLIC'!$C$8)-LEN("Khách hàng: "))&amp;" "&amp;'GIA CONG ACRYLIC'!$H$7</f>
        <v xml:space="preserve">KH0000 - Tên Khách hàng </v>
      </c>
      <c r="D28" s="114" t="e">
        <f>'GIA CONG ACRYLIC'!$H$7&amp;"."&amp;'GIA CONG ACRYLIC'!#REF!&amp;"."&amp;IF(LEN('GIA CONG ACRYLIC'!#REF!)=1,"00"&amp;'GIA CONG ACRYLIC'!#REF!,IF(LEN('GIA CONG ACRYLIC'!#REF!)=2,"0"&amp;'GIA CONG ACRYLIC'!#REF!,'GIA CONG ACRYLIC'!#REF!))</f>
        <v>#REF!</v>
      </c>
      <c r="E28" s="114" t="e">
        <f>IF('GIA CONG ACRYLIC'!#REF!=0,"",'GIA CONG ACRYLIC'!#REF!)</f>
        <v>#REF!</v>
      </c>
      <c r="F28" s="114" t="e">
        <f>+'GIA CONG ACRYLIC'!#REF!</f>
        <v>#REF!</v>
      </c>
      <c r="G28" s="114" t="e">
        <f>+'GIA CONG ACRYLIC'!#REF!</f>
        <v>#REF!</v>
      </c>
      <c r="H28" s="114" t="e">
        <f>+'GIA CONG ACRYLIC'!#REF!</f>
        <v>#REF!</v>
      </c>
      <c r="I28" s="114">
        <v>19</v>
      </c>
      <c r="J28" s="114">
        <v>2</v>
      </c>
      <c r="K28" s="114" t="e">
        <f>+'GIA CONG ACRYLIC'!#REF!</f>
        <v>#REF!</v>
      </c>
      <c r="L28" s="116" t="str">
        <f t="shared" si="2"/>
        <v>T</v>
      </c>
      <c r="M28" s="116" t="e">
        <f>IF('GIA CONG ACRYLIC'!#REF!='GIA CONG ACRYLIC'!#REF!,"V","T")</f>
        <v>#REF!</v>
      </c>
      <c r="N28" s="116" t="str">
        <f t="shared" si="3"/>
        <v>T</v>
      </c>
      <c r="O28" s="116" t="e">
        <f>IF('GIA CONG ACRYLIC'!#REF!='GIA CONG ACRYLIC'!#REF!,"V","T")</f>
        <v>#REF!</v>
      </c>
      <c r="P28" s="114">
        <v>1.0000000000000001E-5</v>
      </c>
      <c r="Q28" s="114">
        <v>1.0000000000000001E-5</v>
      </c>
      <c r="R28" s="114">
        <v>1.0000000000000001E-5</v>
      </c>
      <c r="S28" s="114">
        <v>1.0000000000000001E-5</v>
      </c>
      <c r="T28" s="117" t="e">
        <f>'GIA CONG ACRYLIC'!#REF!</f>
        <v>#REF!</v>
      </c>
      <c r="U28" s="118">
        <v>70</v>
      </c>
      <c r="V28" s="118">
        <v>70</v>
      </c>
      <c r="W28" s="118">
        <v>70</v>
      </c>
      <c r="X28" s="118">
        <v>70</v>
      </c>
      <c r="Y28" s="118">
        <v>60</v>
      </c>
      <c r="Z28" s="118">
        <v>60</v>
      </c>
      <c r="AA28" s="118">
        <v>60</v>
      </c>
      <c r="AB28" s="118">
        <v>60</v>
      </c>
      <c r="AC28" s="118">
        <v>10</v>
      </c>
      <c r="AD28" s="118">
        <v>6</v>
      </c>
    </row>
    <row r="29" spans="1:30" s="118" customFormat="1">
      <c r="A29" s="114" t="str">
        <f t="shared" si="0"/>
        <v>V</v>
      </c>
      <c r="B29" s="114" t="str">
        <f t="shared" si="1"/>
        <v>ACRILYC</v>
      </c>
      <c r="C29" s="115" t="str">
        <f>RIGHT('GIA CONG ACRYLIC'!$C$8,LEN('GIA CONG ACRYLIC'!$C$8)-LEN("Khách hàng: "))&amp;" "&amp;'GIA CONG ACRYLIC'!$H$7</f>
        <v xml:space="preserve">KH0000 - Tên Khách hàng </v>
      </c>
      <c r="D29" s="114" t="e">
        <f>'GIA CONG ACRYLIC'!$H$7&amp;"."&amp;'GIA CONG ACRYLIC'!#REF!&amp;"."&amp;IF(LEN('GIA CONG ACRYLIC'!#REF!)=1,"00"&amp;'GIA CONG ACRYLIC'!#REF!,IF(LEN('GIA CONG ACRYLIC'!#REF!)=2,"0"&amp;'GIA CONG ACRYLIC'!#REF!,'GIA CONG ACRYLIC'!#REF!))</f>
        <v>#REF!</v>
      </c>
      <c r="E29" s="114" t="e">
        <f>IF('GIA CONG ACRYLIC'!#REF!=0,"",'GIA CONG ACRYLIC'!#REF!)</f>
        <v>#REF!</v>
      </c>
      <c r="F29" s="114" t="e">
        <f>+'GIA CONG ACRYLIC'!#REF!</f>
        <v>#REF!</v>
      </c>
      <c r="G29" s="114" t="e">
        <f>+'GIA CONG ACRYLIC'!#REF!</f>
        <v>#REF!</v>
      </c>
      <c r="H29" s="114" t="e">
        <f>+'GIA CONG ACRYLIC'!#REF!</f>
        <v>#REF!</v>
      </c>
      <c r="I29" s="114">
        <v>19</v>
      </c>
      <c r="J29" s="114">
        <v>2</v>
      </c>
      <c r="K29" s="114" t="e">
        <f>+'GIA CONG ACRYLIC'!#REF!</f>
        <v>#REF!</v>
      </c>
      <c r="L29" s="116" t="str">
        <f t="shared" si="2"/>
        <v>T</v>
      </c>
      <c r="M29" s="116" t="e">
        <f>IF('GIA CONG ACRYLIC'!#REF!='GIA CONG ACRYLIC'!#REF!,"V","T")</f>
        <v>#REF!</v>
      </c>
      <c r="N29" s="116" t="str">
        <f t="shared" si="3"/>
        <v>T</v>
      </c>
      <c r="O29" s="116" t="e">
        <f>IF('GIA CONG ACRYLIC'!#REF!='GIA CONG ACRYLIC'!#REF!,"V","T")</f>
        <v>#REF!</v>
      </c>
      <c r="P29" s="114">
        <v>1.0000000000000001E-5</v>
      </c>
      <c r="Q29" s="114">
        <v>1.0000000000000001E-5</v>
      </c>
      <c r="R29" s="114">
        <v>1.0000000000000001E-5</v>
      </c>
      <c r="S29" s="114">
        <v>1.0000000000000001E-5</v>
      </c>
      <c r="T29" s="117" t="e">
        <f>'GIA CONG ACRYLIC'!#REF!</f>
        <v>#REF!</v>
      </c>
      <c r="U29" s="118">
        <v>70</v>
      </c>
      <c r="V29" s="118">
        <v>70</v>
      </c>
      <c r="W29" s="118">
        <v>70</v>
      </c>
      <c r="X29" s="118">
        <v>70</v>
      </c>
      <c r="Y29" s="118">
        <v>60</v>
      </c>
      <c r="Z29" s="118">
        <v>60</v>
      </c>
      <c r="AA29" s="118">
        <v>60</v>
      </c>
      <c r="AB29" s="118">
        <v>60</v>
      </c>
      <c r="AC29" s="118">
        <v>10</v>
      </c>
      <c r="AD29" s="118">
        <v>6</v>
      </c>
    </row>
    <row r="30" spans="1:30" s="118" customFormat="1">
      <c r="A30" s="114" t="str">
        <f t="shared" si="0"/>
        <v>V</v>
      </c>
      <c r="B30" s="114" t="str">
        <f t="shared" si="1"/>
        <v>ACRILYC</v>
      </c>
      <c r="C30" s="115" t="str">
        <f>RIGHT('GIA CONG ACRYLIC'!$C$8,LEN('GIA CONG ACRYLIC'!$C$8)-LEN("Khách hàng: "))&amp;" "&amp;'GIA CONG ACRYLIC'!$H$7</f>
        <v xml:space="preserve">KH0000 - Tên Khách hàng </v>
      </c>
      <c r="D30" s="114" t="e">
        <f>'GIA CONG ACRYLIC'!$H$7&amp;"."&amp;'GIA CONG ACRYLIC'!#REF!&amp;"."&amp;IF(LEN('GIA CONG ACRYLIC'!#REF!)=1,"00"&amp;'GIA CONG ACRYLIC'!#REF!,IF(LEN('GIA CONG ACRYLIC'!#REF!)=2,"0"&amp;'GIA CONG ACRYLIC'!#REF!,'GIA CONG ACRYLIC'!#REF!))</f>
        <v>#REF!</v>
      </c>
      <c r="E30" s="114" t="e">
        <f>IF('GIA CONG ACRYLIC'!#REF!=0,"",'GIA CONG ACRYLIC'!#REF!)</f>
        <v>#REF!</v>
      </c>
      <c r="F30" s="114" t="e">
        <f>+'GIA CONG ACRYLIC'!#REF!</f>
        <v>#REF!</v>
      </c>
      <c r="G30" s="114" t="e">
        <f>+'GIA CONG ACRYLIC'!#REF!</f>
        <v>#REF!</v>
      </c>
      <c r="H30" s="114" t="e">
        <f>+'GIA CONG ACRYLIC'!#REF!</f>
        <v>#REF!</v>
      </c>
      <c r="I30" s="114">
        <v>19</v>
      </c>
      <c r="J30" s="114">
        <v>2</v>
      </c>
      <c r="K30" s="114" t="e">
        <f>+'GIA CONG ACRYLIC'!#REF!</f>
        <v>#REF!</v>
      </c>
      <c r="L30" s="116" t="str">
        <f t="shared" si="2"/>
        <v>T</v>
      </c>
      <c r="M30" s="116" t="e">
        <f>IF('GIA CONG ACRYLIC'!#REF!='GIA CONG ACRYLIC'!#REF!,"V","T")</f>
        <v>#REF!</v>
      </c>
      <c r="N30" s="116" t="str">
        <f t="shared" si="3"/>
        <v>T</v>
      </c>
      <c r="O30" s="116" t="e">
        <f>IF('GIA CONG ACRYLIC'!#REF!='GIA CONG ACRYLIC'!#REF!,"V","T")</f>
        <v>#REF!</v>
      </c>
      <c r="P30" s="114">
        <v>1.0000000000000001E-5</v>
      </c>
      <c r="Q30" s="114">
        <v>1.0000000000000001E-5</v>
      </c>
      <c r="R30" s="114">
        <v>1.0000000000000001E-5</v>
      </c>
      <c r="S30" s="114">
        <v>1.0000000000000001E-5</v>
      </c>
      <c r="T30" s="117" t="e">
        <f>'GIA CONG ACRYLIC'!#REF!</f>
        <v>#REF!</v>
      </c>
      <c r="U30" s="118">
        <v>70</v>
      </c>
      <c r="V30" s="118">
        <v>70</v>
      </c>
      <c r="W30" s="118">
        <v>70</v>
      </c>
      <c r="X30" s="118">
        <v>70</v>
      </c>
      <c r="Y30" s="118">
        <v>60</v>
      </c>
      <c r="Z30" s="118">
        <v>60</v>
      </c>
      <c r="AA30" s="118">
        <v>60</v>
      </c>
      <c r="AB30" s="118">
        <v>60</v>
      </c>
      <c r="AC30" s="118">
        <v>10</v>
      </c>
      <c r="AD30" s="118">
        <v>6</v>
      </c>
    </row>
    <row r="31" spans="1:30" s="118" customFormat="1">
      <c r="A31" s="114" t="str">
        <f t="shared" si="0"/>
        <v>V</v>
      </c>
      <c r="B31" s="114" t="str">
        <f t="shared" si="1"/>
        <v>ACRILYC</v>
      </c>
      <c r="C31" s="115" t="str">
        <f>RIGHT('GIA CONG ACRYLIC'!$C$8,LEN('GIA CONG ACRYLIC'!$C$8)-LEN("Khách hàng: "))&amp;" "&amp;'GIA CONG ACRYLIC'!$H$7</f>
        <v xml:space="preserve">KH0000 - Tên Khách hàng </v>
      </c>
      <c r="D31" s="114" t="e">
        <f>'GIA CONG ACRYLIC'!$H$7&amp;"."&amp;'GIA CONG ACRYLIC'!#REF!&amp;"."&amp;IF(LEN('GIA CONG ACRYLIC'!#REF!)=1,"00"&amp;'GIA CONG ACRYLIC'!#REF!,IF(LEN('GIA CONG ACRYLIC'!#REF!)=2,"0"&amp;'GIA CONG ACRYLIC'!#REF!,'GIA CONG ACRYLIC'!#REF!))</f>
        <v>#REF!</v>
      </c>
      <c r="E31" s="114" t="e">
        <f>IF('GIA CONG ACRYLIC'!#REF!=0,"",'GIA CONG ACRYLIC'!#REF!)</f>
        <v>#REF!</v>
      </c>
      <c r="F31" s="114" t="e">
        <f>+'GIA CONG ACRYLIC'!#REF!</f>
        <v>#REF!</v>
      </c>
      <c r="G31" s="114" t="e">
        <f>+'GIA CONG ACRYLIC'!#REF!</f>
        <v>#REF!</v>
      </c>
      <c r="H31" s="114" t="e">
        <f>+'GIA CONG ACRYLIC'!#REF!</f>
        <v>#REF!</v>
      </c>
      <c r="I31" s="114">
        <v>19</v>
      </c>
      <c r="J31" s="114">
        <v>2</v>
      </c>
      <c r="K31" s="114" t="e">
        <f>+'GIA CONG ACRYLIC'!#REF!</f>
        <v>#REF!</v>
      </c>
      <c r="L31" s="116" t="str">
        <f t="shared" si="2"/>
        <v>T</v>
      </c>
      <c r="M31" s="116" t="e">
        <f>IF('GIA CONG ACRYLIC'!#REF!='GIA CONG ACRYLIC'!#REF!,"V","T")</f>
        <v>#REF!</v>
      </c>
      <c r="N31" s="116" t="str">
        <f t="shared" si="3"/>
        <v>T</v>
      </c>
      <c r="O31" s="116" t="e">
        <f>IF('GIA CONG ACRYLIC'!#REF!='GIA CONG ACRYLIC'!#REF!,"V","T")</f>
        <v>#REF!</v>
      </c>
      <c r="P31" s="114">
        <v>1.0000000000000001E-5</v>
      </c>
      <c r="Q31" s="114">
        <v>1.0000000000000001E-5</v>
      </c>
      <c r="R31" s="114">
        <v>1.0000000000000001E-5</v>
      </c>
      <c r="S31" s="114">
        <v>1.0000000000000001E-5</v>
      </c>
      <c r="T31" s="117" t="e">
        <f>'GIA CONG ACRYLIC'!#REF!</f>
        <v>#REF!</v>
      </c>
    </row>
    <row r="32" spans="1:30" s="118" customFormat="1">
      <c r="A32" s="114" t="str">
        <f t="shared" si="0"/>
        <v>V</v>
      </c>
      <c r="B32" s="114" t="str">
        <f t="shared" si="1"/>
        <v>ACRILYC</v>
      </c>
      <c r="C32" s="115" t="str">
        <f>RIGHT('GIA CONG ACRYLIC'!$C$8,LEN('GIA CONG ACRYLIC'!$C$8)-LEN("Khách hàng: "))&amp;" "&amp;'GIA CONG ACRYLIC'!$H$7</f>
        <v xml:space="preserve">KH0000 - Tên Khách hàng </v>
      </c>
      <c r="D32" s="114" t="e">
        <f>'GIA CONG ACRYLIC'!$H$7&amp;"."&amp;'GIA CONG ACRYLIC'!#REF!&amp;"."&amp;IF(LEN('GIA CONG ACRYLIC'!#REF!)=1,"00"&amp;'GIA CONG ACRYLIC'!#REF!,IF(LEN('GIA CONG ACRYLIC'!#REF!)=2,"0"&amp;'GIA CONG ACRYLIC'!#REF!,'GIA CONG ACRYLIC'!#REF!))</f>
        <v>#REF!</v>
      </c>
      <c r="E32" s="114" t="e">
        <f>IF('GIA CONG ACRYLIC'!#REF!=0,"",'GIA CONG ACRYLIC'!#REF!)</f>
        <v>#REF!</v>
      </c>
      <c r="F32" s="114" t="e">
        <f>+'GIA CONG ACRYLIC'!#REF!</f>
        <v>#REF!</v>
      </c>
      <c r="G32" s="114" t="e">
        <f>+'GIA CONG ACRYLIC'!#REF!</f>
        <v>#REF!</v>
      </c>
      <c r="H32" s="114" t="e">
        <f>+'GIA CONG ACRYLIC'!#REF!</f>
        <v>#REF!</v>
      </c>
      <c r="I32" s="114">
        <v>19</v>
      </c>
      <c r="J32" s="114">
        <v>2</v>
      </c>
      <c r="K32" s="114" t="e">
        <f>+'GIA CONG ACRYLIC'!#REF!</f>
        <v>#REF!</v>
      </c>
      <c r="L32" s="116" t="str">
        <f t="shared" si="2"/>
        <v>T</v>
      </c>
      <c r="M32" s="116" t="e">
        <f>IF('GIA CONG ACRYLIC'!#REF!='GIA CONG ACRYLIC'!#REF!,"V","T")</f>
        <v>#REF!</v>
      </c>
      <c r="N32" s="116" t="str">
        <f t="shared" si="3"/>
        <v>T</v>
      </c>
      <c r="O32" s="116" t="e">
        <f>IF('GIA CONG ACRYLIC'!#REF!='GIA CONG ACRYLIC'!#REF!,"V","T")</f>
        <v>#REF!</v>
      </c>
      <c r="P32" s="114">
        <v>1.0000000000000001E-5</v>
      </c>
      <c r="Q32" s="114">
        <v>1.0000000000000001E-5</v>
      </c>
      <c r="R32" s="114">
        <v>1.0000000000000001E-5</v>
      </c>
      <c r="S32" s="114">
        <v>1.0000000000000001E-5</v>
      </c>
      <c r="T32" s="117" t="e">
        <f>'GIA CONG ACRYLIC'!#REF!</f>
        <v>#REF!</v>
      </c>
    </row>
    <row r="33" spans="1:30" s="118" customFormat="1">
      <c r="A33" s="114" t="str">
        <f t="shared" si="0"/>
        <v>V</v>
      </c>
      <c r="B33" s="114" t="str">
        <f t="shared" si="1"/>
        <v>ACRILYC</v>
      </c>
      <c r="C33" s="115" t="str">
        <f>RIGHT('GIA CONG ACRYLIC'!$C$8,LEN('GIA CONG ACRYLIC'!$C$8)-LEN("Khách hàng: "))&amp;" "&amp;'GIA CONG ACRYLIC'!$H$7</f>
        <v xml:space="preserve">KH0000 - Tên Khách hàng </v>
      </c>
      <c r="D33" s="114" t="e">
        <f>'GIA CONG ACRYLIC'!$H$7&amp;"."&amp;'GIA CONG ACRYLIC'!#REF!&amp;"."&amp;IF(LEN('GIA CONG ACRYLIC'!#REF!)=1,"00"&amp;'GIA CONG ACRYLIC'!#REF!,IF(LEN('GIA CONG ACRYLIC'!#REF!)=2,"0"&amp;'GIA CONG ACRYLIC'!#REF!,'GIA CONG ACRYLIC'!#REF!))</f>
        <v>#REF!</v>
      </c>
      <c r="E33" s="114" t="e">
        <f>IF('GIA CONG ACRYLIC'!#REF!=0,"",'GIA CONG ACRYLIC'!#REF!)</f>
        <v>#REF!</v>
      </c>
      <c r="F33" s="114" t="e">
        <f>+'GIA CONG ACRYLIC'!#REF!</f>
        <v>#REF!</v>
      </c>
      <c r="G33" s="114" t="e">
        <f>+'GIA CONG ACRYLIC'!#REF!</f>
        <v>#REF!</v>
      </c>
      <c r="H33" s="114" t="e">
        <f>+'GIA CONG ACRYLIC'!#REF!</f>
        <v>#REF!</v>
      </c>
      <c r="I33" s="114">
        <v>19</v>
      </c>
      <c r="J33" s="114">
        <v>2</v>
      </c>
      <c r="K33" s="114" t="e">
        <f>+'GIA CONG ACRYLIC'!#REF!</f>
        <v>#REF!</v>
      </c>
      <c r="L33" s="116" t="str">
        <f t="shared" si="2"/>
        <v>T</v>
      </c>
      <c r="M33" s="116" t="e">
        <f>IF('GIA CONG ACRYLIC'!#REF!='GIA CONG ACRYLIC'!#REF!,"V","T")</f>
        <v>#REF!</v>
      </c>
      <c r="N33" s="116" t="str">
        <f t="shared" si="3"/>
        <v>T</v>
      </c>
      <c r="O33" s="116" t="e">
        <f>IF('GIA CONG ACRYLIC'!#REF!='GIA CONG ACRYLIC'!#REF!,"V","T")</f>
        <v>#REF!</v>
      </c>
      <c r="P33" s="114">
        <v>1.0000000000000001E-5</v>
      </c>
      <c r="Q33" s="114">
        <v>1.0000000000000001E-5</v>
      </c>
      <c r="R33" s="114">
        <v>1.0000000000000001E-5</v>
      </c>
      <c r="S33" s="114">
        <v>1.0000000000000001E-5</v>
      </c>
      <c r="T33" s="117" t="e">
        <f>'GIA CONG ACRYLIC'!#REF!</f>
        <v>#REF!</v>
      </c>
    </row>
    <row r="34" spans="1:30" s="118" customFormat="1">
      <c r="A34" s="114" t="str">
        <f t="shared" si="0"/>
        <v>V</v>
      </c>
      <c r="B34" s="114" t="str">
        <f t="shared" si="1"/>
        <v>ACRILYC</v>
      </c>
      <c r="C34" s="115" t="str">
        <f>RIGHT('GIA CONG ACRYLIC'!$C$8,LEN('GIA CONG ACRYLIC'!$C$8)-LEN("Khách hàng: "))&amp;" "&amp;'GIA CONG ACRYLIC'!$H$7</f>
        <v xml:space="preserve">KH0000 - Tên Khách hàng </v>
      </c>
      <c r="D34" s="114" t="e">
        <f>'GIA CONG ACRYLIC'!$H$7&amp;"."&amp;'GIA CONG ACRYLIC'!#REF!&amp;"."&amp;IF(LEN('GIA CONG ACRYLIC'!#REF!)=1,"00"&amp;'GIA CONG ACRYLIC'!#REF!,IF(LEN('GIA CONG ACRYLIC'!#REF!)=2,"0"&amp;'GIA CONG ACRYLIC'!#REF!,'GIA CONG ACRYLIC'!#REF!))</f>
        <v>#REF!</v>
      </c>
      <c r="E34" s="114" t="e">
        <f>IF('GIA CONG ACRYLIC'!#REF!=0,"",'GIA CONG ACRYLIC'!#REF!)</f>
        <v>#REF!</v>
      </c>
      <c r="F34" s="114" t="e">
        <f>+'GIA CONG ACRYLIC'!#REF!</f>
        <v>#REF!</v>
      </c>
      <c r="G34" s="114" t="e">
        <f>+'GIA CONG ACRYLIC'!#REF!</f>
        <v>#REF!</v>
      </c>
      <c r="H34" s="114" t="e">
        <f>+'GIA CONG ACRYLIC'!#REF!</f>
        <v>#REF!</v>
      </c>
      <c r="I34" s="114">
        <v>19</v>
      </c>
      <c r="J34" s="114">
        <v>2</v>
      </c>
      <c r="K34" s="114" t="e">
        <f>+'GIA CONG ACRYLIC'!#REF!</f>
        <v>#REF!</v>
      </c>
      <c r="L34" s="116" t="str">
        <f t="shared" si="2"/>
        <v>T</v>
      </c>
      <c r="M34" s="116" t="e">
        <f>IF('GIA CONG ACRYLIC'!#REF!='GIA CONG ACRYLIC'!#REF!,"V","T")</f>
        <v>#REF!</v>
      </c>
      <c r="N34" s="116" t="str">
        <f t="shared" si="3"/>
        <v>T</v>
      </c>
      <c r="O34" s="116" t="e">
        <f>IF('GIA CONG ACRYLIC'!#REF!='GIA CONG ACRYLIC'!#REF!,"V","T")</f>
        <v>#REF!</v>
      </c>
      <c r="P34" s="114">
        <v>1.0000000000000001E-5</v>
      </c>
      <c r="Q34" s="114">
        <v>1.0000000000000001E-5</v>
      </c>
      <c r="R34" s="114">
        <v>1.0000000000000001E-5</v>
      </c>
      <c r="S34" s="114">
        <v>1.0000000000000001E-5</v>
      </c>
      <c r="T34" s="117" t="e">
        <f>'GIA CONG ACRYLIC'!#REF!</f>
        <v>#REF!</v>
      </c>
      <c r="U34" s="118">
        <v>70</v>
      </c>
      <c r="V34" s="118">
        <v>70</v>
      </c>
      <c r="W34" s="118">
        <v>70</v>
      </c>
      <c r="X34" s="118">
        <v>70</v>
      </c>
      <c r="Y34" s="118">
        <v>60</v>
      </c>
      <c r="Z34" s="118">
        <v>60</v>
      </c>
      <c r="AA34" s="118">
        <v>60</v>
      </c>
      <c r="AB34" s="118">
        <v>60</v>
      </c>
      <c r="AC34" s="118">
        <v>10</v>
      </c>
      <c r="AD34" s="118">
        <v>6</v>
      </c>
    </row>
  </sheetData>
  <pageMargins left="0.7" right="0.7" top="0.75" bottom="0.75" header="0.3" footer="0.3"/>
  <pageSetup paperSize="257"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GIA CONG ACRYLIC</vt:lpstr>
      <vt:lpstr>BAZIS-PM</vt:lpstr>
      <vt:lpstr>'GIA CONG ACRYLIC'!Print_Area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Vanhh Anhh Nguyeen</cp:lastModifiedBy>
  <cp:lastPrinted>2025-09-09T11:00:03Z</cp:lastPrinted>
  <dcterms:created xsi:type="dcterms:W3CDTF">2019-03-01T08:17:59Z</dcterms:created>
  <dcterms:modified xsi:type="dcterms:W3CDTF">2026-06-04T04:36:36Z</dcterms:modified>
</cp:coreProperties>
</file>